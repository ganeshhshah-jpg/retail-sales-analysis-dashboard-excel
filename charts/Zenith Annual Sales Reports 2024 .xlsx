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mc:AlternateContent xmlns:mc="http://schemas.openxmlformats.org/markup-compatibility/2006">
    <mc:Choice Requires="x15">
      <x15ac:absPath xmlns:x15ac="http://schemas.microsoft.com/office/spreadsheetml/2010/11/ac" url="/Users/ganeshshah/Desktop/Data Analytics/Retail Sales Analysis Project/"/>
    </mc:Choice>
  </mc:AlternateContent>
  <xr:revisionPtr revIDLastSave="0" documentId="13_ncr:1_{F9F6E574-F2EA-7643-BE20-734DAA4AF594}" xr6:coauthVersionLast="47" xr6:coauthVersionMax="47" xr10:uidLastSave="{00000000-0000-0000-0000-000000000000}"/>
  <bookViews>
    <workbookView xWindow="0" yWindow="660" windowWidth="28440" windowHeight="16740" tabRatio="500" activeTab="8" xr2:uid="{00000000-000D-0000-FFFF-FFFF00000000}"/>
  </bookViews>
  <sheets>
    <sheet name="Raw_Sales_Data" sheetId="9" r:id="rId1"/>
    <sheet name="Data_Dictionary" sheetId="2" r:id="rId2"/>
    <sheet name="Cleaned_Data" sheetId="1" r:id="rId3"/>
    <sheet name="Sales VS Orders" sheetId="4" r:id="rId4"/>
    <sheet name="Sales By Region" sheetId="5" r:id="rId5"/>
    <sheet name="Payment Methods" sheetId="6" r:id="rId6"/>
    <sheet name="Top 5 Stores" sheetId="7" r:id="rId7"/>
    <sheet name="Top 5 Product Categories" sheetId="8" r:id="rId8"/>
    <sheet name="Dashboard" sheetId="3" r:id="rId9"/>
  </sheets>
  <definedNames>
    <definedName name="_xlnm._FilterDatabase" localSheetId="2" hidden="1">Cleaned_Data!$A$1:$A$2021</definedName>
    <definedName name="Slicer_Month">#N/A</definedName>
    <definedName name="Slicer_Product_Category">#N/A</definedName>
    <definedName name="Slicer_Region">#N/A</definedName>
  </definedNames>
  <calcPr calcId="191028" iterateDelta="1E-4"/>
  <pivotCaches>
    <pivotCache cacheId="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2" i="1"/>
</calcChain>
</file>

<file path=xl/sharedStrings.xml><?xml version="1.0" encoding="utf-8"?>
<sst xmlns="http://schemas.openxmlformats.org/spreadsheetml/2006/main" count="28559" uniqueCount="1130">
  <si>
    <t>Order ID</t>
  </si>
  <si>
    <t>Order Date</t>
  </si>
  <si>
    <t>Customer Name</t>
  </si>
  <si>
    <t>Region</t>
  </si>
  <si>
    <t>Store</t>
  </si>
  <si>
    <t>Product Category</t>
  </si>
  <si>
    <t>Product Name</t>
  </si>
  <si>
    <t>Quantity</t>
  </si>
  <si>
    <t>Unit Price</t>
  </si>
  <si>
    <t>Discount</t>
  </si>
  <si>
    <t>Payment Method</t>
  </si>
  <si>
    <t>Sales Rep</t>
  </si>
  <si>
    <t>Aditya Iyer</t>
  </si>
  <si>
    <t>central</t>
  </si>
  <si>
    <t>Bhopal Store</t>
  </si>
  <si>
    <t>Furniture</t>
  </si>
  <si>
    <t>Study Desk</t>
  </si>
  <si>
    <t>Debit Card</t>
  </si>
  <si>
    <t>K. Iyer</t>
  </si>
  <si>
    <t>Krishna Kapoor</t>
  </si>
  <si>
    <t>SOUTH</t>
  </si>
  <si>
    <t>Bengaluru Store</t>
  </si>
  <si>
    <t>Clothing</t>
  </si>
  <si>
    <t>Men's Denim Jacket</t>
  </si>
  <si>
    <t>Cash</t>
  </si>
  <si>
    <t>T. Rana</t>
  </si>
  <si>
    <t>Diya Sharma</t>
  </si>
  <si>
    <t>South</t>
  </si>
  <si>
    <t>FURNITURE</t>
  </si>
  <si>
    <t>EMI</t>
  </si>
  <si>
    <t>Sneha Mehta</t>
  </si>
  <si>
    <t>West</t>
  </si>
  <si>
    <t>Mumbai Store</t>
  </si>
  <si>
    <t>Stationery</t>
  </si>
  <si>
    <t>Notebook Pack</t>
  </si>
  <si>
    <t>D. Chawla</t>
  </si>
  <si>
    <t>Sai Joshi</t>
  </si>
  <si>
    <t>East</t>
  </si>
  <si>
    <t>Kolkata Store</t>
  </si>
  <si>
    <t>GROCERIES</t>
  </si>
  <si>
    <t>Tea Pack 500g</t>
  </si>
  <si>
    <t>Credit Card</t>
  </si>
  <si>
    <t>P. Trivedi</t>
  </si>
  <si>
    <t>Riya Joshi</t>
  </si>
  <si>
    <t>WEST</t>
  </si>
  <si>
    <t>Electronics</t>
  </si>
  <si>
    <t>Bluetooth Speaker</t>
  </si>
  <si>
    <t>Nisha Pillai</t>
  </si>
  <si>
    <t>N.</t>
  </si>
  <si>
    <t>Chandigarh Store</t>
  </si>
  <si>
    <t>Home Appliances</t>
  </si>
  <si>
    <t>Air Cooler</t>
  </si>
  <si>
    <t>M. Ghosh</t>
  </si>
  <si>
    <t>Rahul Pillai</t>
  </si>
  <si>
    <t>Pune Store</t>
  </si>
  <si>
    <t>Home appliances</t>
  </si>
  <si>
    <t>Electric Kettle</t>
  </si>
  <si>
    <t>Ananya Kumar</t>
  </si>
  <si>
    <t xml:space="preserve">East </t>
  </si>
  <si>
    <t>Bookshelf</t>
  </si>
  <si>
    <t>Vihaan Joshi</t>
  </si>
  <si>
    <t>Central</t>
  </si>
  <si>
    <t>Microwave Oven</t>
  </si>
  <si>
    <t>Nisha Das</t>
  </si>
  <si>
    <t>Groceries</t>
  </si>
  <si>
    <t>Rs.335.56</t>
  </si>
  <si>
    <t>Net Banking</t>
  </si>
  <si>
    <t>13/04/2024</t>
  </si>
  <si>
    <t>Anika Kapoor</t>
  </si>
  <si>
    <t>Bhubaneswar Store</t>
  </si>
  <si>
    <t xml:space="preserve">Electronics </t>
  </si>
  <si>
    <t>Laptop Air 14</t>
  </si>
  <si>
    <t>Rohan Iyer</t>
  </si>
  <si>
    <t>north</t>
  </si>
  <si>
    <t>clothing</t>
  </si>
  <si>
    <t>Formal Shirt</t>
  </si>
  <si>
    <t>Rs.2,707.61</t>
  </si>
  <si>
    <t>24/01/2024</t>
  </si>
  <si>
    <t>Vihaan Agarwal</t>
  </si>
  <si>
    <t>Delhi Store</t>
  </si>
  <si>
    <t>stationery</t>
  </si>
  <si>
    <t>Geometry Box</t>
  </si>
  <si>
    <t>Rs.206.00</t>
  </si>
  <si>
    <t>UPI</t>
  </si>
  <si>
    <t>Aditya Rao</t>
  </si>
  <si>
    <t>CENTRAL</t>
  </si>
  <si>
    <t>ELECTRONICS</t>
  </si>
  <si>
    <t>S. Bhat</t>
  </si>
  <si>
    <t>Rohan Sharma</t>
  </si>
  <si>
    <t xml:space="preserve"> West</t>
  </si>
  <si>
    <t>Rs.8,578.15</t>
  </si>
  <si>
    <t>Sneha Gupta</t>
  </si>
  <si>
    <t>west</t>
  </si>
  <si>
    <t>A4 Paper Ream</t>
  </si>
  <si>
    <t>Sneha Iyer</t>
  </si>
  <si>
    <t>south</t>
  </si>
  <si>
    <t>electronics</t>
  </si>
  <si>
    <t>Wireless Earbuds</t>
  </si>
  <si>
    <t>Vivaan Singh</t>
  </si>
  <si>
    <t>Ceiling Fan</t>
  </si>
  <si>
    <t>Vikram Verma</t>
  </si>
  <si>
    <t>EAST</t>
  </si>
  <si>
    <t xml:space="preserve">Footwear </t>
  </si>
  <si>
    <t>Sneakers</t>
  </si>
  <si>
    <t>Rs.559.09</t>
  </si>
  <si>
    <t>Ishaan Chopra</t>
  </si>
  <si>
    <t>Footwear</t>
  </si>
  <si>
    <t>22/12/2024</t>
  </si>
  <si>
    <t>Sneha Nair</t>
  </si>
  <si>
    <t xml:space="preserve"> South </t>
  </si>
  <si>
    <t>ARJUN PILLAI</t>
  </si>
  <si>
    <t>Smartwatch S3</t>
  </si>
  <si>
    <t>Vikram Gupta</t>
  </si>
  <si>
    <t>groceries</t>
  </si>
  <si>
    <t>Basmati Rice 5kg</t>
  </si>
  <si>
    <t>Nisha Reddy</t>
  </si>
  <si>
    <t>Sofa 3-Seater</t>
  </si>
  <si>
    <t>Rs.6,407.18</t>
  </si>
  <si>
    <t>Vivaan Gupta</t>
  </si>
  <si>
    <t>Nagpur Store</t>
  </si>
  <si>
    <t xml:space="preserve"> Clothing</t>
  </si>
  <si>
    <t>A. Menon</t>
  </si>
  <si>
    <t>Aadhya Agarwal</t>
  </si>
  <si>
    <t>Ayaan Rao</t>
  </si>
  <si>
    <t>home appliances</t>
  </si>
  <si>
    <t>Diya Mehta</t>
  </si>
  <si>
    <t>Saanvi Kapoor</t>
  </si>
  <si>
    <t>Vivaan Sharma</t>
  </si>
  <si>
    <t>Amit Malhotra</t>
  </si>
  <si>
    <t>NORTH</t>
  </si>
  <si>
    <t>Myra Gupta</t>
  </si>
  <si>
    <t>S.</t>
  </si>
  <si>
    <t>Nisha Gupta</t>
  </si>
  <si>
    <t>Chennai Store</t>
  </si>
  <si>
    <t>Rahul Malhotra</t>
  </si>
  <si>
    <t>Sandals</t>
  </si>
  <si>
    <t>Reyansh Pillai</t>
  </si>
  <si>
    <t>Running Shoes</t>
  </si>
  <si>
    <t>Rs.2,787.18</t>
  </si>
  <si>
    <t>Priya Bose</t>
  </si>
  <si>
    <t>North</t>
  </si>
  <si>
    <t>Kids T-Shirt</t>
  </si>
  <si>
    <t>Riya Sharma</t>
  </si>
  <si>
    <t>R. Kulkarni</t>
  </si>
  <si>
    <t>Reyansh Bose</t>
  </si>
  <si>
    <t>Winter Sweater</t>
  </si>
  <si>
    <t>Ishaan Kumar</t>
  </si>
  <si>
    <t>Vikram Kapoor</t>
  </si>
  <si>
    <t>Vikram Iyer</t>
  </si>
  <si>
    <t>LED TV 42in</t>
  </si>
  <si>
    <t>Saanvi Singh</t>
  </si>
  <si>
    <t>Arjun Patel</t>
  </si>
  <si>
    <t>Office Chair</t>
  </si>
  <si>
    <t>Smartphone X200</t>
  </si>
  <si>
    <t>Anika Sharma</t>
  </si>
  <si>
    <t>footwear</t>
  </si>
  <si>
    <t>Leather Formal Shoes</t>
  </si>
  <si>
    <t>Ananya Rao</t>
  </si>
  <si>
    <t>Gel Pen Set</t>
  </si>
  <si>
    <t>Riya Bansal</t>
  </si>
  <si>
    <t xml:space="preserve"> North</t>
  </si>
  <si>
    <t>Amit Pillai</t>
  </si>
  <si>
    <t>Pooja Malhotra</t>
  </si>
  <si>
    <t>24/05/2024</t>
  </si>
  <si>
    <t>Vihaan Gupta</t>
  </si>
  <si>
    <t>Wheat Flour 10kg</t>
  </si>
  <si>
    <t>Rs.227.14</t>
  </si>
  <si>
    <t>Sai Bose</t>
  </si>
  <si>
    <t>Nisha Rao</t>
  </si>
  <si>
    <t>Reyansh Iyer</t>
  </si>
  <si>
    <t>Ayaan Sharma</t>
  </si>
  <si>
    <t>16/10/2024</t>
  </si>
  <si>
    <t>MYRA CHOPRA</t>
  </si>
  <si>
    <t>28/01/2024</t>
  </si>
  <si>
    <t>Amit Nair</t>
  </si>
  <si>
    <t>east</t>
  </si>
  <si>
    <t>Pooja Reddy</t>
  </si>
  <si>
    <t>Diya Kumar</t>
  </si>
  <si>
    <t>Riya Mehta</t>
  </si>
  <si>
    <t>Rohan Bose</t>
  </si>
  <si>
    <t>Myra Sharma</t>
  </si>
  <si>
    <t xml:space="preserve">Central </t>
  </si>
  <si>
    <t>25/11/2024</t>
  </si>
  <si>
    <t>Reyansh Mehta</t>
  </si>
  <si>
    <t>Krishna Chopra</t>
  </si>
  <si>
    <t>Karan Patel</t>
  </si>
  <si>
    <t>20/02/2024</t>
  </si>
  <si>
    <t>Rohan Reddy</t>
  </si>
  <si>
    <t>Vivaan Reddy</t>
  </si>
  <si>
    <t>Nisha Singh</t>
  </si>
  <si>
    <t>Ishaan Bose</t>
  </si>
  <si>
    <t>furniture</t>
  </si>
  <si>
    <t>Pooja Mehta</t>
  </si>
  <si>
    <t>22/01/2024</t>
  </si>
  <si>
    <t>Vivaan Verma</t>
  </si>
  <si>
    <t>Ananya Kapoor</t>
  </si>
  <si>
    <t>Rs.503.08</t>
  </si>
  <si>
    <t>Diya Bansal</t>
  </si>
  <si>
    <t>Kiara Pillai</t>
  </si>
  <si>
    <t>Aarav Kapoor</t>
  </si>
  <si>
    <t>Sai Reddy</t>
  </si>
  <si>
    <t>Arjun Agarwal</t>
  </si>
  <si>
    <t>Rs.459.95</t>
  </si>
  <si>
    <t>14/05/2024</t>
  </si>
  <si>
    <t>Ira Rao</t>
  </si>
  <si>
    <t>Wooden Dining Table</t>
  </si>
  <si>
    <t>Priya Malhotra</t>
  </si>
  <si>
    <t>Mixer Grinder</t>
  </si>
  <si>
    <t>Saanvi Mehta</t>
  </si>
  <si>
    <t>22/05/2024</t>
  </si>
  <si>
    <t>Ananya Agarwal</t>
  </si>
  <si>
    <t>Karan Das</t>
  </si>
  <si>
    <t>Rahul Bansal</t>
  </si>
  <si>
    <t>Ananya Reddy</t>
  </si>
  <si>
    <t>Riya Verma</t>
  </si>
  <si>
    <t>Karan Verma</t>
  </si>
  <si>
    <t>Myra Iyer</t>
  </si>
  <si>
    <t>Sai Kapoor</t>
  </si>
  <si>
    <t>Ananya Nair</t>
  </si>
  <si>
    <t>Ayaan Iyer</t>
  </si>
  <si>
    <t>Karan Iyer</t>
  </si>
  <si>
    <t>Aarav Singh</t>
  </si>
  <si>
    <t>Pooja Gupta</t>
  </si>
  <si>
    <t>HOME APPLIANCES</t>
  </si>
  <si>
    <t>Aditya Nair</t>
  </si>
  <si>
    <t>Anika Nair</t>
  </si>
  <si>
    <t>Vihaan Pillai</t>
  </si>
  <si>
    <t>19/05/2024</t>
  </si>
  <si>
    <t>Sai Iyer</t>
  </si>
  <si>
    <t>Aadhya Mehta</t>
  </si>
  <si>
    <t>Rs.2,782.80</t>
  </si>
  <si>
    <t>Amit Patel</t>
  </si>
  <si>
    <t>Women's Kurti</t>
  </si>
  <si>
    <t>Ayaan Pillai</t>
  </si>
  <si>
    <t>Myra Reddy</t>
  </si>
  <si>
    <t>Krishna Rao</t>
  </si>
  <si>
    <t>Rs.48.68</t>
  </si>
  <si>
    <t>Diya Reddy</t>
  </si>
  <si>
    <t>28/02/2024</t>
  </si>
  <si>
    <t>15/09/2024</t>
  </si>
  <si>
    <t>Rohan Malhotra</t>
  </si>
  <si>
    <t>Myra Bansal</t>
  </si>
  <si>
    <t>Cooking Oil 1L</t>
  </si>
  <si>
    <t>Aditya Bose</t>
  </si>
  <si>
    <t>Nisha Kumar</t>
  </si>
  <si>
    <t>Vivaan Bansal</t>
  </si>
  <si>
    <t>Vihaan Kumar</t>
  </si>
  <si>
    <t>AMIT AGARWAL</t>
  </si>
  <si>
    <t>28/03/2024</t>
  </si>
  <si>
    <t>Vikram Chopra</t>
  </si>
  <si>
    <t>Vihaan Chopra</t>
  </si>
  <si>
    <t>Anika Agarwal</t>
  </si>
  <si>
    <t>27/01/2024</t>
  </si>
  <si>
    <t>Diya Malhotra</t>
  </si>
  <si>
    <t>16/08/2024</t>
  </si>
  <si>
    <t>Vihaan Reddy</t>
  </si>
  <si>
    <t>Arjun Iyer</t>
  </si>
  <si>
    <t>Pooja Bansal</t>
  </si>
  <si>
    <t>Vihaan Sharma</t>
  </si>
  <si>
    <t>Pooja Chopra</t>
  </si>
  <si>
    <t>AADHYA PATEL</t>
  </si>
  <si>
    <t>PRIYA CHOPRA</t>
  </si>
  <si>
    <t>Saanvi Bansal</t>
  </si>
  <si>
    <t>Rs.10,326.94</t>
  </si>
  <si>
    <t>Arjun Sharma</t>
  </si>
  <si>
    <t>29/01/2024</t>
  </si>
  <si>
    <t>Riya Reddy</t>
  </si>
  <si>
    <t>Aadhya Sharma</t>
  </si>
  <si>
    <t>Rs.219.25</t>
  </si>
  <si>
    <t>23/11/2024</t>
  </si>
  <si>
    <t>Krishna Nair</t>
  </si>
  <si>
    <t>Diya Verma</t>
  </si>
  <si>
    <t>Reyansh Kapoor</t>
  </si>
  <si>
    <t>Rohan Singh</t>
  </si>
  <si>
    <t>Riya Nair</t>
  </si>
  <si>
    <t>17/06/2024</t>
  </si>
  <si>
    <t>Pooja Rao</t>
  </si>
  <si>
    <t>23/05/2024</t>
  </si>
  <si>
    <t>Kiara Verma</t>
  </si>
  <si>
    <t>26/07/2024</t>
  </si>
  <si>
    <t>Amit Das</t>
  </si>
  <si>
    <t>Saanvi Kumar</t>
  </si>
  <si>
    <t>Amit Joshi</t>
  </si>
  <si>
    <t>Rs.39,888.31</t>
  </si>
  <si>
    <t>Sai Gupta</t>
  </si>
  <si>
    <t>25/08/2024</t>
  </si>
  <si>
    <t>Karan Singh</t>
  </si>
  <si>
    <t>Reyansh Joshi</t>
  </si>
  <si>
    <t>Aditya Kumar</t>
  </si>
  <si>
    <t>ANANYA IYER</t>
  </si>
  <si>
    <t>Aadhya Iyer</t>
  </si>
  <si>
    <t>Diya Iyer</t>
  </si>
  <si>
    <t>Sugar 1kg</t>
  </si>
  <si>
    <t>Kiara Kapoor</t>
  </si>
  <si>
    <t>Arjun Rao</t>
  </si>
  <si>
    <t>Rs.1,714.64</t>
  </si>
  <si>
    <t>Vihaan Rao</t>
  </si>
  <si>
    <t>Navya Rao</t>
  </si>
  <si>
    <t>Priya Patel</t>
  </si>
  <si>
    <t>Aarav Gupta</t>
  </si>
  <si>
    <t>Kiara Rao</t>
  </si>
  <si>
    <t>Krishna Kumar</t>
  </si>
  <si>
    <t>Rahul Mehta</t>
  </si>
  <si>
    <t>18/12/2024</t>
  </si>
  <si>
    <t>Riya Patel</t>
  </si>
  <si>
    <t>31/01/2024</t>
  </si>
  <si>
    <t>Ira Agarwal</t>
  </si>
  <si>
    <t>Karan Agarwal</t>
  </si>
  <si>
    <t>Rs.745.34</t>
  </si>
  <si>
    <t>Ayaan Kapoor</t>
  </si>
  <si>
    <t>Navya Singh</t>
  </si>
  <si>
    <t>Krishna Iyer</t>
  </si>
  <si>
    <t>Sai Mehta</t>
  </si>
  <si>
    <t>Sneha Sharma</t>
  </si>
  <si>
    <t>Vivaan Nair</t>
  </si>
  <si>
    <t>Karan Chopra</t>
  </si>
  <si>
    <t>22/06/2024</t>
  </si>
  <si>
    <t>Vikram Kumar</t>
  </si>
  <si>
    <t>Vivaan Joshi</t>
  </si>
  <si>
    <t>Ayaan Nair</t>
  </si>
  <si>
    <t>Reyansh Bansal</t>
  </si>
  <si>
    <t>Myra Kapoor</t>
  </si>
  <si>
    <t>Reyansh Kumar</t>
  </si>
  <si>
    <t>Arjun Kapoor</t>
  </si>
  <si>
    <t>21/06/2024</t>
  </si>
  <si>
    <t>Krishna Bose</t>
  </si>
  <si>
    <t>Riya Chopra</t>
  </si>
  <si>
    <t>Amit Sharma</t>
  </si>
  <si>
    <t>Rahul Bose</t>
  </si>
  <si>
    <t>22/08/2024</t>
  </si>
  <si>
    <t>VIVAAN IYER</t>
  </si>
  <si>
    <t>Ishaan Singh</t>
  </si>
  <si>
    <t>Amit Bose</t>
  </si>
  <si>
    <t>Sneha Kapoor</t>
  </si>
  <si>
    <t>Sneha Bansal</t>
  </si>
  <si>
    <t>Navya Joshi</t>
  </si>
  <si>
    <t>Arjun Singh</t>
  </si>
  <si>
    <t>Reyansh Nair</t>
  </si>
  <si>
    <t>Rs.2,681.95</t>
  </si>
  <si>
    <t>Vivaan Kapoor</t>
  </si>
  <si>
    <t>Rs.31,872.34</t>
  </si>
  <si>
    <t>Myra Singh</t>
  </si>
  <si>
    <t>Reyansh Agarwal</t>
  </si>
  <si>
    <t>Krishna Das</t>
  </si>
  <si>
    <t>Vihaan Iyer</t>
  </si>
  <si>
    <t>Navya Verma</t>
  </si>
  <si>
    <t>Kiara Mehta</t>
  </si>
  <si>
    <t>Rs.12,902.69</t>
  </si>
  <si>
    <t>Anika Malhotra</t>
  </si>
  <si>
    <t>Kiara Das</t>
  </si>
  <si>
    <t>Rs.480.86</t>
  </si>
  <si>
    <t>Rahul Iyer</t>
  </si>
  <si>
    <t>Krishna Bansal</t>
  </si>
  <si>
    <t>Kiara Kumar</t>
  </si>
  <si>
    <t>Rohan Kapoor</t>
  </si>
  <si>
    <t>29/04/2024</t>
  </si>
  <si>
    <t>Priya Mehta</t>
  </si>
  <si>
    <t>Rs.21,610.60</t>
  </si>
  <si>
    <t>Rohan Gupta</t>
  </si>
  <si>
    <t>Neha Iyer</t>
  </si>
  <si>
    <t>Riya Iyer</t>
  </si>
  <si>
    <t>Rs.501.03</t>
  </si>
  <si>
    <t>Nisha Malhotra</t>
  </si>
  <si>
    <t>Rs.3,308.38</t>
  </si>
  <si>
    <t>24/10/2024</t>
  </si>
  <si>
    <t>15/02/2024</t>
  </si>
  <si>
    <t>Karan Rao</t>
  </si>
  <si>
    <t>Rs.375.83</t>
  </si>
  <si>
    <t>VIHAAN KAPOOR</t>
  </si>
  <si>
    <t>23/12/2024</t>
  </si>
  <si>
    <t>Aditya Gupta</t>
  </si>
  <si>
    <t>Rs.3,797.89</t>
  </si>
  <si>
    <t>Aditya Chopra</t>
  </si>
  <si>
    <t>Reyansh Das</t>
  </si>
  <si>
    <t>VIHAAN BOSE</t>
  </si>
  <si>
    <t>20/12/2024</t>
  </si>
  <si>
    <t>Aarav Patel</t>
  </si>
  <si>
    <t>Ananya Bose</t>
  </si>
  <si>
    <t>Sneha Patel</t>
  </si>
  <si>
    <t>Amit Singh</t>
  </si>
  <si>
    <t>Navya Patel</t>
  </si>
  <si>
    <t>Anika Verma</t>
  </si>
  <si>
    <t>Rs.111.33</t>
  </si>
  <si>
    <t>Vivaan Patel</t>
  </si>
  <si>
    <t>Priya Singh</t>
  </si>
  <si>
    <t>Rahul Patel</t>
  </si>
  <si>
    <t>Arjun Mehta</t>
  </si>
  <si>
    <t>Saanvi Agarwal</t>
  </si>
  <si>
    <t>Anika Reddy</t>
  </si>
  <si>
    <t>Amit Agarwal</t>
  </si>
  <si>
    <t>Ira Bansal</t>
  </si>
  <si>
    <t>Pooja Kapoor</t>
  </si>
  <si>
    <t>Rs.2,999.97</t>
  </si>
  <si>
    <t>24/12/2024</t>
  </si>
  <si>
    <t>Rs.1,321.15</t>
  </si>
  <si>
    <t>19/10/2024</t>
  </si>
  <si>
    <t>Ira Chopra</t>
  </si>
  <si>
    <t>Aadhya Kapoor</t>
  </si>
  <si>
    <t>Neha Bansal</t>
  </si>
  <si>
    <t>Rs.4,331.61</t>
  </si>
  <si>
    <t>Amit Chopra</t>
  </si>
  <si>
    <t>Rahul Agarwal</t>
  </si>
  <si>
    <t>Aarav Pillai</t>
  </si>
  <si>
    <t>Aditya Das</t>
  </si>
  <si>
    <t>Aadhya Pillai</t>
  </si>
  <si>
    <t>Aditya Joshi</t>
  </si>
  <si>
    <t>Vikram Bose</t>
  </si>
  <si>
    <t>Rs.3,086.07</t>
  </si>
  <si>
    <t>Amit Gupta</t>
  </si>
  <si>
    <t>Anika Bansal</t>
  </si>
  <si>
    <t>Karan Bose</t>
  </si>
  <si>
    <t>Aditya Kapoor</t>
  </si>
  <si>
    <t>Vivaan Pillai</t>
  </si>
  <si>
    <t>Diya Bose</t>
  </si>
  <si>
    <t>KIARA MEHTA</t>
  </si>
  <si>
    <t>Ananya Gupta</t>
  </si>
  <si>
    <t>Ira Joshi</t>
  </si>
  <si>
    <t>ANIKA PATEL</t>
  </si>
  <si>
    <t>Krishna Patel</t>
  </si>
  <si>
    <t>Rs.2,842.16</t>
  </si>
  <si>
    <t>Reyansh Patel</t>
  </si>
  <si>
    <t>Navya Malhotra</t>
  </si>
  <si>
    <t>Priya Kapoor</t>
  </si>
  <si>
    <t>Ira Kumar</t>
  </si>
  <si>
    <t>Ayaan Bansal</t>
  </si>
  <si>
    <t>18/07/2024</t>
  </si>
  <si>
    <t>Neha Singh</t>
  </si>
  <si>
    <t>VIVAAN PILLAI</t>
  </si>
  <si>
    <t>Rs.57.04</t>
  </si>
  <si>
    <t>Amit Rao</t>
  </si>
  <si>
    <t>Neha Kumar</t>
  </si>
  <si>
    <t>30/08/2024</t>
  </si>
  <si>
    <t>Sneha Joshi</t>
  </si>
  <si>
    <t>Rahul Kapoor</t>
  </si>
  <si>
    <t>Myra Das</t>
  </si>
  <si>
    <t>Rohan Nair</t>
  </si>
  <si>
    <t>Rs.2,350.69</t>
  </si>
  <si>
    <t>Ishaan Bansal</t>
  </si>
  <si>
    <t>Rs.1,075.31</t>
  </si>
  <si>
    <t>Neha Mehta</t>
  </si>
  <si>
    <t>ARJUN DAS</t>
  </si>
  <si>
    <t>25/04/2024</t>
  </si>
  <si>
    <t>Aarav Bansal</t>
  </si>
  <si>
    <t>Aditya Verma</t>
  </si>
  <si>
    <t>Vivaan Rao</t>
  </si>
  <si>
    <t>Ishaan Kapoor</t>
  </si>
  <si>
    <t>Sneha Bose</t>
  </si>
  <si>
    <t>VIKRAM IYER</t>
  </si>
  <si>
    <t>Rs.321.72</t>
  </si>
  <si>
    <t>Arjun Nair</t>
  </si>
  <si>
    <t>Sneha Verma</t>
  </si>
  <si>
    <t>Aadhya Bansal</t>
  </si>
  <si>
    <t>Priya Pillai</t>
  </si>
  <si>
    <t>ANANYA KAPOOR</t>
  </si>
  <si>
    <t>Vihaan Bose</t>
  </si>
  <si>
    <t>Rahul Rao</t>
  </si>
  <si>
    <t>13/06/2024</t>
  </si>
  <si>
    <t>Aditya Bansal</t>
  </si>
  <si>
    <t>Rs.140.06</t>
  </si>
  <si>
    <t>Neha Gupta</t>
  </si>
  <si>
    <t>Saanvi Sharma</t>
  </si>
  <si>
    <t>14/06/2024</t>
  </si>
  <si>
    <t>Myra Chopra</t>
  </si>
  <si>
    <t>Riya Das</t>
  </si>
  <si>
    <t>Arjun Das</t>
  </si>
  <si>
    <t>Aarav Agarwal</t>
  </si>
  <si>
    <t>Rs.175.91</t>
  </si>
  <si>
    <t>15/06/2024</t>
  </si>
  <si>
    <t>Amit Bansal</t>
  </si>
  <si>
    <t>28/11/2024</t>
  </si>
  <si>
    <t>Rs.557.15</t>
  </si>
  <si>
    <t>Kiara Malhotra</t>
  </si>
  <si>
    <t>ANANYA AGARWAL</t>
  </si>
  <si>
    <t>Ananya Sharma</t>
  </si>
  <si>
    <t>Ayaan Agarwal</t>
  </si>
  <si>
    <t>Vikram Rao</t>
  </si>
  <si>
    <t>Rahul Verma</t>
  </si>
  <si>
    <t>29/09/2024</t>
  </si>
  <si>
    <t>Diya Pillai</t>
  </si>
  <si>
    <t>Sai Pillai</t>
  </si>
  <si>
    <t>Aarav Iyer</t>
  </si>
  <si>
    <t>Anika Singh</t>
  </si>
  <si>
    <t>Kiara Patel</t>
  </si>
  <si>
    <t>Rs.239.60</t>
  </si>
  <si>
    <t>Krishna Gupta</t>
  </si>
  <si>
    <t>28/07/2024</t>
  </si>
  <si>
    <t>14/09/2024</t>
  </si>
  <si>
    <t>Navya Mehta</t>
  </si>
  <si>
    <t>Sai Kumar</t>
  </si>
  <si>
    <t>25/06/2024</t>
  </si>
  <si>
    <t>Nisha Chopra</t>
  </si>
  <si>
    <t>25/05/2024</t>
  </si>
  <si>
    <t>Reyansh Gupta</t>
  </si>
  <si>
    <t>Karan Joshi</t>
  </si>
  <si>
    <t>Vivaan Mehta</t>
  </si>
  <si>
    <t>Rs.2,192.76</t>
  </si>
  <si>
    <t>Aditya Mehta</t>
  </si>
  <si>
    <t>Diya Rao</t>
  </si>
  <si>
    <t>Rs.774.09</t>
  </si>
  <si>
    <t>Vihaan Kapoor</t>
  </si>
  <si>
    <t>Rohan Patel</t>
  </si>
  <si>
    <t>Ishaan Reddy</t>
  </si>
  <si>
    <t>Arjun Reddy</t>
  </si>
  <si>
    <t>17/04/2024</t>
  </si>
  <si>
    <t>Diya Agarwal</t>
  </si>
  <si>
    <t>Vivaan Kumar</t>
  </si>
  <si>
    <t>Pooja Singh</t>
  </si>
  <si>
    <t>Rs.3,104.39</t>
  </si>
  <si>
    <t>Vivaan Malhotra</t>
  </si>
  <si>
    <t>Anika Pillai</t>
  </si>
  <si>
    <t>15/10/2024</t>
  </si>
  <si>
    <t>23/01/2024</t>
  </si>
  <si>
    <t>Vikram Patel</t>
  </si>
  <si>
    <t>Pooja Agarwal</t>
  </si>
  <si>
    <t>29/02/2024</t>
  </si>
  <si>
    <t>Myra Nair</t>
  </si>
  <si>
    <t>Rs.11,650.73</t>
  </si>
  <si>
    <t>Sneha Rao</t>
  </si>
  <si>
    <t>Priya Rao</t>
  </si>
  <si>
    <t>Rs.1,267.48</t>
  </si>
  <si>
    <t>26/08/2024</t>
  </si>
  <si>
    <t>Vivaan Bose</t>
  </si>
  <si>
    <t>Saanvi Verma</t>
  </si>
  <si>
    <t>SAANVI MALHOTRA</t>
  </si>
  <si>
    <t>Rs.9,572.17</t>
  </si>
  <si>
    <t>24/04/2024</t>
  </si>
  <si>
    <t>Vikram Nair</t>
  </si>
  <si>
    <t>21/04/2024</t>
  </si>
  <si>
    <t>Karan Bansal</t>
  </si>
  <si>
    <t>Riya Bose</t>
  </si>
  <si>
    <t>Anika Gupta</t>
  </si>
  <si>
    <t>Aarav Das</t>
  </si>
  <si>
    <t>Rs.9,666.98</t>
  </si>
  <si>
    <t>Aadhya Bose</t>
  </si>
  <si>
    <t>Ira Nair</t>
  </si>
  <si>
    <t>RIYA BANSAL</t>
  </si>
  <si>
    <t>Kiara Gupta</t>
  </si>
  <si>
    <t>Pooja Joshi</t>
  </si>
  <si>
    <t>Rs.295.83</t>
  </si>
  <si>
    <t>Priya Das</t>
  </si>
  <si>
    <t>Vihaan Nair</t>
  </si>
  <si>
    <t>Ira Patel</t>
  </si>
  <si>
    <t>Reyansh Chopra</t>
  </si>
  <si>
    <t>Anika Iyer</t>
  </si>
  <si>
    <t>Ishaan Iyer</t>
  </si>
  <si>
    <t>Nisha Joshi</t>
  </si>
  <si>
    <t>Rohan Verma</t>
  </si>
  <si>
    <t>Reyansh Reddy</t>
  </si>
  <si>
    <t>16/06/2024</t>
  </si>
  <si>
    <t>17/01/2024</t>
  </si>
  <si>
    <t>Saanvi Chopra</t>
  </si>
  <si>
    <t>13/10/2024</t>
  </si>
  <si>
    <t>Kiara Agarwal</t>
  </si>
  <si>
    <t>29/07/2024</t>
  </si>
  <si>
    <t>Vihaan Das</t>
  </si>
  <si>
    <t>Ira Kapoor</t>
  </si>
  <si>
    <t>Rs.4,013.55</t>
  </si>
  <si>
    <t>Navya Agarwal</t>
  </si>
  <si>
    <t>Rs.14,432.37</t>
  </si>
  <si>
    <t>Rs.3,100.34</t>
  </si>
  <si>
    <t>Navya Kapoor</t>
  </si>
  <si>
    <t>Rahul Chopra</t>
  </si>
  <si>
    <t>Aditya Singh</t>
  </si>
  <si>
    <t>Vihaan Mehta</t>
  </si>
  <si>
    <t>Rs.4,405.05</t>
  </si>
  <si>
    <t>Rs.82.20</t>
  </si>
  <si>
    <t>Pooja Patel</t>
  </si>
  <si>
    <t>Aditya Reddy</t>
  </si>
  <si>
    <t>30/03/2024</t>
  </si>
  <si>
    <t>Amit Iyer</t>
  </si>
  <si>
    <t>Rs.2,920.74</t>
  </si>
  <si>
    <t>Anika Bose</t>
  </si>
  <si>
    <t>Vivaan Chopra</t>
  </si>
  <si>
    <t>Rs.14,603.25</t>
  </si>
  <si>
    <t>18/04/2024</t>
  </si>
  <si>
    <t>Myra Kumar</t>
  </si>
  <si>
    <t>Saanvi Gupta</t>
  </si>
  <si>
    <t>Pooja Iyer</t>
  </si>
  <si>
    <t>Sai Rao</t>
  </si>
  <si>
    <t>Navya Bansal</t>
  </si>
  <si>
    <t>26/11/2024</t>
  </si>
  <si>
    <t>Saanvi Iyer</t>
  </si>
  <si>
    <t>Rs.122.04</t>
  </si>
  <si>
    <t>Myra Mehta</t>
  </si>
  <si>
    <t>17/09/2024</t>
  </si>
  <si>
    <t>Priya Agarwal</t>
  </si>
  <si>
    <t>Priya Nair</t>
  </si>
  <si>
    <t>Rs.893.06</t>
  </si>
  <si>
    <t>Ira Singh</t>
  </si>
  <si>
    <t>13/08/2024</t>
  </si>
  <si>
    <t>Rohan Agarwal</t>
  </si>
  <si>
    <t>27/08/2024</t>
  </si>
  <si>
    <t>Riya Kapoor</t>
  </si>
  <si>
    <t>26/05/2024</t>
  </si>
  <si>
    <t>Krishna Joshi</t>
  </si>
  <si>
    <t>18/08/2024</t>
  </si>
  <si>
    <t>Rohan Joshi</t>
  </si>
  <si>
    <t>28/05/2024</t>
  </si>
  <si>
    <t>Anika Das</t>
  </si>
  <si>
    <t>Aadhya Malhotra</t>
  </si>
  <si>
    <t>26/06/2024</t>
  </si>
  <si>
    <t>Neha Rao</t>
  </si>
  <si>
    <t>Rs.3,026.13</t>
  </si>
  <si>
    <t>Ira Iyer</t>
  </si>
  <si>
    <t>23/06/2024</t>
  </si>
  <si>
    <t>Karan Sharma</t>
  </si>
  <si>
    <t>14/11/2024</t>
  </si>
  <si>
    <t>ARJUN NAIR</t>
  </si>
  <si>
    <t>Rs.1,603.41</t>
  </si>
  <si>
    <t>Ayaan Chopra</t>
  </si>
  <si>
    <t>Reyansh Rao</t>
  </si>
  <si>
    <t>Rs.3,447.70</t>
  </si>
  <si>
    <t>Arjun Chopra</t>
  </si>
  <si>
    <t>Karan Kumar</t>
  </si>
  <si>
    <t>Neha Chopra</t>
  </si>
  <si>
    <t>Navya Pillai</t>
  </si>
  <si>
    <t>Krishna Verma</t>
  </si>
  <si>
    <t>RAHUL PILLAI</t>
  </si>
  <si>
    <t>Rs.501.13</t>
  </si>
  <si>
    <t>Sai Bansal</t>
  </si>
  <si>
    <t>Vihaan Patel</t>
  </si>
  <si>
    <t>Ishaan Agarwal</t>
  </si>
  <si>
    <t>Kiara Chopra</t>
  </si>
  <si>
    <t>Reyansh Malhotra</t>
  </si>
  <si>
    <t>19/03/2024</t>
  </si>
  <si>
    <t>13/12/2024</t>
  </si>
  <si>
    <t>Pooja Das</t>
  </si>
  <si>
    <t>Krishna Sharma</t>
  </si>
  <si>
    <t>Aadhya Reddy</t>
  </si>
  <si>
    <t>POOJA KUMAR</t>
  </si>
  <si>
    <t>DIYA GUPTA</t>
  </si>
  <si>
    <t>Vihaan Singh</t>
  </si>
  <si>
    <t>Rs.18,636.71</t>
  </si>
  <si>
    <t>Rs.1,606.33</t>
  </si>
  <si>
    <t>20/07/2024</t>
  </si>
  <si>
    <t>Rs.4,240.34</t>
  </si>
  <si>
    <t>Kiara Nair</t>
  </si>
  <si>
    <t>Vikram Sharma</t>
  </si>
  <si>
    <t>Saanvi Rao</t>
  </si>
  <si>
    <t>Myra Agarwal</t>
  </si>
  <si>
    <t>Rs.34,444.03</t>
  </si>
  <si>
    <t>Myra Patel</t>
  </si>
  <si>
    <t>Sai Sharma</t>
  </si>
  <si>
    <t>15/07/2024</t>
  </si>
  <si>
    <t>Pooja Nair</t>
  </si>
  <si>
    <t>Rs.19,433.12</t>
  </si>
  <si>
    <t>Aarav Rao</t>
  </si>
  <si>
    <t>Sai Verma</t>
  </si>
  <si>
    <t>Rs.8,559.24</t>
  </si>
  <si>
    <t>Arjun Pillai</t>
  </si>
  <si>
    <t>Navya Iyer</t>
  </si>
  <si>
    <t>Rs.11,349.28</t>
  </si>
  <si>
    <t>Saanvi Patel</t>
  </si>
  <si>
    <t>Neha Joshi</t>
  </si>
  <si>
    <t>Ishaan Verma</t>
  </si>
  <si>
    <t>Vikram Agarwal</t>
  </si>
  <si>
    <t>Aarav Kumar</t>
  </si>
  <si>
    <t>15/11/2024</t>
  </si>
  <si>
    <t>Diya Singh</t>
  </si>
  <si>
    <t>Vivaan Iyer</t>
  </si>
  <si>
    <t>Neha Malhotra</t>
  </si>
  <si>
    <t>Ishaan Pillai</t>
  </si>
  <si>
    <t>Arjun Bose</t>
  </si>
  <si>
    <t>16/02/2024</t>
  </si>
  <si>
    <t>17/02/2024</t>
  </si>
  <si>
    <t>Vivaan Das</t>
  </si>
  <si>
    <t>Krishna Agarwal</t>
  </si>
  <si>
    <t>Myra Pillai</t>
  </si>
  <si>
    <t>26/04/2024</t>
  </si>
  <si>
    <t>Neha Reddy</t>
  </si>
  <si>
    <t>Ananya Das</t>
  </si>
  <si>
    <t>Ananya Bansal</t>
  </si>
  <si>
    <t>NAVYA CHOPRA</t>
  </si>
  <si>
    <t>KARAN SINGH</t>
  </si>
  <si>
    <t>24/08/2024</t>
  </si>
  <si>
    <t>Diya Kapoor</t>
  </si>
  <si>
    <t>Rs.770.28</t>
  </si>
  <si>
    <t>Rahul Gupta</t>
  </si>
  <si>
    <t>Rs.683.89</t>
  </si>
  <si>
    <t>Aarav Malhotra</t>
  </si>
  <si>
    <t>Rs.3,920.05</t>
  </si>
  <si>
    <t>Krishna Singh</t>
  </si>
  <si>
    <t>Rs.819.09</t>
  </si>
  <si>
    <t>Vikram Mehta</t>
  </si>
  <si>
    <t>Rs.589.78</t>
  </si>
  <si>
    <t>Rs.865.33</t>
  </si>
  <si>
    <t>Riya Malhotra</t>
  </si>
  <si>
    <t>Rs.637.03</t>
  </si>
  <si>
    <t>Neha Patel</t>
  </si>
  <si>
    <t>Rs.499.07</t>
  </si>
  <si>
    <t>24/06/2024</t>
  </si>
  <si>
    <t>Ananya Joshi</t>
  </si>
  <si>
    <t>Neha Bose</t>
  </si>
  <si>
    <t>14/01/2024</t>
  </si>
  <si>
    <t>Rs.1,037.07</t>
  </si>
  <si>
    <t>Kiara Sharma</t>
  </si>
  <si>
    <t>Ishaan Joshi</t>
  </si>
  <si>
    <t>Rohan Rao</t>
  </si>
  <si>
    <t>Nisha Kapoor</t>
  </si>
  <si>
    <t>Ayaan Reddy</t>
  </si>
  <si>
    <t>21/11/2024</t>
  </si>
  <si>
    <t>Rs.63.22</t>
  </si>
  <si>
    <t>24/03/2024</t>
  </si>
  <si>
    <t>Ira Das</t>
  </si>
  <si>
    <t>Reyansh Verma</t>
  </si>
  <si>
    <t>Aditya Agarwal</t>
  </si>
  <si>
    <t>KARAN CHOPRA</t>
  </si>
  <si>
    <t>ANANYA NAIR</t>
  </si>
  <si>
    <t>30/01/2024</t>
  </si>
  <si>
    <t>Ayaan Gupta</t>
  </si>
  <si>
    <t>Nisha Iyer</t>
  </si>
  <si>
    <t>Aditya Pillai</t>
  </si>
  <si>
    <t>KARAN AGARWAL</t>
  </si>
  <si>
    <t>Rohan Pillai</t>
  </si>
  <si>
    <t>Priya Verma</t>
  </si>
  <si>
    <t>Vihaan Malhotra</t>
  </si>
  <si>
    <t>Ira Malhotra</t>
  </si>
  <si>
    <t>Aadhya Kumar</t>
  </si>
  <si>
    <t>Diya Gupta</t>
  </si>
  <si>
    <t>Rs.524.65</t>
  </si>
  <si>
    <t>Rs.4,097.20</t>
  </si>
  <si>
    <t>Karan Gupta</t>
  </si>
  <si>
    <t>Rs.5,238.94</t>
  </si>
  <si>
    <t>Vikram Bansal</t>
  </si>
  <si>
    <t>Sneha Malhotra</t>
  </si>
  <si>
    <t>Saanvi Pillai</t>
  </si>
  <si>
    <t>DIYA SINGH</t>
  </si>
  <si>
    <t>Rs.179.80</t>
  </si>
  <si>
    <t>Riya Pillai</t>
  </si>
  <si>
    <t>Rs.66.28</t>
  </si>
  <si>
    <t>Arjun Gupta</t>
  </si>
  <si>
    <t>ANANYA DAS</t>
  </si>
  <si>
    <t>Krishna Malhotra</t>
  </si>
  <si>
    <t>Vihaan Verma</t>
  </si>
  <si>
    <t>Nisha Sharma</t>
  </si>
  <si>
    <t>Rs.260.42</t>
  </si>
  <si>
    <t>Ishaan Nair</t>
  </si>
  <si>
    <t>DIYA NAIR</t>
  </si>
  <si>
    <t>Rahul Das</t>
  </si>
  <si>
    <t>Amit Verma</t>
  </si>
  <si>
    <t>Navya Bose</t>
  </si>
  <si>
    <t>RAHUL BOSE</t>
  </si>
  <si>
    <t>Rohan Bansal</t>
  </si>
  <si>
    <t>Riya Gupta</t>
  </si>
  <si>
    <t>Vivaan Agarwal</t>
  </si>
  <si>
    <t>Rs.1,716.79</t>
  </si>
  <si>
    <t>Rs.215.87</t>
  </si>
  <si>
    <t>Rs.2,119.43</t>
  </si>
  <si>
    <t>Ishaan Gupta</t>
  </si>
  <si>
    <t>Navya Das</t>
  </si>
  <si>
    <t>21/12/2024</t>
  </si>
  <si>
    <t>Ayaan Verma</t>
  </si>
  <si>
    <t>22/02/2024</t>
  </si>
  <si>
    <t>ADITYA PATEL</t>
  </si>
  <si>
    <t>Rs.2,463.41</t>
  </si>
  <si>
    <t>22/04/2024</t>
  </si>
  <si>
    <t>28/09/2024</t>
  </si>
  <si>
    <t>Navya Sharma</t>
  </si>
  <si>
    <t>18/10/2024</t>
  </si>
  <si>
    <t>Ayaan Malhotra</t>
  </si>
  <si>
    <t>Myra Malhotra</t>
  </si>
  <si>
    <t>Rohan Das</t>
  </si>
  <si>
    <t>Aadhya Singh</t>
  </si>
  <si>
    <t>Myra Verma</t>
  </si>
  <si>
    <t>Diya Das</t>
  </si>
  <si>
    <t>Sai Chopra</t>
  </si>
  <si>
    <t>Riya Kumar</t>
  </si>
  <si>
    <t>Ananya Mehta</t>
  </si>
  <si>
    <t>Rs.23,201.99</t>
  </si>
  <si>
    <t>REYANSH VERMA</t>
  </si>
  <si>
    <t>Rs.9,685.54</t>
  </si>
  <si>
    <t>Rahul Reddy</t>
  </si>
  <si>
    <t>NISHA IYER</t>
  </si>
  <si>
    <t>SNEHA BOSE</t>
  </si>
  <si>
    <t>Sneha Agarwal</t>
  </si>
  <si>
    <t>Priya Kumar</t>
  </si>
  <si>
    <t>Nisha Verma</t>
  </si>
  <si>
    <t>Rs.3,112.93</t>
  </si>
  <si>
    <t>14/02/2024</t>
  </si>
  <si>
    <t>Aarav Verma</t>
  </si>
  <si>
    <t>Aarav Bose</t>
  </si>
  <si>
    <t>Rs.338.65</t>
  </si>
  <si>
    <t>Ananya Iyer</t>
  </si>
  <si>
    <t>Aditya Patel</t>
  </si>
  <si>
    <t>Karan Reddy</t>
  </si>
  <si>
    <t>IRA NAIR</t>
  </si>
  <si>
    <t>Reyansh Singh</t>
  </si>
  <si>
    <t>SAI MALHOTRA</t>
  </si>
  <si>
    <t>14/10/2024</t>
  </si>
  <si>
    <t>NAVYA IYER</t>
  </si>
  <si>
    <t>Ira Sharma</t>
  </si>
  <si>
    <t>13/01/2024</t>
  </si>
  <si>
    <t>Aadhya Rao</t>
  </si>
  <si>
    <t>Ira Pillai</t>
  </si>
  <si>
    <t>Arjun Bansal</t>
  </si>
  <si>
    <t>Priya Joshi</t>
  </si>
  <si>
    <t>Ishaan Mehta</t>
  </si>
  <si>
    <t>Priya Reddy</t>
  </si>
  <si>
    <t>28/12/2024</t>
  </si>
  <si>
    <t>Rohan Mehta</t>
  </si>
  <si>
    <t>Reyansh Sharma</t>
  </si>
  <si>
    <t>AADHYA CHOPRA</t>
  </si>
  <si>
    <t>Ayaan Kumar</t>
  </si>
  <si>
    <t>Anika Joshi</t>
  </si>
  <si>
    <t>Rs.36,653.38</t>
  </si>
  <si>
    <t>Vikram Joshi</t>
  </si>
  <si>
    <t>Aarav Nair</t>
  </si>
  <si>
    <t>20/10/2024</t>
  </si>
  <si>
    <t>Amit Kapoor</t>
  </si>
  <si>
    <t>Myra Joshi</t>
  </si>
  <si>
    <t>Amit Kumar</t>
  </si>
  <si>
    <t>Rs.428.46</t>
  </si>
  <si>
    <t>18/06/2024</t>
  </si>
  <si>
    <t>Rs.13,329.36</t>
  </si>
  <si>
    <t>KRISHNA MEHTA</t>
  </si>
  <si>
    <t>Vikram Pillai</t>
  </si>
  <si>
    <t>Karan Pillai</t>
  </si>
  <si>
    <t>Arjun Kumar</t>
  </si>
  <si>
    <t>NAVYA MALHOTRA</t>
  </si>
  <si>
    <t>Rohan Chopra</t>
  </si>
  <si>
    <t>Vikram Das</t>
  </si>
  <si>
    <t>Aarav Mehta</t>
  </si>
  <si>
    <t>Anika Chopra</t>
  </si>
  <si>
    <t>Rs.392.28</t>
  </si>
  <si>
    <t>MYRA BOSE</t>
  </si>
  <si>
    <t>23/07/2024</t>
  </si>
  <si>
    <t>Rs.3,676.22</t>
  </si>
  <si>
    <t>21/02/2024</t>
  </si>
  <si>
    <t>VIKRAM KUMAR</t>
  </si>
  <si>
    <t>Rs.383.99</t>
  </si>
  <si>
    <t>Neha Das</t>
  </si>
  <si>
    <t>Anika Rao</t>
  </si>
  <si>
    <t>Ayaan Singh</t>
  </si>
  <si>
    <t>19/08/2024</t>
  </si>
  <si>
    <t>Ananya Pillai</t>
  </si>
  <si>
    <t>Nisha Nair</t>
  </si>
  <si>
    <t>Sneha Das</t>
  </si>
  <si>
    <t>18/02/2024</t>
  </si>
  <si>
    <t>Rs.7,027.15</t>
  </si>
  <si>
    <t>20/08/2024</t>
  </si>
  <si>
    <t>Myra Rao</t>
  </si>
  <si>
    <t>Rs.42,945.25</t>
  </si>
  <si>
    <t>17/11/2024</t>
  </si>
  <si>
    <t>Rs.2,165.68</t>
  </si>
  <si>
    <t>Ishaan Das</t>
  </si>
  <si>
    <t>26/02/2024</t>
  </si>
  <si>
    <t>27/04/2024</t>
  </si>
  <si>
    <t>Rs.5,737.81</t>
  </si>
  <si>
    <t>25/10/2024</t>
  </si>
  <si>
    <t>Rs.6,094.91</t>
  </si>
  <si>
    <t>Saanvi Nair</t>
  </si>
  <si>
    <t>Riya Rao</t>
  </si>
  <si>
    <t>22/09/2024</t>
  </si>
  <si>
    <t>Ishaan Malhotra</t>
  </si>
  <si>
    <t>Kiara Singh</t>
  </si>
  <si>
    <t>Anika Mehta</t>
  </si>
  <si>
    <t>Rs.1,505.91</t>
  </si>
  <si>
    <t>Arjun Malhotra</t>
  </si>
  <si>
    <t>21/09/2024</t>
  </si>
  <si>
    <t>Aadhya Das</t>
  </si>
  <si>
    <t>26/12/2024</t>
  </si>
  <si>
    <t>Sneha Chopra</t>
  </si>
  <si>
    <t>Karan Nair</t>
  </si>
  <si>
    <t>NEHA DAS</t>
  </si>
  <si>
    <t>Rs.154.98</t>
  </si>
  <si>
    <t>Neha Sharma</t>
  </si>
  <si>
    <t>Rs.17,523.85</t>
  </si>
  <si>
    <t>Sai Malhotra</t>
  </si>
  <si>
    <t>22/11/2024</t>
  </si>
  <si>
    <t>Ira Verma</t>
  </si>
  <si>
    <t>Rs.3,679.59</t>
  </si>
  <si>
    <t>Krishna Reddy</t>
  </si>
  <si>
    <t>ANIKA IYER</t>
  </si>
  <si>
    <t>Neha Verma</t>
  </si>
  <si>
    <t>Anika Kumar</t>
  </si>
  <si>
    <t>Rs.899.53</t>
  </si>
  <si>
    <t>Rs.3,023.24</t>
  </si>
  <si>
    <t>Sai Das</t>
  </si>
  <si>
    <t>Diya Joshi</t>
  </si>
  <si>
    <t>Rs.373.67</t>
  </si>
  <si>
    <t>PRIYA AGARWAL</t>
  </si>
  <si>
    <t>ANANYA VERMA</t>
  </si>
  <si>
    <t>Amit Mehta</t>
  </si>
  <si>
    <t>Rs.4,231.11</t>
  </si>
  <si>
    <t>Saanvi Bose</t>
  </si>
  <si>
    <t>RIYA IYER</t>
  </si>
  <si>
    <t>Rs.3,531.06</t>
  </si>
  <si>
    <t>Priya Sharma</t>
  </si>
  <si>
    <t>Rs.1,601.76</t>
  </si>
  <si>
    <t>Ishaan Patel</t>
  </si>
  <si>
    <t>Rs.1,702.01</t>
  </si>
  <si>
    <t>Saanvi Reddy</t>
  </si>
  <si>
    <t>Navya Chopra</t>
  </si>
  <si>
    <t>Krishna Mehta</t>
  </si>
  <si>
    <t>Ananya Chopra</t>
  </si>
  <si>
    <t>Rs.3,084.92</t>
  </si>
  <si>
    <t>Rs.278.69</t>
  </si>
  <si>
    <t>16/07/2024</t>
  </si>
  <si>
    <t>Pooja Bose</t>
  </si>
  <si>
    <t>Rs.19,200.25</t>
  </si>
  <si>
    <t>Sai Patel</t>
  </si>
  <si>
    <t>Krishna Pillai</t>
  </si>
  <si>
    <t>Aarav Reddy</t>
  </si>
  <si>
    <t>Rs.3,097.86</t>
  </si>
  <si>
    <t>29/12/2024</t>
  </si>
  <si>
    <t>Rs.3,825.85</t>
  </si>
  <si>
    <t>Ira Gupta</t>
  </si>
  <si>
    <t>23/09/2024</t>
  </si>
  <si>
    <t>Amit Reddy</t>
  </si>
  <si>
    <t>Rs.373.01</t>
  </si>
  <si>
    <t>19/09/2024</t>
  </si>
  <si>
    <t>Aadhya Gupta</t>
  </si>
  <si>
    <t>14/07/2024</t>
  </si>
  <si>
    <t>VIKRAM SINGH</t>
  </si>
  <si>
    <t>Vikram Singh</t>
  </si>
  <si>
    <t>14/08/2024</t>
  </si>
  <si>
    <t>Sai Singh</t>
  </si>
  <si>
    <t>Aarav Joshi</t>
  </si>
  <si>
    <t>VIHAAN SHARMA</t>
  </si>
  <si>
    <t>Ayaan Bose</t>
  </si>
  <si>
    <t>VIKRAM DAS</t>
  </si>
  <si>
    <t>23/03/2024</t>
  </si>
  <si>
    <t>Diya Nair</t>
  </si>
  <si>
    <t>16/04/2024</t>
  </si>
  <si>
    <t>Rs.10,352.31</t>
  </si>
  <si>
    <t>17/10/2024</t>
  </si>
  <si>
    <t>Rs.1,039.55</t>
  </si>
  <si>
    <t>Karan Mehta</t>
  </si>
  <si>
    <t>Rs.427.24</t>
  </si>
  <si>
    <t>Saanvi Joshi</t>
  </si>
  <si>
    <t>SAANVI BOSE</t>
  </si>
  <si>
    <t>MYRA KUMAR</t>
  </si>
  <si>
    <t>Rahul Sharma</t>
  </si>
  <si>
    <t>ARJUN SINGH</t>
  </si>
  <si>
    <t>Riya Singh</t>
  </si>
  <si>
    <t>23/02/2024</t>
  </si>
  <si>
    <t>28/10/2024</t>
  </si>
  <si>
    <t>Aadhya Joshi</t>
  </si>
  <si>
    <t>Sai Agarwal</t>
  </si>
  <si>
    <t>Ira Reddy</t>
  </si>
  <si>
    <t>Nisha Bose</t>
  </si>
  <si>
    <t>Navya Reddy</t>
  </si>
  <si>
    <t>15/12/2024</t>
  </si>
  <si>
    <t>Ishaan Sharma</t>
  </si>
  <si>
    <t>13/11/2024</t>
  </si>
  <si>
    <t>Diya Chopra</t>
  </si>
  <si>
    <t>Ayaan Patel</t>
  </si>
  <si>
    <t>21/08/2024</t>
  </si>
  <si>
    <t>Ira Mehta</t>
  </si>
  <si>
    <t>Ananya Patel</t>
  </si>
  <si>
    <t>17/08/2024</t>
  </si>
  <si>
    <t>Ananya Verma</t>
  </si>
  <si>
    <t>29/03/2024</t>
  </si>
  <si>
    <t>Ira Bose</t>
  </si>
  <si>
    <t>Rs.17,077.43</t>
  </si>
  <si>
    <t>Arjun Verma</t>
  </si>
  <si>
    <t>Rahul Kumar</t>
  </si>
  <si>
    <t>14/03/2024</t>
  </si>
  <si>
    <t>29/08/2024</t>
  </si>
  <si>
    <t>Pooja Sharma</t>
  </si>
  <si>
    <t>Aditya Malhotra</t>
  </si>
  <si>
    <t>Rs.214.27</t>
  </si>
  <si>
    <t>Riya Agarwal</t>
  </si>
  <si>
    <t>Kiara Joshi</t>
  </si>
  <si>
    <t>Rs.4,226.31</t>
  </si>
  <si>
    <t>Karan Malhotra</t>
  </si>
  <si>
    <t>Rahul Singh</t>
  </si>
  <si>
    <t>Rs.234.32</t>
  </si>
  <si>
    <t>Neha Pillai</t>
  </si>
  <si>
    <t>Nisha Agarwal</t>
  </si>
  <si>
    <t>Priya Iyer</t>
  </si>
  <si>
    <t>24/02/2024</t>
  </si>
  <si>
    <t>Ananya Singh</t>
  </si>
  <si>
    <t>Saanvi Das</t>
  </si>
  <si>
    <t>Arjun Joshi</t>
  </si>
  <si>
    <t>22/10/2024</t>
  </si>
  <si>
    <t>Rs.10,967.24</t>
  </si>
  <si>
    <t>NAVYA KUMAR</t>
  </si>
  <si>
    <t>Rs.10,918.31</t>
  </si>
  <si>
    <t>26/10/2024</t>
  </si>
  <si>
    <t>KIARA JOSHI</t>
  </si>
  <si>
    <t>Rs.1,259.15</t>
  </si>
  <si>
    <t>30/11/2024</t>
  </si>
  <si>
    <t>14/04/2024</t>
  </si>
  <si>
    <t>Rs.1,220.73</t>
  </si>
  <si>
    <t>Rs.20,178.58</t>
  </si>
  <si>
    <t>Rs.171.00</t>
  </si>
  <si>
    <t>Sneha Pillai</t>
  </si>
  <si>
    <t>Rs.15,391.25</t>
  </si>
  <si>
    <t>25/02/2024</t>
  </si>
  <si>
    <t>Pooja Verma</t>
  </si>
  <si>
    <t>25/07/2024</t>
  </si>
  <si>
    <t>Rs.25,568.38</t>
  </si>
  <si>
    <t>22/03/2024</t>
  </si>
  <si>
    <t>Rs.43,961.36</t>
  </si>
  <si>
    <t>Rahul Joshi</t>
  </si>
  <si>
    <t>19/02/2024</t>
  </si>
  <si>
    <t>Rs.31,480.66</t>
  </si>
  <si>
    <t>Karan Kapoor</t>
  </si>
  <si>
    <t>Rs.2,288.49</t>
  </si>
  <si>
    <t>Rs.137.76</t>
  </si>
  <si>
    <t>20/03/2024</t>
  </si>
  <si>
    <t>Rs.24,011.45</t>
  </si>
  <si>
    <t>28/06/2024</t>
  </si>
  <si>
    <t>Rs.448.62</t>
  </si>
  <si>
    <t>13/05/2024</t>
  </si>
  <si>
    <t>REYANSH NAIR</t>
  </si>
  <si>
    <t>AARAV SHARMA</t>
  </si>
  <si>
    <t>Rs.22,527.41</t>
  </si>
  <si>
    <t>REYANSH GUPTA</t>
  </si>
  <si>
    <t>Rs.89.56</t>
  </si>
  <si>
    <t>Vihaan Bansal</t>
  </si>
  <si>
    <t>Rs.870.96</t>
  </si>
  <si>
    <t>Rs.104.62</t>
  </si>
  <si>
    <t>Rs.6,222.30</t>
  </si>
  <si>
    <t>Rs.7,593.88</t>
  </si>
  <si>
    <t>16/03/2024</t>
  </si>
  <si>
    <t>17/12/2024</t>
  </si>
  <si>
    <t>31/05/2024</t>
  </si>
  <si>
    <t>Neha Agarwal</t>
  </si>
  <si>
    <t>ANIKA MALHOTRA</t>
  </si>
  <si>
    <t>Aarav Sharma</t>
  </si>
  <si>
    <t>REYANSH KAPOOR</t>
  </si>
  <si>
    <t>30/05/2024</t>
  </si>
  <si>
    <t>SNEHA DAS</t>
  </si>
  <si>
    <t>Sneha Kumar</t>
  </si>
  <si>
    <t>21/07/2024</t>
  </si>
  <si>
    <t>Rs.24,937.05</t>
  </si>
  <si>
    <t>IRA AGARWAL</t>
  </si>
  <si>
    <t>Rs.1,651.47</t>
  </si>
  <si>
    <t>Priya Bansal</t>
  </si>
  <si>
    <t>Aadhya Verma</t>
  </si>
  <si>
    <t>MYRA AGARWAL</t>
  </si>
  <si>
    <t>Rs.5,855.14</t>
  </si>
  <si>
    <t>Rs.11,485.64</t>
  </si>
  <si>
    <t>Neha Kapoor</t>
  </si>
  <si>
    <t>28/04/2024</t>
  </si>
  <si>
    <t>Rs.548.98</t>
  </si>
  <si>
    <t>Rs.615.37</t>
  </si>
  <si>
    <t>VIKRAM KAPOOR</t>
  </si>
  <si>
    <t>Rs.10,217.46</t>
  </si>
  <si>
    <t>Aadhya Chopra</t>
  </si>
  <si>
    <t>Navya Kumar</t>
  </si>
  <si>
    <t>Rs.737.27</t>
  </si>
  <si>
    <t>Rs.1,701.64</t>
  </si>
  <si>
    <t>18/03/2024</t>
  </si>
  <si>
    <t>IRA MEHTA</t>
  </si>
  <si>
    <t>Sneha Singh</t>
  </si>
  <si>
    <t>Sai Nair</t>
  </si>
  <si>
    <t>Rs.27,390.12</t>
  </si>
  <si>
    <t>27/09/2024</t>
  </si>
  <si>
    <t>Rs.2,972.54</t>
  </si>
  <si>
    <t>20/01/2024</t>
  </si>
  <si>
    <t>Saanvi Malhotra</t>
  </si>
  <si>
    <t>Rs.2,368.88</t>
  </si>
  <si>
    <t>NISHA BOSE</t>
  </si>
  <si>
    <t>Diya Patel</t>
  </si>
  <si>
    <t>Nisha Bansal</t>
  </si>
  <si>
    <t>Rs.618.43</t>
  </si>
  <si>
    <t>Ayaan Das</t>
  </si>
  <si>
    <t>19/06/2024</t>
  </si>
  <si>
    <t>27/07/2024</t>
  </si>
  <si>
    <t>Navya Nair</t>
  </si>
  <si>
    <t>Rs.19,604.10</t>
  </si>
  <si>
    <t>REYANSH PILLAI</t>
  </si>
  <si>
    <t>16/01/2024</t>
  </si>
  <si>
    <t>KIARA SHARMA</t>
  </si>
  <si>
    <t>Month</t>
  </si>
  <si>
    <t>Total Amount</t>
  </si>
  <si>
    <t>(Unknown)</t>
  </si>
  <si>
    <t>Aadhya Patel</t>
  </si>
  <si>
    <t>Priya Chopra</t>
  </si>
  <si>
    <t>Anika Patel</t>
  </si>
  <si>
    <t>Pooja Kumar</t>
  </si>
  <si>
    <t>Myra Bose</t>
  </si>
  <si>
    <t>Column</t>
  </si>
  <si>
    <t>Description</t>
  </si>
  <si>
    <t>Known Data Quality Issues</t>
  </si>
  <si>
    <t>Methods to Clear the Issues</t>
  </si>
  <si>
    <t>Unique identifier for each order</t>
  </si>
  <si>
    <t>A few duplicate Order IDs exist (duplicate rows)</t>
  </si>
  <si>
    <r>
      <rPr>
        <sz val="11"/>
        <color rgb="FF000000"/>
        <rFont val="Calibri"/>
        <family val="2"/>
      </rPr>
      <t xml:space="preserve">Use the </t>
    </r>
    <r>
      <rPr>
        <b/>
        <sz val="11"/>
        <color rgb="FF000000"/>
        <rFont val="Calibri"/>
        <family val="2"/>
      </rPr>
      <t>Remove Duplicates</t>
    </r>
    <r>
      <rPr>
        <sz val="11"/>
        <color rgb="FF000000"/>
        <rFont val="Calibri"/>
        <family val="2"/>
      </rPr>
      <t xml:space="preserve"> feature on the Data tab (selecting only the Order ID column) to delete duplicate rows, or use Power Query (Remove Duplicates)</t>
    </r>
  </si>
  <si>
    <t>Date the order was placed</t>
  </si>
  <si>
    <t>Stored as TEXT in 5 different formats (YYYY-MM-DD, DD/MM/YYYY, DD-Mon-YYYY, MM/DD/YYYY, Month DD, YYYY) - needs standardizing</t>
  </si>
  <si>
    <r>
      <rPr>
        <sz val="11"/>
        <color rgb="FF000000"/>
        <rFont val="Calibri"/>
        <family val="2"/>
      </rPr>
      <t xml:space="preserve">Select the column and use the </t>
    </r>
    <r>
      <rPr>
        <b/>
        <sz val="11"/>
        <color rgb="FF000000"/>
        <rFont val="Calibri"/>
        <family val="2"/>
      </rPr>
      <t>Text to Columns</t>
    </r>
    <r>
      <rPr>
        <sz val="11"/>
        <color rgb="FF000000"/>
        <rFont val="Calibri"/>
        <family val="2"/>
      </rPr>
      <t xml:space="preserve"> tool (Data tab), navigating to step 3 and choosing the 'Date' format. Alternatively, use Power Query to change the data type to 'Date' which automatically parses standard text dates, or use the =DATEVALUE() function combined with consistent cell formatting.</t>
    </r>
  </si>
  <si>
    <t>Name of the customer</t>
  </si>
  <si>
    <t>Some blanks; a few entries in ALL CAPS</t>
  </si>
  <si>
    <t>Use the =PROPER() function to convert ALL CAPS entries into standard Title Case. For blanks, filter the column and either impute the missing names with "Unknown" or attempt to look them up based on historical data using the Order ID.</t>
  </si>
  <si>
    <t>Sales region</t>
  </si>
  <si>
    <t>Inconsistent casing and spacing (e.g. 'north', 'NORTH', ' North')</t>
  </si>
  <si>
    <t>Create a helper column using the formula =PROPER(TRIM(cell_reference)) to remove extra spaces and standardize the capitalization. Copy and paste the results as values over the original column.</t>
  </si>
  <si>
    <t>Physical store location</t>
  </si>
  <si>
    <t>Consistent, tied to Region</t>
  </si>
  <si>
    <t>No Need to Clean.</t>
  </si>
  <si>
    <t>Category of product sold</t>
  </si>
  <si>
    <t>Inconsistent casing/trailing spaces (e.g. 'electronics', 'ELECTRONICS ')</t>
  </si>
  <si>
    <t>Similar to Region, use the formula =PROPER(TRIM(cell_reference)) or =UPPER(TRIM(cell_reference)) to remove trailing spaces and ensure uniform casing.</t>
  </si>
  <si>
    <t>Specific product sold</t>
  </si>
  <si>
    <t>Consistent</t>
  </si>
  <si>
    <t>Units sold in the order</t>
  </si>
  <si>
    <t>Some blanks; a few negative values (likely returns) - decide how to treat</t>
  </si>
  <si>
    <t>Filter the column to review negative values. If they are returns, decide whether to keep them as negatives or move them to a separate "Returns" table. If they are data entry errors, convert them using the =ABS() function. Replace blanks with 0 or drop those rows if the quantity cannot be reasonably deduced.</t>
  </si>
  <si>
    <t>Price per unit</t>
  </si>
  <si>
    <t>Mostly numeric, but some stored as text with 'Rs.' prefix; some blanks</t>
  </si>
  <si>
    <t>Use Find and Replace (Ctrl + H) to find "Rs." (and "Rs. ") and replace it with nothing. Then, multiply the column by 1 (using Paste Special -&gt; Multiply) or use the =VALUE() function to convert the text to numbers. Filter for blanks and fill them using an XLOOKUP or VLOOKUP based on the Product Name.</t>
  </si>
  <si>
    <t>Discount applied to the order</t>
  </si>
  <si>
    <t>Mixed format - some as decimals (0.10) and some as whole numbers (10) meant to represent 10%; some blanks</t>
  </si>
  <si>
    <t>Create a helper column with an IF statement to standardize the format to decimals. For example: =IF(cell&gt;1, cell/100, cell). Replace any blank cells with 0 (assuming a blank means no discount).</t>
  </si>
  <si>
    <t>How the customer paid</t>
  </si>
  <si>
    <t>Sales representative who closed the order</t>
  </si>
  <si>
    <t>Note:</t>
  </si>
  <si>
    <t>This sheet also contains ~20 fully duplicated rows and ~15 fully blank rows scattered throughout, intentionally, for you to find and remove.</t>
  </si>
  <si>
    <t>Sum of Amount</t>
  </si>
  <si>
    <t>Count of Orders</t>
  </si>
  <si>
    <t>Jan</t>
  </si>
  <si>
    <t>Feb</t>
  </si>
  <si>
    <t>Mar</t>
  </si>
  <si>
    <t>Apr</t>
  </si>
  <si>
    <t>May</t>
  </si>
  <si>
    <t>Jun</t>
  </si>
  <si>
    <t>Jul</t>
  </si>
  <si>
    <t>Aug</t>
  </si>
  <si>
    <t>Sep</t>
  </si>
  <si>
    <t>Oct</t>
  </si>
  <si>
    <t>Nov</t>
  </si>
  <si>
    <t>Dec</t>
  </si>
  <si>
    <t>Sum of Total Amount</t>
  </si>
  <si>
    <t>Grand Total</t>
  </si>
  <si>
    <t>Sum of Quantity</t>
  </si>
  <si>
    <t>Zenith Retail Annual Sales Report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</si>
</sst>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1"/>
      <color rgb="FFFFFFFF"/>
      <name val="Arial"/>
      <family val="2"/>
    </font>
    <font>
      <sz val="10"/>
      <name val="Arial"/>
      <family val="2"/>
    </font>
    <font>
      <sz val="24"/>
      <color theme="1"/>
      <name val="Calibri"/>
      <family val="2"/>
      <charset val="1"/>
    </font>
    <font>
      <sz val="11"/>
      <color rgb="FF000000"/>
      <name val="Calibri"/>
      <family val="2"/>
    </font>
    <font>
      <b/>
      <sz val="11"/>
      <color rgb="FF000000"/>
      <name val="Calibri"/>
      <family val="2"/>
    </font>
    <font>
      <b/>
      <sz val="14"/>
      <name val="Arial"/>
      <family val="2"/>
    </font>
    <font>
      <sz val="12"/>
      <name val="Arial"/>
      <family val="2"/>
    </font>
  </fonts>
  <fills count="4">
    <fill>
      <patternFill patternType="none"/>
    </fill>
    <fill>
      <patternFill patternType="gray125"/>
    </fill>
    <fill>
      <patternFill patternType="solid">
        <fgColor rgb="FF1F4E78"/>
        <bgColor rgb="FF003366"/>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2" fillId="0" borderId="0" xfId="0" applyFont="1"/>
    <xf numFmtId="0" fontId="1" fillId="2" borderId="0" xfId="0" applyFont="1" applyFill="1"/>
    <xf numFmtId="0" fontId="2" fillId="0" borderId="0" xfId="0" applyFont="1" applyAlignment="1">
      <alignment vertical="top" wrapText="1"/>
    </xf>
    <xf numFmtId="14" fontId="2" fillId="0" borderId="0" xfId="0" applyNumberFormat="1" applyFont="1" applyAlignment="1">
      <alignment horizontal="left"/>
    </xf>
    <xf numFmtId="14" fontId="0" fillId="0" borderId="0" xfId="0" applyNumberFormat="1" applyAlignment="1">
      <alignment horizontal="left"/>
    </xf>
    <xf numFmtId="14" fontId="1" fillId="2" borderId="0" xfId="0" applyNumberFormat="1" applyFont="1" applyFill="1" applyAlignment="1">
      <alignment horizontal="left" vertical="center" wrapText="1"/>
    </xf>
    <xf numFmtId="0" fontId="1" fillId="2" borderId="0" xfId="0" applyFont="1" applyFill="1" applyAlignment="1">
      <alignment horizontal="center" vertical="center" wrapText="1"/>
    </xf>
    <xf numFmtId="2" fontId="1" fillId="2" borderId="0" xfId="0" applyNumberFormat="1" applyFont="1" applyFill="1" applyAlignment="1">
      <alignment horizontal="center" vertical="center"/>
    </xf>
    <xf numFmtId="2" fontId="2" fillId="0" borderId="0" xfId="0" applyNumberFormat="1" applyFont="1"/>
    <xf numFmtId="2" fontId="0" fillId="0" borderId="0" xfId="0" applyNumberFormat="1"/>
    <xf numFmtId="1" fontId="1" fillId="2" borderId="0" xfId="0" applyNumberFormat="1" applyFont="1" applyFill="1" applyAlignment="1">
      <alignment horizontal="center" vertical="center"/>
    </xf>
    <xf numFmtId="1" fontId="2" fillId="0" borderId="0" xfId="0" applyNumberFormat="1" applyFont="1"/>
    <xf numFmtId="1" fontId="0" fillId="0" borderId="0" xfId="0" applyNumberFormat="1"/>
    <xf numFmtId="0" fontId="0" fillId="0" borderId="0" xfId="0" pivotButton="1"/>
    <xf numFmtId="0" fontId="0" fillId="3" borderId="0" xfId="0" applyFill="1"/>
    <xf numFmtId="14" fontId="2" fillId="0" borderId="0" xfId="0" applyNumberFormat="1" applyFont="1"/>
    <xf numFmtId="15" fontId="2" fillId="0" borderId="0" xfId="0" applyNumberFormat="1" applyFont="1"/>
    <xf numFmtId="0" fontId="0" fillId="0" borderId="0" xfId="0" applyAlignment="1">
      <alignment wrapText="1"/>
    </xf>
    <xf numFmtId="0" fontId="4" fillId="0" borderId="0" xfId="0" applyFont="1" applyAlignment="1">
      <alignment wrapText="1"/>
    </xf>
    <xf numFmtId="0" fontId="0" fillId="0" borderId="0" xfId="0" quotePrefix="1" applyAlignment="1">
      <alignment wrapText="1"/>
    </xf>
    <xf numFmtId="0" fontId="6" fillId="0" borderId="0" xfId="0" applyFont="1" applyAlignment="1">
      <alignment vertical="top" wrapText="1"/>
    </xf>
    <xf numFmtId="0" fontId="7" fillId="0" borderId="0" xfId="0" applyFont="1" applyAlignment="1">
      <alignment horizontal="left" vertical="top" wrapText="1"/>
    </xf>
    <xf numFmtId="0" fontId="3"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.xlsx]Sales VS Orders!PivotTable1</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VS Orders</a:t>
            </a:r>
          </a:p>
        </c:rich>
      </c:tx>
      <c:layout>
        <c:manualLayout>
          <c:xMode val="edge"/>
          <c:yMode val="edge"/>
          <c:x val="5.5771328897323461E-2"/>
          <c:y val="1.31651020382737E-2"/>
        </c:manualLayout>
      </c:layout>
      <c:overlay val="0"/>
      <c:spPr>
        <a:solidFill>
          <a:srgbClr val="B8CCE4"/>
        </a:solidFill>
        <a:ln>
          <a:solidFill>
            <a:srgbClr val="FFFFFF"/>
          </a:solidFill>
          <a:prstDash val="solid"/>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8CC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Orders'!$B$1</c:f>
              <c:strCache>
                <c:ptCount val="1"/>
                <c:pt idx="0">
                  <c:v>Sum of Amount</c:v>
                </c:pt>
              </c:strCache>
            </c:strRef>
          </c:tx>
          <c:spPr>
            <a:solidFill>
              <a:srgbClr val="B8CCE4"/>
            </a:solidFill>
            <a:ln>
              <a:noFill/>
            </a:ln>
            <a:effectLst/>
          </c:spPr>
          <c:invertIfNegative val="0"/>
          <c:cat>
            <c:strRef>
              <c:f>'Sales VS Orders'!$A$2:$A$13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Orders'!$B$2:$B$13</c:f>
              <c:numCache>
                <c:formatCode>0.00</c:formatCode>
                <c:ptCount val="12"/>
                <c:pt idx="0">
                  <c:v>8501690.2699999996</c:v>
                </c:pt>
                <c:pt idx="1">
                  <c:v>5073626.5099999979</c:v>
                </c:pt>
                <c:pt idx="2">
                  <c:v>7460663.8600000003</c:v>
                </c:pt>
                <c:pt idx="3">
                  <c:v>7023643.5099999979</c:v>
                </c:pt>
                <c:pt idx="4">
                  <c:v>7771967.100000008</c:v>
                </c:pt>
                <c:pt idx="5">
                  <c:v>6381752.3899999987</c:v>
                </c:pt>
                <c:pt idx="6">
                  <c:v>8223835.8799999971</c:v>
                </c:pt>
                <c:pt idx="7">
                  <c:v>8028783.2800000003</c:v>
                </c:pt>
                <c:pt idx="8">
                  <c:v>6717949.6100000022</c:v>
                </c:pt>
                <c:pt idx="9">
                  <c:v>6673598.3200000003</c:v>
                </c:pt>
                <c:pt idx="10">
                  <c:v>7070844.9699999997</c:v>
                </c:pt>
                <c:pt idx="11">
                  <c:v>8842014.1299999971</c:v>
                </c:pt>
              </c:numCache>
            </c:numRef>
          </c:val>
          <c:extLst>
            <c:ext xmlns:c16="http://schemas.microsoft.com/office/drawing/2014/chart" uri="{C3380CC4-5D6E-409C-BE32-E72D297353CC}">
              <c16:uniqueId val="{00000001-21E1-41D3-BFB9-C6AFF8E194D0}"/>
            </c:ext>
          </c:extLst>
        </c:ser>
        <c:dLbls>
          <c:showLegendKey val="0"/>
          <c:showVal val="0"/>
          <c:showCatName val="0"/>
          <c:showSerName val="0"/>
          <c:showPercent val="0"/>
          <c:showBubbleSize val="0"/>
        </c:dLbls>
        <c:gapWidth val="150"/>
        <c:axId val="2519560"/>
        <c:axId val="2521608"/>
      </c:barChart>
      <c:lineChart>
        <c:grouping val="standard"/>
        <c:varyColors val="0"/>
        <c:ser>
          <c:idx val="1"/>
          <c:order val="1"/>
          <c:tx>
            <c:strRef>
              <c:f>'Sales VS Orders'!$C$1</c:f>
              <c:strCache>
                <c:ptCount val="1"/>
                <c:pt idx="0">
                  <c:v>Count of Orders</c:v>
                </c:pt>
              </c:strCache>
            </c:strRef>
          </c:tx>
          <c:spPr>
            <a:ln w="28575" cap="rnd">
              <a:solidFill>
                <a:schemeClr val="accent2"/>
              </a:solidFill>
              <a:round/>
            </a:ln>
            <a:effectLst/>
          </c:spPr>
          <c:marker>
            <c:symbol val="none"/>
          </c:marker>
          <c:cat>
            <c:strRef>
              <c:f>'Sales VS Orders'!$A$2:$A$13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Orders'!$C$2:$C$13</c:f>
              <c:numCache>
                <c:formatCode>General</c:formatCode>
                <c:ptCount val="12"/>
                <c:pt idx="0">
                  <c:v>191</c:v>
                </c:pt>
                <c:pt idx="1">
                  <c:v>153</c:v>
                </c:pt>
                <c:pt idx="2">
                  <c:v>159</c:v>
                </c:pt>
                <c:pt idx="3">
                  <c:v>165</c:v>
                </c:pt>
                <c:pt idx="4">
                  <c:v>158</c:v>
                </c:pt>
                <c:pt idx="5">
                  <c:v>164</c:v>
                </c:pt>
                <c:pt idx="6">
                  <c:v>191</c:v>
                </c:pt>
                <c:pt idx="7">
                  <c:v>179</c:v>
                </c:pt>
                <c:pt idx="8">
                  <c:v>154</c:v>
                </c:pt>
                <c:pt idx="9">
                  <c:v>167</c:v>
                </c:pt>
                <c:pt idx="10">
                  <c:v>135</c:v>
                </c:pt>
                <c:pt idx="11">
                  <c:v>181</c:v>
                </c:pt>
              </c:numCache>
            </c:numRef>
          </c:val>
          <c:smooth val="0"/>
          <c:extLst>
            <c:ext xmlns:c16="http://schemas.microsoft.com/office/drawing/2014/chart" uri="{C3380CC4-5D6E-409C-BE32-E72D297353CC}">
              <c16:uniqueId val="{00000002-21E1-41D3-BFB9-C6AFF8E194D0}"/>
            </c:ext>
          </c:extLst>
        </c:ser>
        <c:dLbls>
          <c:showLegendKey val="0"/>
          <c:showVal val="0"/>
          <c:showCatName val="0"/>
          <c:showSerName val="0"/>
          <c:showPercent val="0"/>
          <c:showBubbleSize val="0"/>
        </c:dLbls>
        <c:marker val="1"/>
        <c:smooth val="0"/>
        <c:axId val="912044039"/>
        <c:axId val="912031751"/>
      </c:lineChart>
      <c:catAx>
        <c:axId val="251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608"/>
        <c:crosses val="autoZero"/>
        <c:auto val="1"/>
        <c:lblAlgn val="ctr"/>
        <c:lblOffset val="100"/>
        <c:noMultiLvlLbl val="0"/>
      </c:catAx>
      <c:valAx>
        <c:axId val="2521608"/>
        <c:scaling>
          <c:orientation val="minMax"/>
        </c:scaling>
        <c:delete val="0"/>
        <c:axPos val="l"/>
        <c:numFmt formatCode="0.00"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9560"/>
        <c:crosses val="autoZero"/>
        <c:crossBetween val="between"/>
      </c:valAx>
      <c:valAx>
        <c:axId val="9120317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44039"/>
        <c:crosses val="max"/>
        <c:crossBetween val="between"/>
      </c:valAx>
      <c:catAx>
        <c:axId val="912044039"/>
        <c:scaling>
          <c:orientation val="minMax"/>
        </c:scaling>
        <c:delete val="1"/>
        <c:axPos val="b"/>
        <c:numFmt formatCode="General" sourceLinked="1"/>
        <c:majorTickMark val="out"/>
        <c:minorTickMark val="none"/>
        <c:tickLblPos val="nextTo"/>
        <c:crossAx val="912031751"/>
        <c:crosses val="autoZero"/>
        <c:auto val="1"/>
        <c:lblAlgn val="ctr"/>
        <c:lblOffset val="100"/>
        <c:noMultiLvlLbl val="0"/>
      </c:catAx>
      <c:spPr>
        <a:noFill/>
        <a:ln>
          <a:noFill/>
        </a:ln>
        <a:effectLst/>
      </c:spPr>
    </c:plotArea>
    <c:legend>
      <c:legendPos val="b"/>
      <c:layout>
        <c:manualLayout>
          <c:xMode val="edge"/>
          <c:yMode val="edge"/>
          <c:x val="0.34051686652940838"/>
          <c:y val="0"/>
          <c:w val="0.56636653885198218"/>
          <c:h val="7.6299212598425203E-2"/>
        </c:manualLayout>
      </c:layout>
      <c:overlay val="1"/>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.xlsx]Sales By Region!PivotTable2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solidFill>
          <a:srgbClr val="B8CCE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127394" dist="5080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127394" dist="50800" dir="5400000" sx="1000" sy="1000" algn="ctr" rotWithShape="0">
              <a:srgbClr val="000000"/>
            </a:outerShdw>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a:outerShdw blurRad="127394" dist="50800" dir="5400000" sx="1000" sy="1000" algn="ctr" rotWithShape="0">
              <a:srgbClr val="000000"/>
            </a:outerShdw>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a:outerShdw blurRad="127394" dist="50800" dir="5400000" sx="1000" sy="1000" algn="ctr" rotWithShape="0">
              <a:srgbClr val="000000"/>
            </a:outerShdw>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a:outerShdw blurRad="127394" dist="50800" dir="5400000" sx="1000" sy="1000" algn="ctr" rotWithShape="0">
              <a:srgbClr val="000000"/>
            </a:outerShdw>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a:glow>
              <a:schemeClr val="bg1">
                <a:lumMod val="65000"/>
              </a:schemeClr>
            </a:glow>
            <a:outerShdw blurRad="127394" dist="50800" dir="5400000" sx="1000" sy="1000" algn="ctr" rotWithShape="0">
              <a:srgbClr val="000000"/>
            </a:outerShdw>
          </a:effectLst>
        </c:spPr>
      </c:pivotFmt>
    </c:pivotFmts>
    <c:plotArea>
      <c:layout/>
      <c:pieChart>
        <c:varyColors val="1"/>
        <c:ser>
          <c:idx val="0"/>
          <c:order val="0"/>
          <c:tx>
            <c:strRef>
              <c:f>'Sales By Region'!$B$1</c:f>
              <c:strCache>
                <c:ptCount val="1"/>
                <c:pt idx="0">
                  <c:v>Total</c:v>
                </c:pt>
              </c:strCache>
            </c:strRef>
          </c:tx>
          <c:spPr>
            <a:effectLst>
              <a:outerShdw blurRad="127394" dist="50800" dir="5400000" sx="1000" sy="1000" algn="ctr" rotWithShape="0">
                <a:srgbClr val="000000"/>
              </a:outerShdw>
            </a:effectLst>
          </c:spPr>
          <c:dPt>
            <c:idx val="0"/>
            <c:bubble3D val="0"/>
            <c:spPr>
              <a:solidFill>
                <a:schemeClr val="accent1"/>
              </a:solidFill>
              <a:ln w="19050">
                <a:solidFill>
                  <a:schemeClr val="lt1"/>
                </a:solidFill>
              </a:ln>
              <a:effectLst>
                <a:outerShdw blurRad="127394" dist="50800" dir="5400000" sx="1000" sy="1000" algn="ctr" rotWithShape="0">
                  <a:srgbClr val="000000"/>
                </a:outerShdw>
              </a:effectLst>
            </c:spPr>
            <c:extLst>
              <c:ext xmlns:c16="http://schemas.microsoft.com/office/drawing/2014/chart" uri="{C3380CC4-5D6E-409C-BE32-E72D297353CC}">
                <c16:uniqueId val="{00000005-CAF7-4FF1-A5B1-B06D465E1086}"/>
              </c:ext>
            </c:extLst>
          </c:dPt>
          <c:dPt>
            <c:idx val="1"/>
            <c:bubble3D val="0"/>
            <c:spPr>
              <a:solidFill>
                <a:schemeClr val="accent2"/>
              </a:solidFill>
              <a:ln w="19050">
                <a:solidFill>
                  <a:schemeClr val="lt1"/>
                </a:solidFill>
              </a:ln>
              <a:effectLst>
                <a:outerShdw blurRad="127394" dist="50800" dir="5400000" sx="1000" sy="1000" algn="ctr" rotWithShape="0">
                  <a:srgbClr val="000000"/>
                </a:outerShdw>
              </a:effectLst>
            </c:spPr>
            <c:extLst>
              <c:ext xmlns:c16="http://schemas.microsoft.com/office/drawing/2014/chart" uri="{C3380CC4-5D6E-409C-BE32-E72D297353CC}">
                <c16:uniqueId val="{00000004-CAF7-4FF1-A5B1-B06D465E1086}"/>
              </c:ext>
            </c:extLst>
          </c:dPt>
          <c:dPt>
            <c:idx val="2"/>
            <c:bubble3D val="0"/>
            <c:spPr>
              <a:solidFill>
                <a:schemeClr val="accent3"/>
              </a:solidFill>
              <a:ln w="19050">
                <a:solidFill>
                  <a:schemeClr val="lt1"/>
                </a:solidFill>
              </a:ln>
              <a:effectLst>
                <a:outerShdw blurRad="127394" dist="50800" dir="5400000" sx="1000" sy="1000" algn="ctr" rotWithShape="0">
                  <a:srgbClr val="000000"/>
                </a:outerShdw>
              </a:effectLst>
            </c:spPr>
            <c:extLst>
              <c:ext xmlns:c16="http://schemas.microsoft.com/office/drawing/2014/chart" uri="{C3380CC4-5D6E-409C-BE32-E72D297353CC}">
                <c16:uniqueId val="{00000003-CAF7-4FF1-A5B1-B06D465E1086}"/>
              </c:ext>
            </c:extLst>
          </c:dPt>
          <c:dPt>
            <c:idx val="3"/>
            <c:bubble3D val="0"/>
            <c:spPr>
              <a:solidFill>
                <a:schemeClr val="accent4"/>
              </a:solidFill>
              <a:ln w="19050">
                <a:solidFill>
                  <a:schemeClr val="lt1"/>
                </a:solidFill>
              </a:ln>
              <a:effectLst>
                <a:outerShdw blurRad="127394" dist="50800" dir="5400000" sx="1000" sy="1000" algn="ctr" rotWithShape="0">
                  <a:srgbClr val="000000"/>
                </a:outerShdw>
              </a:effectLst>
            </c:spPr>
            <c:extLst>
              <c:ext xmlns:c16="http://schemas.microsoft.com/office/drawing/2014/chart" uri="{C3380CC4-5D6E-409C-BE32-E72D297353CC}">
                <c16:uniqueId val="{00000006-CAF7-4FF1-A5B1-B06D465E1086}"/>
              </c:ext>
            </c:extLst>
          </c:dPt>
          <c:dPt>
            <c:idx val="4"/>
            <c:bubble3D val="0"/>
            <c:spPr>
              <a:solidFill>
                <a:schemeClr val="accent5"/>
              </a:solidFill>
              <a:ln w="19050">
                <a:solidFill>
                  <a:schemeClr val="lt1"/>
                </a:solidFill>
              </a:ln>
              <a:effectLst>
                <a:glow>
                  <a:schemeClr val="bg1">
                    <a:lumMod val="65000"/>
                  </a:schemeClr>
                </a:glow>
                <a:outerShdw blurRad="127394" dist="50800" dir="5400000" sx="1000" sy="1000" algn="ctr" rotWithShape="0">
                  <a:srgbClr val="000000"/>
                </a:outerShdw>
              </a:effectLst>
            </c:spPr>
            <c:extLst>
              <c:ext xmlns:c16="http://schemas.microsoft.com/office/drawing/2014/chart" uri="{C3380CC4-5D6E-409C-BE32-E72D297353CC}">
                <c16:uniqueId val="{00000009-97B1-41E4-8574-F3F6E98C7D9D}"/>
              </c:ext>
            </c:extLst>
          </c:dPt>
          <c:dLbls>
            <c:dLbl>
              <c:idx val="0"/>
              <c:layout>
                <c:manualLayout>
                  <c:x val="-0.13939266040146145"/>
                  <c:y val="0.16344778481012659"/>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AF7-4FF1-A5B1-B06D465E1086}"/>
                </c:ext>
              </c:extLst>
            </c:dLbl>
            <c:dLbl>
              <c:idx val="1"/>
              <c:layout>
                <c:manualLayout>
                  <c:x val="-0.20299385892788555"/>
                  <c:y val="-9.45235888362881E-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CAF7-4FF1-A5B1-B06D465E1086}"/>
                </c:ext>
              </c:extLst>
            </c:dLbl>
            <c:dLbl>
              <c:idx val="2"/>
              <c:layout>
                <c:manualLayout>
                  <c:x val="-0.11880089593633644"/>
                  <c:y val="-0.2207723065965646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AF7-4FF1-A5B1-B06D465E1086}"/>
                </c:ext>
              </c:extLst>
            </c:dLbl>
            <c:dLbl>
              <c:idx val="3"/>
              <c:layout>
                <c:manualLayout>
                  <c:x val="0.14530969094754925"/>
                  <c:y val="-0.128402604594383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CAF7-4FF1-A5B1-B06D465E10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Region'!$A$2:$A$7</c:f>
              <c:strCache>
                <c:ptCount val="5"/>
                <c:pt idx="0">
                  <c:v>Central</c:v>
                </c:pt>
                <c:pt idx="1">
                  <c:v>East</c:v>
                </c:pt>
                <c:pt idx="2">
                  <c:v>North</c:v>
                </c:pt>
                <c:pt idx="3">
                  <c:v>South</c:v>
                </c:pt>
                <c:pt idx="4">
                  <c:v>West</c:v>
                </c:pt>
              </c:strCache>
            </c:strRef>
          </c:cat>
          <c:val>
            <c:numRef>
              <c:f>'Sales By Region'!$B$2:$B$7</c:f>
              <c:numCache>
                <c:formatCode>0.00</c:formatCode>
                <c:ptCount val="5"/>
                <c:pt idx="0">
                  <c:v>17430172.349999998</c:v>
                </c:pt>
                <c:pt idx="1">
                  <c:v>17140423.839999996</c:v>
                </c:pt>
                <c:pt idx="2">
                  <c:v>19240163.229999993</c:v>
                </c:pt>
                <c:pt idx="3">
                  <c:v>15724302.179999998</c:v>
                </c:pt>
                <c:pt idx="4">
                  <c:v>18235308.230000012</c:v>
                </c:pt>
              </c:numCache>
            </c:numRef>
          </c:val>
          <c:extLst>
            <c:ext xmlns:c16="http://schemas.microsoft.com/office/drawing/2014/chart" uri="{C3380CC4-5D6E-409C-BE32-E72D297353CC}">
              <c16:uniqueId val="{00000000-CAF7-4FF1-A5B1-B06D465E10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.xlsx]Payment Methods!PivotTable3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Payment Methods</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'Payment Methods'!$B$3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0C-43CF-8F5D-763A9561E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0C-43CF-8F5D-763A9561E1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0C-43CF-8F5D-763A9561E1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0C-43CF-8F5D-763A9561E1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0C-43CF-8F5D-763A9561E1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30C-43CF-8F5D-763A9561E1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'Payment Methods'!$A$4:$A$10</c:f>
              <c:strCache>
                <c:ptCount val="6"/>
                <c:pt idx="0">
                  <c:v>Cash</c:v>
                </c:pt>
                <c:pt idx="1">
                  <c:v>Credit Card</c:v>
                </c:pt>
                <c:pt idx="2">
                  <c:v>Debit Card</c:v>
                </c:pt>
                <c:pt idx="3">
                  <c:v>EMI</c:v>
                </c:pt>
                <c:pt idx="4">
                  <c:v>Net Banking</c:v>
                </c:pt>
                <c:pt idx="5">
                  <c:v>UPI</c:v>
                </c:pt>
              </c:strCache>
            </c:strRef>
          </c:cat>
          <c:val>
            <c:numRef>
              <c:f>'Payment Methods'!$B$4:$B$10</c:f>
              <c:numCache>
                <c:formatCode>0.00</c:formatCode>
                <c:ptCount val="6"/>
                <c:pt idx="0">
                  <c:v>13593754.559999995</c:v>
                </c:pt>
                <c:pt idx="1">
                  <c:v>14890409.48</c:v>
                </c:pt>
                <c:pt idx="2">
                  <c:v>14966970.880000005</c:v>
                </c:pt>
                <c:pt idx="3">
                  <c:v>14039768.549999995</c:v>
                </c:pt>
                <c:pt idx="4">
                  <c:v>16336190.28999999</c:v>
                </c:pt>
                <c:pt idx="5">
                  <c:v>13943276.069999995</c:v>
                </c:pt>
              </c:numCache>
            </c:numRef>
          </c:val>
          <c:extLst>
            <c:ext xmlns:c16="http://schemas.microsoft.com/office/drawing/2014/chart" uri="{C3380CC4-5D6E-409C-BE32-E72D297353CC}">
              <c16:uniqueId val="{00000000-B518-4E99-BF73-78217045A9F0}"/>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.xlsx]Top 5 Stores!PivotTable4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Stores</a:t>
            </a:r>
          </a:p>
        </c:rich>
      </c:tx>
      <c:overlay val="0"/>
      <c:spPr>
        <a:solidFill>
          <a:srgbClr val="B8CCE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8CC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Stores'!$B$3</c:f>
              <c:strCache>
                <c:ptCount val="1"/>
                <c:pt idx="0">
                  <c:v>Total</c:v>
                </c:pt>
              </c:strCache>
            </c:strRef>
          </c:tx>
          <c:spPr>
            <a:solidFill>
              <a:srgbClr val="B8CC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Stores'!$A$4:$A$9</c:f>
              <c:strCache>
                <c:ptCount val="5"/>
                <c:pt idx="0">
                  <c:v>Bengaluru Store</c:v>
                </c:pt>
                <c:pt idx="1">
                  <c:v>Chandigarh Store</c:v>
                </c:pt>
                <c:pt idx="2">
                  <c:v>Kolkata Store</c:v>
                </c:pt>
                <c:pt idx="3">
                  <c:v>Mumbai Store</c:v>
                </c:pt>
                <c:pt idx="4">
                  <c:v>Nagpur Store</c:v>
                </c:pt>
              </c:strCache>
            </c:strRef>
          </c:cat>
          <c:val>
            <c:numRef>
              <c:f>'Top 5 Stores'!$B$4:$B$9</c:f>
              <c:numCache>
                <c:formatCode>0.00</c:formatCode>
                <c:ptCount val="5"/>
                <c:pt idx="0">
                  <c:v>8684943.4500000048</c:v>
                </c:pt>
                <c:pt idx="1">
                  <c:v>10815791.630000001</c:v>
                </c:pt>
                <c:pt idx="2">
                  <c:v>9007107.8399999961</c:v>
                </c:pt>
                <c:pt idx="3">
                  <c:v>9828603.479999993</c:v>
                </c:pt>
                <c:pt idx="4">
                  <c:v>9542887.290000001</c:v>
                </c:pt>
              </c:numCache>
            </c:numRef>
          </c:val>
          <c:extLst>
            <c:ext xmlns:c16="http://schemas.microsoft.com/office/drawing/2014/chart" uri="{C3380CC4-5D6E-409C-BE32-E72D297353CC}">
              <c16:uniqueId val="{00000000-1C3E-4FA4-B602-9D368BB4CFFC}"/>
            </c:ext>
          </c:extLst>
        </c:ser>
        <c:dLbls>
          <c:dLblPos val="outEnd"/>
          <c:showLegendKey val="0"/>
          <c:showVal val="1"/>
          <c:showCatName val="0"/>
          <c:showSerName val="0"/>
          <c:showPercent val="0"/>
          <c:showBubbleSize val="0"/>
        </c:dLbls>
        <c:gapWidth val="219"/>
        <c:axId val="2114262024"/>
        <c:axId val="379244039"/>
      </c:barChart>
      <c:catAx>
        <c:axId val="2114262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4039"/>
        <c:crosses val="autoZero"/>
        <c:auto val="1"/>
        <c:lblAlgn val="ctr"/>
        <c:lblOffset val="100"/>
        <c:noMultiLvlLbl val="0"/>
      </c:catAx>
      <c:valAx>
        <c:axId val="3792440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6202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.xlsx]Top 5 Product Categories!PivotTable1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 Product Category</a:t>
            </a:r>
          </a:p>
        </c:rich>
      </c:tx>
      <c:overlay val="0"/>
      <c:spPr>
        <a:solidFill>
          <a:srgbClr val="B8CCE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'Top 5 Product 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C1-8049-BAAD-E4BF76E384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C1-8049-BAAD-E4BF76E384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C1-8049-BAAD-E4BF76E384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C1-8049-BAAD-E4BF76E384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C1-8049-BAAD-E4BF76E384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C1-8049-BAAD-E4BF76E384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9C1-8049-BAAD-E4BF76E384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Product Categories'!$A$4:$A$11</c:f>
              <c:strCache>
                <c:ptCount val="7"/>
                <c:pt idx="0">
                  <c:v>Clothing</c:v>
                </c:pt>
                <c:pt idx="1">
                  <c:v>Electronics</c:v>
                </c:pt>
                <c:pt idx="2">
                  <c:v>Footwear</c:v>
                </c:pt>
                <c:pt idx="3">
                  <c:v>Furniture</c:v>
                </c:pt>
                <c:pt idx="4">
                  <c:v>Groceries</c:v>
                </c:pt>
                <c:pt idx="5">
                  <c:v>Home Appliances</c:v>
                </c:pt>
                <c:pt idx="6">
                  <c:v>Stationery</c:v>
                </c:pt>
              </c:strCache>
            </c:strRef>
          </c:cat>
          <c:val>
            <c:numRef>
              <c:f>'Top 5 Product Categories'!$B$4:$B$11</c:f>
              <c:numCache>
                <c:formatCode>General</c:formatCode>
                <c:ptCount val="7"/>
                <c:pt idx="0">
                  <c:v>1678</c:v>
                </c:pt>
                <c:pt idx="1">
                  <c:v>1856</c:v>
                </c:pt>
                <c:pt idx="2">
                  <c:v>1622</c:v>
                </c:pt>
                <c:pt idx="3">
                  <c:v>1808</c:v>
                </c:pt>
                <c:pt idx="4">
                  <c:v>1718</c:v>
                </c:pt>
                <c:pt idx="5">
                  <c:v>1870</c:v>
                </c:pt>
                <c:pt idx="6">
                  <c:v>1775</c:v>
                </c:pt>
              </c:numCache>
            </c:numRef>
          </c:val>
          <c:extLst>
            <c:ext xmlns:c16="http://schemas.microsoft.com/office/drawing/2014/chart" uri="{C3380CC4-5D6E-409C-BE32-E72D297353CC}">
              <c16:uniqueId val="{00000000-F703-453F-9882-1F4E2AC174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.xlsx]Sales VS Orders!PivotTable1</c:name>
    <c:fmtId val="5"/>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Sales VS Orders</a:t>
            </a:r>
          </a:p>
        </c:rich>
      </c:tx>
      <c:layout>
        <c:manualLayout>
          <c:xMode val="edge"/>
          <c:yMode val="edge"/>
          <c:x val="5.3832185430878414E-2"/>
          <c:y val="1.6495668715752636E-2"/>
        </c:manualLayout>
      </c:layout>
      <c:overlay val="0"/>
      <c:spPr>
        <a:solidFill>
          <a:srgbClr val="B8CCE4"/>
        </a:solidFill>
        <a:ln>
          <a:solidFill>
            <a:srgbClr val="FFFFFF"/>
          </a:solidFill>
          <a:prstDash val="solid"/>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92D05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prstDash val="solid"/>
            <a:round/>
          </a:ln>
          <a:effectLst/>
        </c:spPr>
        <c:marker>
          <c:symbol val="circle"/>
          <c:size val="7"/>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8CC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Orders'!$B$1</c:f>
              <c:strCache>
                <c:ptCount val="1"/>
                <c:pt idx="0">
                  <c:v>Sum of Amount</c:v>
                </c:pt>
              </c:strCache>
            </c:strRef>
          </c:tx>
          <c:spPr>
            <a:solidFill>
              <a:srgbClr val="B8CCE4"/>
            </a:solidFill>
            <a:ln>
              <a:noFill/>
            </a:ln>
            <a:effectLst/>
          </c:spPr>
          <c:invertIfNegative val="0"/>
          <c:cat>
            <c:strRef>
              <c:f>'Sales VS Orders'!$A$2:$A$13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Orders'!$B$2:$B$13</c:f>
              <c:numCache>
                <c:formatCode>0.00</c:formatCode>
                <c:ptCount val="12"/>
                <c:pt idx="0">
                  <c:v>8501690.2699999996</c:v>
                </c:pt>
                <c:pt idx="1">
                  <c:v>5073626.5099999979</c:v>
                </c:pt>
                <c:pt idx="2">
                  <c:v>7460663.8600000003</c:v>
                </c:pt>
                <c:pt idx="3">
                  <c:v>7023643.5099999979</c:v>
                </c:pt>
                <c:pt idx="4">
                  <c:v>7771967.100000008</c:v>
                </c:pt>
                <c:pt idx="5">
                  <c:v>6381752.3899999987</c:v>
                </c:pt>
                <c:pt idx="6">
                  <c:v>8223835.8799999971</c:v>
                </c:pt>
                <c:pt idx="7">
                  <c:v>8028783.2800000003</c:v>
                </c:pt>
                <c:pt idx="8">
                  <c:v>6717949.6100000022</c:v>
                </c:pt>
                <c:pt idx="9">
                  <c:v>6673598.3200000003</c:v>
                </c:pt>
                <c:pt idx="10">
                  <c:v>7070844.9699999997</c:v>
                </c:pt>
                <c:pt idx="11">
                  <c:v>8842014.1299999971</c:v>
                </c:pt>
              </c:numCache>
            </c:numRef>
          </c:val>
          <c:extLst>
            <c:ext xmlns:c16="http://schemas.microsoft.com/office/drawing/2014/chart" uri="{C3380CC4-5D6E-409C-BE32-E72D297353CC}">
              <c16:uniqueId val="{00000001-A1BE-444A-9B32-40BDE2E6655E}"/>
            </c:ext>
          </c:extLst>
        </c:ser>
        <c:dLbls>
          <c:showLegendKey val="0"/>
          <c:showVal val="0"/>
          <c:showCatName val="0"/>
          <c:showSerName val="0"/>
          <c:showPercent val="0"/>
          <c:showBubbleSize val="0"/>
        </c:dLbls>
        <c:gapWidth val="150"/>
        <c:axId val="2519560"/>
        <c:axId val="2521608"/>
      </c:barChart>
      <c:lineChart>
        <c:grouping val="standard"/>
        <c:varyColors val="0"/>
        <c:ser>
          <c:idx val="1"/>
          <c:order val="1"/>
          <c:tx>
            <c:strRef>
              <c:f>'Sales VS Orders'!$C$1</c:f>
              <c:strCache>
                <c:ptCount val="1"/>
                <c:pt idx="0">
                  <c:v>Count of Orders</c:v>
                </c:pt>
              </c:strCache>
            </c:strRef>
          </c:tx>
          <c:spPr>
            <a:ln w="28575" cap="rnd">
              <a:solidFill>
                <a:schemeClr val="accent2"/>
              </a:solidFill>
              <a:round/>
            </a:ln>
            <a:effectLst/>
          </c:spPr>
          <c:marker>
            <c:symbol val="none"/>
          </c:marker>
          <c:cat>
            <c:strRef>
              <c:f>'Sales VS Orders'!$A$2:$A$13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Orders'!$C$2:$C$13</c:f>
              <c:numCache>
                <c:formatCode>General</c:formatCode>
                <c:ptCount val="12"/>
                <c:pt idx="0">
                  <c:v>191</c:v>
                </c:pt>
                <c:pt idx="1">
                  <c:v>153</c:v>
                </c:pt>
                <c:pt idx="2">
                  <c:v>159</c:v>
                </c:pt>
                <c:pt idx="3">
                  <c:v>165</c:v>
                </c:pt>
                <c:pt idx="4">
                  <c:v>158</c:v>
                </c:pt>
                <c:pt idx="5">
                  <c:v>164</c:v>
                </c:pt>
                <c:pt idx="6">
                  <c:v>191</c:v>
                </c:pt>
                <c:pt idx="7">
                  <c:v>179</c:v>
                </c:pt>
                <c:pt idx="8">
                  <c:v>154</c:v>
                </c:pt>
                <c:pt idx="9">
                  <c:v>167</c:v>
                </c:pt>
                <c:pt idx="10">
                  <c:v>135</c:v>
                </c:pt>
                <c:pt idx="11">
                  <c:v>181</c:v>
                </c:pt>
              </c:numCache>
            </c:numRef>
          </c:val>
          <c:smooth val="0"/>
          <c:extLst>
            <c:ext xmlns:c16="http://schemas.microsoft.com/office/drawing/2014/chart" uri="{C3380CC4-5D6E-409C-BE32-E72D297353CC}">
              <c16:uniqueId val="{00000002-A1BE-444A-9B32-40BDE2E6655E}"/>
            </c:ext>
          </c:extLst>
        </c:ser>
        <c:dLbls>
          <c:showLegendKey val="0"/>
          <c:showVal val="0"/>
          <c:showCatName val="0"/>
          <c:showSerName val="0"/>
          <c:showPercent val="0"/>
          <c:showBubbleSize val="0"/>
        </c:dLbls>
        <c:marker val="1"/>
        <c:smooth val="0"/>
        <c:axId val="1036051975"/>
        <c:axId val="915727367"/>
      </c:lineChart>
      <c:catAx>
        <c:axId val="251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1608"/>
        <c:crosses val="autoZero"/>
        <c:auto val="1"/>
        <c:lblAlgn val="ctr"/>
        <c:lblOffset val="100"/>
        <c:noMultiLvlLbl val="0"/>
      </c:catAx>
      <c:valAx>
        <c:axId val="2521608"/>
        <c:scaling>
          <c:orientation val="minMax"/>
        </c:scaling>
        <c:delete val="0"/>
        <c:axPos val="l"/>
        <c:numFmt formatCode="0.00" sourceLinked="1"/>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9560"/>
        <c:crosses val="autoZero"/>
        <c:crossBetween val="between"/>
      </c:valAx>
      <c:valAx>
        <c:axId val="9157273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051975"/>
        <c:crosses val="max"/>
        <c:crossBetween val="between"/>
      </c:valAx>
      <c:catAx>
        <c:axId val="1036051975"/>
        <c:scaling>
          <c:orientation val="minMax"/>
        </c:scaling>
        <c:delete val="1"/>
        <c:axPos val="b"/>
        <c:numFmt formatCode="General" sourceLinked="1"/>
        <c:majorTickMark val="out"/>
        <c:minorTickMark val="none"/>
        <c:tickLblPos val="nextTo"/>
        <c:crossAx val="915727367"/>
        <c:crosses val="autoZero"/>
        <c:auto val="1"/>
        <c:lblAlgn val="ctr"/>
        <c:lblOffset val="100"/>
        <c:noMultiLvlLbl val="0"/>
      </c:catAx>
      <c:spPr>
        <a:noFill/>
        <a:ln>
          <a:noFill/>
        </a:ln>
        <a:effectLst/>
      </c:spPr>
    </c:plotArea>
    <c:legend>
      <c:legendPos val="b"/>
      <c:layout>
        <c:manualLayout>
          <c:xMode val="edge"/>
          <c:yMode val="edge"/>
          <c:x val="0.39361009351568232"/>
          <c:y val="2.3752741228070171E-2"/>
          <c:w val="0.60638991725079716"/>
          <c:h val="8.4598425196850388E-2"/>
        </c:manualLayout>
      </c:layout>
      <c:overlay val="1"/>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.xlsx]Sales By Region!PivotTable2</c:name>
    <c:fmtId val="5"/>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Sales By Region</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20299385892788555"/>
              <c:y val="-9.452358883628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880089593633644"/>
              <c:y val="-0.22077230659656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4530969094754925"/>
              <c:y val="-0.1284026045943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3939266040146145"/>
              <c:y val="0.163447784810126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5268795899644633"/>
              <c:y val="-4.331254001708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1.5783504202470114E-2"/>
              <c:y val="-0.200014141925263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973321915063205"/>
              <c:y val="-7.4470398156895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0697156558285813"/>
              <c:y val="0.1774781399900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'Sales By Region'!$B$1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AB-4861-8C37-F1991F9BE4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AB-4861-8C37-F1991F9BE4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AB-4861-8C37-F1991F9BE4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AB-4861-8C37-F1991F9BE4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AB-4861-8C37-F1991F9BE4F0}"/>
              </c:ext>
            </c:extLst>
          </c:dPt>
          <c:dLbls>
            <c:dLbl>
              <c:idx val="0"/>
              <c:layout>
                <c:manualLayout>
                  <c:x val="-0.13939266040146145"/>
                  <c:y val="0.16344778481012659"/>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AEAB-4861-8C37-F1991F9BE4F0}"/>
                </c:ext>
              </c:extLst>
            </c:dLbl>
            <c:dLbl>
              <c:idx val="1"/>
              <c:layout>
                <c:manualLayout>
                  <c:x val="-0.15268795899644633"/>
                  <c:y val="-4.331254001708381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AEAB-4861-8C37-F1991F9BE4F0}"/>
                </c:ext>
              </c:extLst>
            </c:dLbl>
            <c:dLbl>
              <c:idx val="2"/>
              <c:layout>
                <c:manualLayout>
                  <c:x val="-1.5783504202470114E-2"/>
                  <c:y val="-0.20001414192526315"/>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AEAB-4861-8C37-F1991F9BE4F0}"/>
                </c:ext>
              </c:extLst>
            </c:dLbl>
            <c:dLbl>
              <c:idx val="3"/>
              <c:layout>
                <c:manualLayout>
                  <c:x val="0.11973321915063205"/>
                  <c:y val="-7.447039815689542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AEAB-4861-8C37-F1991F9BE4F0}"/>
                </c:ext>
              </c:extLst>
            </c:dLbl>
            <c:dLbl>
              <c:idx val="4"/>
              <c:layout>
                <c:manualLayout>
                  <c:x val="0.10697156558285813"/>
                  <c:y val="0.1774781399900443"/>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AEAB-4861-8C37-F1991F9BE4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Region'!$A$2:$A$7</c:f>
              <c:strCache>
                <c:ptCount val="5"/>
                <c:pt idx="0">
                  <c:v>Central</c:v>
                </c:pt>
                <c:pt idx="1">
                  <c:v>East</c:v>
                </c:pt>
                <c:pt idx="2">
                  <c:v>North</c:v>
                </c:pt>
                <c:pt idx="3">
                  <c:v>South</c:v>
                </c:pt>
                <c:pt idx="4">
                  <c:v>West</c:v>
                </c:pt>
              </c:strCache>
            </c:strRef>
          </c:cat>
          <c:val>
            <c:numRef>
              <c:f>'Sales By Region'!$B$2:$B$7</c:f>
              <c:numCache>
                <c:formatCode>0.00</c:formatCode>
                <c:ptCount val="5"/>
                <c:pt idx="0">
                  <c:v>17430172.349999998</c:v>
                </c:pt>
                <c:pt idx="1">
                  <c:v>17140423.839999996</c:v>
                </c:pt>
                <c:pt idx="2">
                  <c:v>19240163.229999993</c:v>
                </c:pt>
                <c:pt idx="3">
                  <c:v>15724302.179999998</c:v>
                </c:pt>
                <c:pt idx="4">
                  <c:v>18235308.230000012</c:v>
                </c:pt>
              </c:numCache>
            </c:numRef>
          </c:val>
          <c:extLst>
            <c:ext xmlns:c16="http://schemas.microsoft.com/office/drawing/2014/chart" uri="{C3380CC4-5D6E-409C-BE32-E72D297353CC}">
              <c16:uniqueId val="{0000000A-AEAB-4861-8C37-F1991F9BE4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.xlsx]Payment Methods!PivotTable3</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Payment Methods</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'Payment Methods'!$B$3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F9-4C3D-9EB4-F1F3642ED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F9-4C3D-9EB4-F1F3642ED1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F9-4C3D-9EB4-F1F3642ED1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F9-4C3D-9EB4-F1F3642ED1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F9-4C3D-9EB4-F1F3642ED1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F9-4C3D-9EB4-F1F3642ED1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'Payment Methods'!$A$4:$A$10</c:f>
              <c:strCache>
                <c:ptCount val="6"/>
                <c:pt idx="0">
                  <c:v>Cash</c:v>
                </c:pt>
                <c:pt idx="1">
                  <c:v>Credit Card</c:v>
                </c:pt>
                <c:pt idx="2">
                  <c:v>Debit Card</c:v>
                </c:pt>
                <c:pt idx="3">
                  <c:v>EMI</c:v>
                </c:pt>
                <c:pt idx="4">
                  <c:v>Net Banking</c:v>
                </c:pt>
                <c:pt idx="5">
                  <c:v>UPI</c:v>
                </c:pt>
              </c:strCache>
            </c:strRef>
          </c:cat>
          <c:val>
            <c:numRef>
              <c:f>'Payment Methods'!$B$4:$B$10</c:f>
              <c:numCache>
                <c:formatCode>0.00</c:formatCode>
                <c:ptCount val="6"/>
                <c:pt idx="0">
                  <c:v>13593754.559999995</c:v>
                </c:pt>
                <c:pt idx="1">
                  <c:v>14890409.48</c:v>
                </c:pt>
                <c:pt idx="2">
                  <c:v>14966970.880000005</c:v>
                </c:pt>
                <c:pt idx="3">
                  <c:v>14039768.549999995</c:v>
                </c:pt>
                <c:pt idx="4">
                  <c:v>16336190.28999999</c:v>
                </c:pt>
                <c:pt idx="5">
                  <c:v>13943276.069999995</c:v>
                </c:pt>
              </c:numCache>
            </c:numRef>
          </c:val>
          <c:extLst>
            <c:ext xmlns:c16="http://schemas.microsoft.com/office/drawing/2014/chart" uri="{C3380CC4-5D6E-409C-BE32-E72D297353CC}">
              <c16:uniqueId val="{0000000C-34F9-4C3D-9EB4-F1F3642ED12C}"/>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.xlsx]Top 5 Stores!PivotTable4</c:name>
    <c:fmtId val="6"/>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Top 5 Stores</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8CC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Stores'!$B$3</c:f>
              <c:strCache>
                <c:ptCount val="1"/>
                <c:pt idx="0">
                  <c:v>Total</c:v>
                </c:pt>
              </c:strCache>
            </c:strRef>
          </c:tx>
          <c:spPr>
            <a:solidFill>
              <a:srgbClr val="B8CC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Stores'!$A$4:$A$9</c:f>
              <c:strCache>
                <c:ptCount val="5"/>
                <c:pt idx="0">
                  <c:v>Bengaluru Store</c:v>
                </c:pt>
                <c:pt idx="1">
                  <c:v>Chandigarh Store</c:v>
                </c:pt>
                <c:pt idx="2">
                  <c:v>Kolkata Store</c:v>
                </c:pt>
                <c:pt idx="3">
                  <c:v>Mumbai Store</c:v>
                </c:pt>
                <c:pt idx="4">
                  <c:v>Nagpur Store</c:v>
                </c:pt>
              </c:strCache>
            </c:strRef>
          </c:cat>
          <c:val>
            <c:numRef>
              <c:f>'Top 5 Stores'!$B$4:$B$9</c:f>
              <c:numCache>
                <c:formatCode>0.00</c:formatCode>
                <c:ptCount val="5"/>
                <c:pt idx="0">
                  <c:v>8684943.4500000048</c:v>
                </c:pt>
                <c:pt idx="1">
                  <c:v>10815791.630000001</c:v>
                </c:pt>
                <c:pt idx="2">
                  <c:v>9007107.8399999961</c:v>
                </c:pt>
                <c:pt idx="3">
                  <c:v>9828603.479999993</c:v>
                </c:pt>
                <c:pt idx="4">
                  <c:v>9542887.290000001</c:v>
                </c:pt>
              </c:numCache>
            </c:numRef>
          </c:val>
          <c:extLst>
            <c:ext xmlns:c16="http://schemas.microsoft.com/office/drawing/2014/chart" uri="{C3380CC4-5D6E-409C-BE32-E72D297353CC}">
              <c16:uniqueId val="{00000000-2BA8-4FD6-A4F7-BA766112FF05}"/>
            </c:ext>
          </c:extLst>
        </c:ser>
        <c:dLbls>
          <c:dLblPos val="outEnd"/>
          <c:showLegendKey val="0"/>
          <c:showVal val="1"/>
          <c:showCatName val="0"/>
          <c:showSerName val="0"/>
          <c:showPercent val="0"/>
          <c:showBubbleSize val="0"/>
        </c:dLbls>
        <c:gapWidth val="219"/>
        <c:axId val="2114262024"/>
        <c:axId val="379244039"/>
      </c:barChart>
      <c:catAx>
        <c:axId val="2114262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44039"/>
        <c:crosses val="autoZero"/>
        <c:auto val="1"/>
        <c:lblAlgn val="ctr"/>
        <c:lblOffset val="100"/>
        <c:noMultiLvlLbl val="0"/>
      </c:catAx>
      <c:valAx>
        <c:axId val="37924403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6202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[Zenith Annual Sales Reports 2024 .xlsx]Top 5 Product Categories!PivotTable1</c:name>
    <c:fmtId val="4"/>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Quantity : Product Category</a:t>
            </a:r>
          </a:p>
        </c:rich>
      </c:tx>
      <c:overlay val="0"/>
      <c:spPr>
        <a:solidFill>
          <a:srgbClr val="B8CCE4"/>
        </a:solid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'Top 5 Product 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B8-47CC-AAEA-D479CCA75E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B8-47CC-AAEA-D479CCA75E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B8-47CC-AAEA-D479CCA75E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B8-47CC-AAEA-D479CCA75E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B8-47CC-AAEA-D479CCA75E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B8-47CC-AAEA-D479CCA75E2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B8-47CC-AAEA-D479CCA75E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Product Categories'!$A$4:$A$11</c:f>
              <c:strCache>
                <c:ptCount val="7"/>
                <c:pt idx="0">
                  <c:v>Clothing</c:v>
                </c:pt>
                <c:pt idx="1">
                  <c:v>Electronics</c:v>
                </c:pt>
                <c:pt idx="2">
                  <c:v>Footwear</c:v>
                </c:pt>
                <c:pt idx="3">
                  <c:v>Furniture</c:v>
                </c:pt>
                <c:pt idx="4">
                  <c:v>Groceries</c:v>
                </c:pt>
                <c:pt idx="5">
                  <c:v>Home Appliances</c:v>
                </c:pt>
                <c:pt idx="6">
                  <c:v>Stationery</c:v>
                </c:pt>
              </c:strCache>
            </c:strRef>
          </c:cat>
          <c:val>
            <c:numRef>
              <c:f>'Top 5 Product Categories'!$B$4:$B$11</c:f>
              <c:numCache>
                <c:formatCode>General</c:formatCode>
                <c:ptCount val="7"/>
                <c:pt idx="0">
                  <c:v>1678</c:v>
                </c:pt>
                <c:pt idx="1">
                  <c:v>1856</c:v>
                </c:pt>
                <c:pt idx="2">
                  <c:v>1622</c:v>
                </c:pt>
                <c:pt idx="3">
                  <c:v>1808</c:v>
                </c:pt>
                <c:pt idx="4">
                  <c:v>1718</c:v>
                </c:pt>
                <c:pt idx="5">
                  <c:v>1870</c:v>
                </c:pt>
                <c:pt idx="6">
                  <c:v>1775</c:v>
                </c:pt>
              </c:numCache>
            </c:numRef>
          </c:val>
          <c:extLst>
            <c:ext xmlns:c16="http://schemas.microsoft.com/office/drawing/2014/chart" uri="{C3380CC4-5D6E-409C-BE32-E72D297353CC}">
              <c16:uniqueId val="{0000000E-66B8-47CC-AAEA-D479CCA75E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15875</xdr:colOff>
      <xdr:row>0</xdr:row>
      <xdr:rowOff>50800</xdr:rowOff>
    </xdr:from>
    <xdr:to>
      <xdr:col>7</xdr:col>
      <xdr:colOff>1441450</xdr:colOff>
      <xdr:row>16</xdr:row>
      <xdr:rowOff>12700</xdr:rowOff>
    </xdr:to>
    <xdr:graphicFrame macro="">
      <xdr:nvGraphicFramePr>
        <xdr:cNvPr id="3" name="Chart 2">
          <a:extLst>
            <a:ext uri="{FF2B5EF4-FFF2-40B4-BE49-F238E27FC236}">
              <a16:creationId xmlns:a16="http://schemas.microsoft.com/office/drawing/2014/main" id="{751404A0-6343-ED06-12A1-A0CACAB5A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xdr:colOff>
      <xdr:row>0</xdr:row>
      <xdr:rowOff>63500</xdr:rowOff>
    </xdr:from>
    <xdr:to>
      <xdr:col>11</xdr:col>
      <xdr:colOff>660400</xdr:colOff>
      <xdr:row>19</xdr:row>
      <xdr:rowOff>177800</xdr:rowOff>
    </xdr:to>
    <xdr:graphicFrame macro="">
      <xdr:nvGraphicFramePr>
        <xdr:cNvPr id="3" name="Chart 2">
          <a:extLst>
            <a:ext uri="{FF2B5EF4-FFF2-40B4-BE49-F238E27FC236}">
              <a16:creationId xmlns:a16="http://schemas.microsoft.com/office/drawing/2014/main" id="{26FCB32D-F508-C5BD-C58E-474B56F61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15875</xdr:colOff>
      <xdr:row>0</xdr:row>
      <xdr:rowOff>63500</xdr:rowOff>
    </xdr:from>
    <xdr:to>
      <xdr:col>11</xdr:col>
      <xdr:colOff>25400</xdr:colOff>
      <xdr:row>15</xdr:row>
      <xdr:rowOff>12700</xdr:rowOff>
    </xdr:to>
    <xdr:graphicFrame macro="">
      <xdr:nvGraphicFramePr>
        <xdr:cNvPr id="2" name="Chart 1">
          <a:extLst>
            <a:ext uri="{FF2B5EF4-FFF2-40B4-BE49-F238E27FC236}">
              <a16:creationId xmlns:a16="http://schemas.microsoft.com/office/drawing/2014/main" id="{FC58CE7F-B622-6AF1-90BF-2DEDC05BC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9524</xdr:colOff>
      <xdr:row>0</xdr:row>
      <xdr:rowOff>76200</xdr:rowOff>
    </xdr:from>
    <xdr:to>
      <xdr:col>9</xdr:col>
      <xdr:colOff>660400</xdr:colOff>
      <xdr:row>15</xdr:row>
      <xdr:rowOff>0</xdr:rowOff>
    </xdr:to>
    <xdr:graphicFrame macro="">
      <xdr:nvGraphicFramePr>
        <xdr:cNvPr id="2" name="Chart 1">
          <a:extLst>
            <a:ext uri="{FF2B5EF4-FFF2-40B4-BE49-F238E27FC236}">
              <a16:creationId xmlns:a16="http://schemas.microsoft.com/office/drawing/2014/main" id="{B42FF47B-ADED-4418-6DEF-813E5F83A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xdr:colOff>
      <xdr:row>0</xdr:row>
      <xdr:rowOff>114300</xdr:rowOff>
    </xdr:from>
    <xdr:to>
      <xdr:col>11</xdr:col>
      <xdr:colOff>660400</xdr:colOff>
      <xdr:row>15</xdr:row>
      <xdr:rowOff>0</xdr:rowOff>
    </xdr:to>
    <xdr:graphicFrame macro="">
      <xdr:nvGraphicFramePr>
        <xdr:cNvPr id="2" name="Chart 1">
          <a:extLst>
            <a:ext uri="{FF2B5EF4-FFF2-40B4-BE49-F238E27FC236}">
              <a16:creationId xmlns:a16="http://schemas.microsoft.com/office/drawing/2014/main" id="{EF5D3804-E840-0D65-4449-5DFAA9BA0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1</xdr:row>
      <xdr:rowOff>161925</xdr:rowOff>
    </xdr:from>
    <xdr:to>
      <xdr:col>4</xdr:col>
      <xdr:colOff>419100</xdr:colOff>
      <xdr:row>16</xdr:row>
      <xdr:rowOff>19050</xdr:rowOff>
    </xdr:to>
    <xdr:graphicFrame macro="">
      <xdr:nvGraphicFramePr>
        <xdr:cNvPr id="2" name="Chart 1">
          <a:extLst>
            <a:ext uri="{FF2B5EF4-FFF2-40B4-BE49-F238E27FC236}">
              <a16:creationId xmlns:a16="http://schemas.microsoft.com/office/drawing/2014/main" id="{B28EE9DC-712F-4D0D-90A1-B40FD886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299404</xdr:colOff>
      <xdr:row>1</xdr:row>
      <xdr:rowOff>156531</xdr:rowOff>
    </xdr:from>
    <xdr:to>
      <xdr:col>19</xdr:col>
      <xdr:colOff>587203</xdr:colOff>
      <xdr:row>16</xdr:row>
      <xdr:rowOff>61281</xdr:rowOff>
    </xdr:to>
    <xdr:graphicFrame macro="">
      <xdr:nvGraphicFramePr>
        <xdr:cNvPr id="3" name="Chart 2">
          <a:extLst>
            <a:ext uri="{FF2B5EF4-FFF2-40B4-BE49-F238E27FC236}">
              <a16:creationId xmlns:a16="http://schemas.microsoft.com/office/drawing/2014/main" id="{8D149759-8CD8-4CC0-918D-303E9145968E}"/>
            </a:ext>
            <a:ext uri="{147F2762-F138-4A5C-976F-8EAC2B608ADB}">
              <a16:predDERef xmlns:a16="http://schemas.microsoft.com/office/drawing/2014/main" pred="{B28EE9DC-712F-4D0D-90A1-B40FD886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514350</xdr:colOff>
      <xdr:row>1</xdr:row>
      <xdr:rowOff>152400</xdr:rowOff>
    </xdr:from>
    <xdr:to>
      <xdr:col>12</xdr:col>
      <xdr:colOff>209550</xdr:colOff>
      <xdr:row>16</xdr:row>
      <xdr:rowOff>38100</xdr:rowOff>
    </xdr:to>
    <xdr:graphicFrame macro="">
      <xdr:nvGraphicFramePr>
        <xdr:cNvPr id="4" name="Chart 3">
          <a:extLst>
            <a:ext uri="{FF2B5EF4-FFF2-40B4-BE49-F238E27FC236}">
              <a16:creationId xmlns:a16="http://schemas.microsoft.com/office/drawing/2014/main" id="{AB25B4FA-B5CF-44AF-9221-CA5D2FE93E34}"/>
            </a:ext>
            <a:ext uri="{147F2762-F138-4A5C-976F-8EAC2B608ADB}">
              <a16:predDERef xmlns:a16="http://schemas.microsoft.com/office/drawing/2014/main" pred="{8D149759-8CD8-4CC0-918D-303E91459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119694</xdr:colOff>
      <xdr:row>18</xdr:row>
      <xdr:rowOff>170187</xdr:rowOff>
    </xdr:from>
    <xdr:to>
      <xdr:col>6</xdr:col>
      <xdr:colOff>14919</xdr:colOff>
      <xdr:row>33</xdr:row>
      <xdr:rowOff>103513</xdr:rowOff>
    </xdr:to>
    <xdr:graphicFrame macro="">
      <xdr:nvGraphicFramePr>
        <xdr:cNvPr id="5" name="Chart 4">
          <a:extLst>
            <a:ext uri="{FF2B5EF4-FFF2-40B4-BE49-F238E27FC236}">
              <a16:creationId xmlns:a16="http://schemas.microsoft.com/office/drawing/2014/main" id="{0664501E-0D40-4545-9065-31C5CA4F004B}"/>
            </a:ext>
            <a:ext uri="{147F2762-F138-4A5C-976F-8EAC2B608ADB}">
              <a16:predDERef xmlns:a16="http://schemas.microsoft.com/office/drawing/2014/main" pred="{AB25B4FA-B5CF-44AF-9221-CA5D2FE93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286774</xdr:colOff>
      <xdr:row>16</xdr:row>
      <xdr:rowOff>163872</xdr:rowOff>
    </xdr:from>
    <xdr:to>
      <xdr:col>19</xdr:col>
      <xdr:colOff>588365</xdr:colOff>
      <xdr:row>33</xdr:row>
      <xdr:rowOff>115257</xdr:rowOff>
    </xdr:to>
    <xdr:graphicFrame macro="">
      <xdr:nvGraphicFramePr>
        <xdr:cNvPr id="6" name="Chart 5">
          <a:extLst>
            <a:ext uri="{FF2B5EF4-FFF2-40B4-BE49-F238E27FC236}">
              <a16:creationId xmlns:a16="http://schemas.microsoft.com/office/drawing/2014/main" id="{9B94BDAF-4805-4332-9009-0BCFC89ADF9D}"/>
            </a:ext>
            <a:ext uri="{147F2762-F138-4A5C-976F-8EAC2B608ADB}">
              <a16:predDERef xmlns:a16="http://schemas.microsoft.com/office/drawing/2014/main" pred="{0664501E-0D40-4545-9065-31C5CA4F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101601</xdr:colOff>
      <xdr:row>22</xdr:row>
      <xdr:rowOff>33867</xdr:rowOff>
    </xdr:from>
    <xdr:to>
      <xdr:col>9</xdr:col>
      <xdr:colOff>95591</xdr:colOff>
      <xdr:row>33</xdr:row>
      <xdr:rowOff>109247</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6A21D83F-AD1A-D756-388A-D1D8F9CB6C1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651501" y="4351867"/>
              <a:ext cx="2013290" cy="2170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19</xdr:row>
      <xdr:rowOff>9525</xdr:rowOff>
    </xdr:from>
    <xdr:to>
      <xdr:col>12</xdr:col>
      <xdr:colOff>180975</xdr:colOff>
      <xdr:row>21</xdr:row>
      <xdr:rowOff>142875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91039D4-992B-9F74-D75C-29259C142FE5}"/>
                </a:ext>
                <a:ext uri="{147F2762-F138-4A5C-976F-8EAC2B608ADB}">
                  <a16:predDERef xmlns:a16="http://schemas.microsoft.com/office/drawing/2014/main" pred="{6A21D83F-AD1A-D756-388A-D1D8F9CB6C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59967" y="3475566"/>
              <a:ext cx="4106333" cy="652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22</xdr:row>
      <xdr:rowOff>28575</xdr:rowOff>
    </xdr:from>
    <xdr:to>
      <xdr:col>12</xdr:col>
      <xdr:colOff>180975</xdr:colOff>
      <xdr:row>33</xdr:row>
      <xdr:rowOff>95250</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5395458F-0115-F67A-5A8C-DC63B739A653}"/>
                </a:ext>
                <a:ext uri="{147F2762-F138-4A5C-976F-8EAC2B608ADB}">
                  <a16:predDERef xmlns:a16="http://schemas.microsoft.com/office/drawing/2014/main" pred="{491039D4-992B-9F74-D75C-29259C142FE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60382" y="4357603"/>
              <a:ext cx="2006191" cy="2151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8.841753819448" createdVersion="8" refreshedVersion="8" minRefreshableVersion="3" recordCount="2020" xr:uid="{228B8076-0E2D-430F-A556-1EE20B7F4FD3}">
  <cacheSource type="worksheet">
    <worksheetSource ref="A1:N2021" sheet="Cleaned_Data"/>
  </cacheSource>
  <cacheFields count="14">
    <cacheField name="Order ID" numFmtId="0">
      <sharedItems containsString="0" containsBlank="1" containsNumber="1" containsInteger="1" minValue="100001" maxValue="102000"/>
    </cacheField>
    <cacheField name="Order Date" numFmtId="0">
      <sharedItems containsNonDate="0" containsDate="1" containsString="0" containsBlank="1" minDate="2024-01-01T00:00:00" maxDate="2025-01-01T00:00:00"/>
    </cacheField>
    <cacheField name="Month" numFmtId="0">
      <sharedItems containsBlank="1" count="13">
        <s v="Jun"/>
        <s v="Jul"/>
        <s v="Dec"/>
        <s v="Mar"/>
        <s v="Sep"/>
        <s v="Aug"/>
        <s v="Apr"/>
        <s v="Nov"/>
        <s v="May"/>
        <s v="Jan"/>
        <s v="Oct"/>
        <s v="Feb"/>
        <m/>
      </sharedItems>
    </cacheField>
    <cacheField name="Customer Name" numFmtId="0">
      <sharedItems containsBlank="1"/>
    </cacheField>
    <cacheField name="Region" numFmtId="0">
      <sharedItems containsBlank="1" count="9">
        <s v="Central"/>
        <s v="South"/>
        <s v="West"/>
        <s v="East"/>
        <s v="North"/>
        <m/>
        <s v="East " u="1"/>
        <s v="South " u="1"/>
        <s v="Central " u="1"/>
      </sharedItems>
    </cacheField>
    <cacheField name="Store" numFmtId="0">
      <sharedItems containsBlank="1" count="11">
        <s v="Bhopal Store"/>
        <s v="Bengaluru Store"/>
        <s v="Mumbai Store"/>
        <s v="Kolkata Store"/>
        <s v="Chandigarh Store"/>
        <s v="Pune Store"/>
        <s v="Bhubaneswar Store"/>
        <s v="Delhi Store"/>
        <s v="Nagpur Store"/>
        <s v="Chennai Store"/>
        <m/>
      </sharedItems>
    </cacheField>
    <cacheField name="Product Category" numFmtId="0">
      <sharedItems containsBlank="1" count="10">
        <s v="Furniture"/>
        <s v="Clothing"/>
        <s v="Stationery"/>
        <s v="Groceries"/>
        <s v="Electronics"/>
        <s v="Home Appliances"/>
        <s v="Footwear"/>
        <m/>
        <s v="Electronics " u="1"/>
        <s v="Footwear " u="1"/>
      </sharedItems>
    </cacheField>
    <cacheField name="Product Name" numFmtId="0">
      <sharedItems containsBlank="1"/>
    </cacheField>
    <cacheField name="Quantity" numFmtId="0">
      <sharedItems containsString="0" containsBlank="1" containsNumber="1" containsInteger="1" minValue="-3" maxValue="12"/>
    </cacheField>
    <cacheField name="Unit Price" numFmtId="0">
      <sharedItems containsString="0" containsBlank="1" containsNumber="1" minValue="0" maxValue="44822.27"/>
    </cacheField>
    <cacheField name="Total Amount" numFmtId="0">
      <sharedItems containsString="0" containsBlank="1" containsNumber="1" minValue="-126415.98000000001" maxValue="533554.19999999995"/>
    </cacheField>
    <cacheField name="Discount" numFmtId="0">
      <sharedItems containsString="0" containsBlank="1" containsNumber="1" minValue="0" maxValue="0.25"/>
    </cacheField>
    <cacheField name="Payment Method" numFmtId="0">
      <sharedItems containsBlank="1" count="7">
        <s v="Debit Card"/>
        <s v="Cash"/>
        <s v="EMI"/>
        <s v="Credit Card"/>
        <s v="Net Banking"/>
        <s v="UPI"/>
        <m/>
      </sharedItems>
    </cacheField>
    <cacheField name="Sales Rep" numFmtId="0">
      <sharedItems containsBlank="1"/>
    </cacheField>
  </cacheFields>
  <extLst>
    <ext xmlns:x14="http://schemas.microsoft.com/office/spreadsheetml/2009/9/main" uri="{725AE2AE-9491-48be-B2B4-4EB974FC3084}">
      <x14:pivotCacheDefinition pivotCacheId="893713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0">
  <r>
    <n v="100197"/>
    <d v="2024-06-09T00:00:00"/>
    <x v="0"/>
    <s v="Aditya Iyer"/>
    <x v="0"/>
    <x v="0"/>
    <x v="0"/>
    <s v="Study Desk"/>
    <n v="12"/>
    <n v="23820.37"/>
    <n v="285844.44"/>
    <n v="0"/>
    <x v="0"/>
    <s v="K. Iyer"/>
  </r>
  <r>
    <n v="101557"/>
    <d v="2024-07-21T00:00:00"/>
    <x v="1"/>
    <s v="Krishna Kapoor"/>
    <x v="1"/>
    <x v="1"/>
    <x v="1"/>
    <s v="Men's Denim Jacket"/>
    <n v="9"/>
    <n v="2886.71"/>
    <n v="25980.39"/>
    <n v="0.2"/>
    <x v="1"/>
    <s v="T. Rana"/>
  </r>
  <r>
    <n v="100573"/>
    <d v="2024-12-16T00:00:00"/>
    <x v="2"/>
    <s v="Diya Sharma"/>
    <x v="1"/>
    <x v="1"/>
    <x v="0"/>
    <s v="Study Desk"/>
    <n v="7"/>
    <n v="13577.31"/>
    <n v="95041.17"/>
    <n v="0.05"/>
    <x v="2"/>
    <s v="T. Rana"/>
  </r>
  <r>
    <n v="101717"/>
    <d v="2024-03-30T00:00:00"/>
    <x v="3"/>
    <s v="Sneha Mehta"/>
    <x v="2"/>
    <x v="2"/>
    <x v="2"/>
    <s v="Notebook Pack"/>
    <n v="2"/>
    <n v="404.01"/>
    <n v="808.02"/>
    <n v="0.15"/>
    <x v="0"/>
    <s v="D. Chawla"/>
  </r>
  <r>
    <n v="100201"/>
    <d v="2024-09-18T00:00:00"/>
    <x v="4"/>
    <s v="Sai Joshi"/>
    <x v="3"/>
    <x v="3"/>
    <x v="3"/>
    <s v="Tea Pack 500g"/>
    <n v="10"/>
    <n v="787.21"/>
    <n v="7872.1"/>
    <n v="0"/>
    <x v="3"/>
    <s v="P. Trivedi"/>
  </r>
  <r>
    <n v="101949"/>
    <d v="2024-03-01T00:00:00"/>
    <x v="3"/>
    <s v="Riya Joshi"/>
    <x v="2"/>
    <x v="2"/>
    <x v="4"/>
    <s v="Bluetooth Speaker"/>
    <n v="6"/>
    <n v="30540.06"/>
    <n v="183240.36000000002"/>
    <n v="0"/>
    <x v="3"/>
    <s v="K. Iyer"/>
  </r>
  <r>
    <n v="100913"/>
    <d v="2024-07-02T00:00:00"/>
    <x v="1"/>
    <s v="Nisha Pillai"/>
    <x v="4"/>
    <x v="4"/>
    <x v="5"/>
    <s v="Air Cooler"/>
    <n v="6"/>
    <n v="7665.27"/>
    <n v="45991.62"/>
    <n v="0.15"/>
    <x v="0"/>
    <s v="M. Ghosh"/>
  </r>
  <r>
    <n v="100842"/>
    <d v="2024-08-03T00:00:00"/>
    <x v="5"/>
    <s v="Rahul Pillai"/>
    <x v="2"/>
    <x v="5"/>
    <x v="5"/>
    <s v="Electric Kettle"/>
    <n v="12"/>
    <n v="3717.1"/>
    <n v="44605.2"/>
    <n v="0.2"/>
    <x v="0"/>
    <s v="P. Trivedi"/>
  </r>
  <r>
    <n v="100475"/>
    <d v="2024-04-21T00:00:00"/>
    <x v="6"/>
    <s v="Ananya Kumar"/>
    <x v="3"/>
    <x v="3"/>
    <x v="0"/>
    <s v="Bookshelf"/>
    <n v="1"/>
    <n v="0"/>
    <n v="0"/>
    <n v="0.05"/>
    <x v="0"/>
    <s v="M. Ghosh"/>
  </r>
  <r>
    <n v="100373"/>
    <d v="2024-11-13T00:00:00"/>
    <x v="7"/>
    <s v="Vihaan Joshi"/>
    <x v="0"/>
    <x v="0"/>
    <x v="5"/>
    <s v="Microwave Oven"/>
    <n v="10"/>
    <n v="1963.72"/>
    <n v="19637.2"/>
    <n v="0.25"/>
    <x v="3"/>
    <s v="D. Chawla"/>
  </r>
  <r>
    <n v="101445"/>
    <d v="2024-08-07T00:00:00"/>
    <x v="5"/>
    <s v="Nisha Das"/>
    <x v="3"/>
    <x v="3"/>
    <x v="3"/>
    <s v="Tea Pack 500g"/>
    <n v="5"/>
    <n v="335.56"/>
    <n v="1677.8"/>
    <n v="0"/>
    <x v="4"/>
    <s v="D. Chawla"/>
  </r>
  <r>
    <n v="101103"/>
    <d v="2024-04-13T00:00:00"/>
    <x v="6"/>
    <s v="Anika Kapoor"/>
    <x v="3"/>
    <x v="6"/>
    <x v="4"/>
    <s v="Laptop Air 14"/>
    <n v="5"/>
    <n v="16851.16"/>
    <n v="84255.8"/>
    <n v="0"/>
    <x v="3"/>
    <s v="P. Trivedi"/>
  </r>
  <r>
    <n v="100242"/>
    <d v="2024-05-21T00:00:00"/>
    <x v="8"/>
    <s v="Rohan Iyer"/>
    <x v="4"/>
    <x v="4"/>
    <x v="1"/>
    <s v="Formal Shirt"/>
    <n v="11"/>
    <n v="2707.61"/>
    <n v="29783.710000000003"/>
    <n v="0.05"/>
    <x v="3"/>
    <s v="M. Ghosh"/>
  </r>
  <r>
    <n v="100904"/>
    <d v="2024-01-24T00:00:00"/>
    <x v="9"/>
    <s v="Vihaan Agarwal"/>
    <x v="4"/>
    <x v="7"/>
    <x v="2"/>
    <s v="Geometry Box"/>
    <n v="9"/>
    <n v="206"/>
    <n v="1854"/>
    <n v="0.15"/>
    <x v="5"/>
    <s v="D. Chawla"/>
  </r>
  <r>
    <n v="101979"/>
    <d v="2024-07-14T00:00:00"/>
    <x v="1"/>
    <s v="Aditya Rao"/>
    <x v="0"/>
    <x v="0"/>
    <x v="4"/>
    <s v="Bluetooth Speaker"/>
    <n v="9"/>
    <n v="12583.22"/>
    <n v="113248.98"/>
    <n v="0"/>
    <x v="4"/>
    <s v="S. Bhat"/>
  </r>
  <r>
    <n v="100207"/>
    <d v="2024-03-07T00:00:00"/>
    <x v="3"/>
    <s v="Rohan Sharma"/>
    <x v="2"/>
    <x v="2"/>
    <x v="0"/>
    <s v="Study Desk"/>
    <n v="10"/>
    <n v="8578.15"/>
    <n v="85781.5"/>
    <n v="0"/>
    <x v="5"/>
    <s v="T. Rana"/>
  </r>
  <r>
    <n v="100128"/>
    <d v="2024-10-24T00:00:00"/>
    <x v="10"/>
    <s v="Sneha Gupta"/>
    <x v="2"/>
    <x v="5"/>
    <x v="2"/>
    <s v="A4 Paper Ream"/>
    <n v="2"/>
    <n v="287.64"/>
    <n v="575.28"/>
    <n v="0.15"/>
    <x v="2"/>
    <s v="K. Iyer"/>
  </r>
  <r>
    <n v="100977"/>
    <d v="2024-05-09T00:00:00"/>
    <x v="8"/>
    <s v="Sneha Iyer"/>
    <x v="1"/>
    <x v="1"/>
    <x v="4"/>
    <s v="Wireless Earbuds"/>
    <n v="8"/>
    <n v="36865.370000000003"/>
    <n v="294922.96000000002"/>
    <n v="0.25"/>
    <x v="1"/>
    <s v="S. Bhat"/>
  </r>
  <r>
    <n v="101799"/>
    <d v="2024-04-27T00:00:00"/>
    <x v="6"/>
    <s v="Vivaan Singh"/>
    <x v="3"/>
    <x v="6"/>
    <x v="5"/>
    <s v="Ceiling Fan"/>
    <n v="4"/>
    <n v="7237.69"/>
    <n v="28950.76"/>
    <n v="0.05"/>
    <x v="1"/>
    <s v="T. Rana"/>
  </r>
  <r>
    <n v="101166"/>
    <d v="2024-07-09T00:00:00"/>
    <x v="1"/>
    <s v="Vikram Verma"/>
    <x v="3"/>
    <x v="3"/>
    <x v="6"/>
    <s v="Sneakers"/>
    <n v="1"/>
    <n v="559.09"/>
    <n v="559.09"/>
    <n v="0.05"/>
    <x v="1"/>
    <s v="T. Rana"/>
  </r>
  <r>
    <n v="101753"/>
    <d v="2024-08-21T00:00:00"/>
    <x v="5"/>
    <s v="Ishaan Chopra"/>
    <x v="1"/>
    <x v="1"/>
    <x v="6"/>
    <s v="Sneakers"/>
    <n v="8"/>
    <n v="2442.09"/>
    <n v="19536.72"/>
    <n v="0.25"/>
    <x v="3"/>
    <s v="P. Trivedi"/>
  </r>
  <r>
    <n v="101178"/>
    <d v="2024-12-22T00:00:00"/>
    <x v="2"/>
    <s v="Sneha Nair"/>
    <x v="1"/>
    <x v="1"/>
    <x v="4"/>
    <s v="Bluetooth Speaker"/>
    <n v="12"/>
    <n v="0"/>
    <n v="0"/>
    <n v="0.05"/>
    <x v="0"/>
    <s v="M. Ghosh"/>
  </r>
  <r>
    <n v="100299"/>
    <d v="2024-09-02T00:00:00"/>
    <x v="4"/>
    <s v="Arjun Pillai"/>
    <x v="2"/>
    <x v="2"/>
    <x v="4"/>
    <s v="Smartwatch S3"/>
    <n v="10"/>
    <n v="32187.13"/>
    <n v="321871.3"/>
    <n v="0.25"/>
    <x v="4"/>
    <s v="P. Trivedi"/>
  </r>
  <r>
    <n v="101361"/>
    <d v="2024-08-16T00:00:00"/>
    <x v="5"/>
    <s v="Vikram Gupta"/>
    <x v="1"/>
    <x v="1"/>
    <x v="3"/>
    <s v="Basmati Rice 5kg"/>
    <n v="10"/>
    <n v="315.76"/>
    <n v="3157.6"/>
    <n v="0.15"/>
    <x v="2"/>
    <s v="T. Rana"/>
  </r>
  <r>
    <n v="100230"/>
    <d v="2024-02-06T00:00:00"/>
    <x v="11"/>
    <s v="Nisha Reddy"/>
    <x v="1"/>
    <x v="1"/>
    <x v="0"/>
    <s v="Sofa 3-Seater"/>
    <n v="11"/>
    <n v="6407.18"/>
    <n v="70478.98000000001"/>
    <n v="0.1"/>
    <x v="3"/>
    <s v="D. Chawla"/>
  </r>
  <r>
    <n v="101486"/>
    <d v="2024-12-15T00:00:00"/>
    <x v="2"/>
    <s v="Vivaan Gupta"/>
    <x v="0"/>
    <x v="8"/>
    <x v="1"/>
    <s v="Men's Denim Jacket"/>
    <n v="3"/>
    <n v="2929.96"/>
    <n v="8789.880000000001"/>
    <n v="0.25"/>
    <x v="3"/>
    <s v="A. Menon"/>
  </r>
  <r>
    <n v="101756"/>
    <d v="2024-05-24T00:00:00"/>
    <x v="8"/>
    <s v="Aadhya Agarwal"/>
    <x v="3"/>
    <x v="6"/>
    <x v="0"/>
    <s v="Sofa 3-Seater"/>
    <n v="5"/>
    <n v="24061.23"/>
    <n v="120306.15"/>
    <n v="0.25"/>
    <x v="0"/>
    <s v="K. Iyer"/>
  </r>
  <r>
    <n v="100703"/>
    <d v="2024-09-04T00:00:00"/>
    <x v="4"/>
    <s v="Ayaan Rao"/>
    <x v="0"/>
    <x v="0"/>
    <x v="5"/>
    <s v="Microwave Oven"/>
    <n v="1"/>
    <n v="6972.32"/>
    <n v="6972.32"/>
    <n v="0"/>
    <x v="2"/>
    <s v="D. Chawla"/>
  </r>
  <r>
    <n v="101199"/>
    <d v="2024-08-22T00:00:00"/>
    <x v="5"/>
    <s v="Diya Mehta"/>
    <x v="2"/>
    <x v="2"/>
    <x v="5"/>
    <s v="Air Cooler"/>
    <n v="2"/>
    <n v="3123.23"/>
    <n v="6246.46"/>
    <n v="0.05"/>
    <x v="3"/>
    <s v="S. Bhat"/>
  </r>
  <r>
    <n v="101689"/>
    <d v="2024-06-17T00:00:00"/>
    <x v="0"/>
    <s v="Saanvi Kapoor"/>
    <x v="3"/>
    <x v="6"/>
    <x v="2"/>
    <s v="Geometry Box"/>
    <n v="9"/>
    <n v="71.53"/>
    <n v="643.77"/>
    <n v="0"/>
    <x v="0"/>
    <s v="P. Trivedi"/>
  </r>
  <r>
    <n v="100864"/>
    <d v="2024-12-07T00:00:00"/>
    <x v="2"/>
    <s v="Vivaan Sharma"/>
    <x v="3"/>
    <x v="6"/>
    <x v="4"/>
    <s v="Smartwatch S3"/>
    <n v="1"/>
    <n v="9819.93"/>
    <n v="9819.93"/>
    <n v="0.15"/>
    <x v="2"/>
    <s v="P. Trivedi"/>
  </r>
  <r>
    <n v="100821"/>
    <d v="2024-08-23T00:00:00"/>
    <x v="5"/>
    <s v="Amit Malhotra"/>
    <x v="4"/>
    <x v="4"/>
    <x v="4"/>
    <s v="Wireless Earbuds"/>
    <n v="12"/>
    <n v="29441.22"/>
    <n v="353294.64"/>
    <n v="0.2"/>
    <x v="4"/>
    <s v="T. Rana"/>
  </r>
  <r>
    <n v="101751"/>
    <d v="2024-11-09T00:00:00"/>
    <x v="7"/>
    <s v="Myra Gupta"/>
    <x v="1"/>
    <x v="1"/>
    <x v="2"/>
    <s v="Geometry Box"/>
    <n v="4"/>
    <n v="598.05999999999995"/>
    <n v="2392.2399999999998"/>
    <n v="0"/>
    <x v="3"/>
    <s v="P. Trivedi"/>
  </r>
  <r>
    <n v="100111"/>
    <d v="2024-03-14T00:00:00"/>
    <x v="3"/>
    <s v="Nisha Gupta"/>
    <x v="1"/>
    <x v="9"/>
    <x v="1"/>
    <s v="Men's Denim Jacket"/>
    <n v="11"/>
    <n v="2521.73"/>
    <n v="27739.03"/>
    <n v="0.15"/>
    <x v="4"/>
    <s v="T. Rana"/>
  </r>
  <r>
    <n v="101764"/>
    <d v="2024-06-08T00:00:00"/>
    <x v="0"/>
    <s v="Rahul Malhotra"/>
    <x v="3"/>
    <x v="3"/>
    <x v="6"/>
    <s v="Sandals"/>
    <n v="2"/>
    <n v="2079.71"/>
    <n v="4159.42"/>
    <n v="0.2"/>
    <x v="4"/>
    <s v="D. Chawla"/>
  </r>
  <r>
    <n v="100472"/>
    <d v="2024-04-23T00:00:00"/>
    <x v="6"/>
    <s v="Reyansh Pillai"/>
    <x v="0"/>
    <x v="8"/>
    <x v="6"/>
    <s v="Running Shoes"/>
    <n v="12"/>
    <n v="2787.18"/>
    <n v="33446.159999999996"/>
    <n v="0.15"/>
    <x v="1"/>
    <s v="M. Ghosh"/>
  </r>
  <r>
    <n v="100279"/>
    <d v="2024-01-02T00:00:00"/>
    <x v="9"/>
    <s v="Priya Bose"/>
    <x v="4"/>
    <x v="4"/>
    <x v="1"/>
    <s v="Kids T-Shirt"/>
    <n v="8"/>
    <n v="3204.31"/>
    <n v="25634.48"/>
    <n v="0"/>
    <x v="5"/>
    <s v="K. Iyer"/>
  </r>
  <r>
    <n v="101927"/>
    <d v="2024-02-07T00:00:00"/>
    <x v="11"/>
    <s v="Riya Sharma"/>
    <x v="0"/>
    <x v="0"/>
    <x v="4"/>
    <s v="Smartwatch S3"/>
    <n v="10"/>
    <n v="6527.53"/>
    <n v="65275.299999999996"/>
    <n v="0"/>
    <x v="5"/>
    <s v="R. Kulkarni"/>
  </r>
  <r>
    <n v="100300"/>
    <d v="2024-09-19T00:00:00"/>
    <x v="4"/>
    <s v="Reyansh Bose"/>
    <x v="2"/>
    <x v="2"/>
    <x v="1"/>
    <s v="Winter Sweater"/>
    <n v="5"/>
    <n v="2388.0700000000002"/>
    <n v="11940.35"/>
    <n v="0.25"/>
    <x v="3"/>
    <s v="K. Iyer"/>
  </r>
  <r>
    <n v="100962"/>
    <d v="2024-10-20T00:00:00"/>
    <x v="10"/>
    <s v="Ishaan Kumar"/>
    <x v="4"/>
    <x v="7"/>
    <x v="0"/>
    <s v="Sofa 3-Seater"/>
    <n v="4"/>
    <n v="2459.4299999999998"/>
    <n v="9837.7199999999993"/>
    <n v="0.05"/>
    <x v="3"/>
    <s v="P. Trivedi"/>
  </r>
  <r>
    <n v="101040"/>
    <d v="2024-01-24T00:00:00"/>
    <x v="9"/>
    <s v="Vikram Kapoor"/>
    <x v="2"/>
    <x v="5"/>
    <x v="3"/>
    <s v="Tea Pack 500g"/>
    <n v="1"/>
    <n v="494.86"/>
    <n v="494.86"/>
    <n v="0.1"/>
    <x v="5"/>
    <s v="S. Bhat"/>
  </r>
  <r>
    <n v="101946"/>
    <d v="2024-06-02T00:00:00"/>
    <x v="0"/>
    <s v="Vikram Iyer"/>
    <x v="2"/>
    <x v="5"/>
    <x v="4"/>
    <s v="LED TV 42in"/>
    <n v="6"/>
    <n v="6591.38"/>
    <n v="39548.28"/>
    <n v="0.05"/>
    <x v="3"/>
    <s v="K. Iyer"/>
  </r>
  <r>
    <n v="101418"/>
    <d v="2024-08-26T00:00:00"/>
    <x v="5"/>
    <s v="Saanvi Singh"/>
    <x v="2"/>
    <x v="5"/>
    <x v="5"/>
    <s v="Ceiling Fan"/>
    <n v="4"/>
    <n v="8416.81"/>
    <n v="33667.24"/>
    <n v="0"/>
    <x v="0"/>
    <s v="K. Iyer"/>
  </r>
  <r>
    <n v="101028"/>
    <d v="2024-02-20T00:00:00"/>
    <x v="11"/>
    <s v="Arjun Patel"/>
    <x v="0"/>
    <x v="0"/>
    <x v="0"/>
    <s v="Office Chair"/>
    <n v="11"/>
    <n v="10830.41"/>
    <n v="119134.51"/>
    <n v="0.25"/>
    <x v="0"/>
    <s v="S. Bhat"/>
  </r>
  <r>
    <n v="100416"/>
    <d v="2024-12-24T00:00:00"/>
    <x v="2"/>
    <s v="Saanvi Singh"/>
    <x v="2"/>
    <x v="2"/>
    <x v="4"/>
    <s v="Smartphone X200"/>
    <n v="7"/>
    <n v="19876.03"/>
    <n v="139132.21"/>
    <n v="0.1"/>
    <x v="4"/>
    <s v="R. Kulkarni"/>
  </r>
  <r>
    <n v="101936"/>
    <d v="2024-11-28T00:00:00"/>
    <x v="7"/>
    <s v="Anika Sharma"/>
    <x v="2"/>
    <x v="5"/>
    <x v="6"/>
    <s v="Leather Formal Shoes"/>
    <n v="2"/>
    <n v="2418.9"/>
    <n v="4837.8"/>
    <n v="0"/>
    <x v="0"/>
    <s v="D. Chawla"/>
  </r>
  <r>
    <n v="100186"/>
    <d v="2024-05-10T00:00:00"/>
    <x v="8"/>
    <s v="Ananya Rao"/>
    <x v="3"/>
    <x v="3"/>
    <x v="2"/>
    <s v="Gel Pen Set"/>
    <n v="1"/>
    <n v="578.61"/>
    <n v="578.61"/>
    <n v="0"/>
    <x v="0"/>
    <s v="K. Iyer"/>
  </r>
  <r>
    <n v="100611"/>
    <d v="2024-05-02T00:00:00"/>
    <x v="8"/>
    <s v="Riya Bansal"/>
    <x v="4"/>
    <x v="4"/>
    <x v="6"/>
    <s v="Sneakers"/>
    <n v="11"/>
    <n v="668.4"/>
    <n v="7352.4"/>
    <n v="0"/>
    <x v="2"/>
    <s v="R. Kulkarni"/>
  </r>
  <r>
    <n v="101284"/>
    <d v="2024-06-04T00:00:00"/>
    <x v="0"/>
    <s v="Amit Pillai"/>
    <x v="4"/>
    <x v="4"/>
    <x v="1"/>
    <s v="Winter Sweater"/>
    <n v="7"/>
    <n v="1339.55"/>
    <n v="9376.85"/>
    <n v="0.05"/>
    <x v="4"/>
    <s v="S. Bhat"/>
  </r>
  <r>
    <n v="100780"/>
    <d v="2024-01-16T00:00:00"/>
    <x v="9"/>
    <s v="Pooja Malhotra"/>
    <x v="1"/>
    <x v="1"/>
    <x v="3"/>
    <s v="Basmati Rice 5kg"/>
    <n v="1"/>
    <n v="721.95"/>
    <n v="721.95"/>
    <n v="0.05"/>
    <x v="2"/>
    <s v="D. Chawla"/>
  </r>
  <r>
    <n v="100803"/>
    <d v="2024-05-24T00:00:00"/>
    <x v="8"/>
    <s v="Vihaan Gupta"/>
    <x v="4"/>
    <x v="7"/>
    <x v="3"/>
    <s v="Wheat Flour 10kg"/>
    <n v="3"/>
    <n v="227.14"/>
    <n v="681.42"/>
    <n v="0.1"/>
    <x v="2"/>
    <s v="T. Rana"/>
  </r>
  <r>
    <n v="100285"/>
    <d v="2024-01-20T00:00:00"/>
    <x v="9"/>
    <s v="Sai Bose"/>
    <x v="1"/>
    <x v="9"/>
    <x v="3"/>
    <s v="Tea Pack 500g"/>
    <n v="9"/>
    <n v="638.5"/>
    <n v="5746.5"/>
    <n v="0"/>
    <x v="5"/>
    <s v="K. Iyer"/>
  </r>
  <r>
    <n v="101230"/>
    <d v="2024-06-22T00:00:00"/>
    <x v="0"/>
    <s v="Nisha Rao"/>
    <x v="4"/>
    <x v="7"/>
    <x v="2"/>
    <s v="A4 Paper Ream"/>
    <n v="7"/>
    <n v="97.66"/>
    <n v="683.62"/>
    <n v="0.25"/>
    <x v="3"/>
    <s v="T. Rana"/>
  </r>
  <r>
    <n v="100003"/>
    <d v="2024-07-08T00:00:00"/>
    <x v="1"/>
    <s v="Reyansh Iyer"/>
    <x v="0"/>
    <x v="8"/>
    <x v="2"/>
    <s v="Notebook Pack"/>
    <n v="4"/>
    <n v="406.92"/>
    <n v="1627.68"/>
    <n v="0.25"/>
    <x v="3"/>
    <s v="A. Menon"/>
  </r>
  <r>
    <n v="101481"/>
    <d v="2024-01-15T00:00:00"/>
    <x v="9"/>
    <s v="Ayaan Sharma"/>
    <x v="2"/>
    <x v="5"/>
    <x v="5"/>
    <s v="Electric Kettle"/>
    <n v="11"/>
    <n v="4119.75"/>
    <n v="45317.25"/>
    <n v="0.15"/>
    <x v="1"/>
    <s v="A. Menon"/>
  </r>
  <r>
    <n v="100834"/>
    <d v="2024-10-02T00:00:00"/>
    <x v="10"/>
    <s v="Riya Bansal"/>
    <x v="3"/>
    <x v="6"/>
    <x v="4"/>
    <s v="Wireless Earbuds"/>
    <n v="7"/>
    <n v="2153.11"/>
    <n v="15071.77"/>
    <n v="0"/>
    <x v="3"/>
    <s v="M. Ghosh"/>
  </r>
  <r>
    <n v="101988"/>
    <d v="2024-10-16T00:00:00"/>
    <x v="10"/>
    <s v="Myra Chopra"/>
    <x v="1"/>
    <x v="1"/>
    <x v="4"/>
    <s v="Smartphone X200"/>
    <m/>
    <n v="20230.900000000001"/>
    <n v="0"/>
    <n v="0.25"/>
    <x v="5"/>
    <s v="D. Chawla"/>
  </r>
  <r>
    <n v="100376"/>
    <d v="2024-01-22T00:00:00"/>
    <x v="9"/>
    <s v="Ayaan Sharma"/>
    <x v="4"/>
    <x v="7"/>
    <x v="2"/>
    <s v="A4 Paper Ream"/>
    <n v="6"/>
    <n v="371.86"/>
    <n v="2231.16"/>
    <n v="0"/>
    <x v="1"/>
    <s v="P. Trivedi"/>
  </r>
  <r>
    <n v="100398"/>
    <d v="2024-01-28T00:00:00"/>
    <x v="9"/>
    <s v="Amit Nair"/>
    <x v="3"/>
    <x v="6"/>
    <x v="1"/>
    <s v="Men's Denim Jacket"/>
    <n v="5"/>
    <n v="2014.71"/>
    <n v="10073.549999999999"/>
    <n v="0.15"/>
    <x v="5"/>
    <s v="A. Menon"/>
  </r>
  <r>
    <n v="100420"/>
    <d v="2024-10-02T00:00:00"/>
    <x v="10"/>
    <s v="Pooja Reddy"/>
    <x v="3"/>
    <x v="3"/>
    <x v="1"/>
    <s v="Winter Sweater"/>
    <n v="9"/>
    <n v="0"/>
    <n v="0"/>
    <n v="0.25"/>
    <x v="0"/>
    <s v="A. Menon"/>
  </r>
  <r>
    <n v="100978"/>
    <d v="2024-08-03T00:00:00"/>
    <x v="5"/>
    <s v="Diya Kumar"/>
    <x v="0"/>
    <x v="8"/>
    <x v="3"/>
    <s v="Tea Pack 500g"/>
    <n v="3"/>
    <n v="268.31"/>
    <n v="804.93000000000006"/>
    <n v="0.1"/>
    <x v="0"/>
    <s v="K. Iyer"/>
  </r>
  <r>
    <n v="101152"/>
    <d v="2024-03-10T00:00:00"/>
    <x v="3"/>
    <s v="Riya Mehta"/>
    <x v="2"/>
    <x v="2"/>
    <x v="6"/>
    <s v="Running Shoes"/>
    <n v="12"/>
    <n v="819.35"/>
    <n v="9832.2000000000007"/>
    <n v="0"/>
    <x v="0"/>
    <s v="M. Ghosh"/>
  </r>
  <r>
    <n v="100342"/>
    <d v="2024-07-01T00:00:00"/>
    <x v="1"/>
    <s v="Rohan Bose"/>
    <x v="0"/>
    <x v="0"/>
    <x v="5"/>
    <s v="Electric Kettle"/>
    <n v="11"/>
    <n v="2954.47"/>
    <n v="32499.17"/>
    <n v="0"/>
    <x v="2"/>
    <s v="D. Chawla"/>
  </r>
  <r>
    <n v="100387"/>
    <d v="2024-12-18T00:00:00"/>
    <x v="2"/>
    <s v="Myra Sharma"/>
    <x v="0"/>
    <x v="8"/>
    <x v="3"/>
    <s v="Wheat Flour 10kg"/>
    <n v="2"/>
    <n v="534.09"/>
    <n v="1068.18"/>
    <n v="0"/>
    <x v="1"/>
    <s v="M. Ghosh"/>
  </r>
  <r>
    <n v="101834"/>
    <d v="2024-11-03T00:00:00"/>
    <x v="7"/>
    <s v="Ayaan Rao"/>
    <x v="2"/>
    <x v="2"/>
    <x v="4"/>
    <s v="Smartphone X200"/>
    <n v="8"/>
    <n v="24469.11"/>
    <n v="195752.88"/>
    <n v="0.1"/>
    <x v="4"/>
    <s v="S. Bhat"/>
  </r>
  <r>
    <n v="100218"/>
    <d v="2024-07-22T00:00:00"/>
    <x v="1"/>
    <s v="Vihaan Gupta"/>
    <x v="3"/>
    <x v="6"/>
    <x v="2"/>
    <s v="A4 Paper Ream"/>
    <n v="4"/>
    <n v="125.37"/>
    <n v="501.48"/>
    <n v="0"/>
    <x v="3"/>
    <s v="R. Kulkarni"/>
  </r>
  <r>
    <n v="101846"/>
    <d v="2024-11-25T00:00:00"/>
    <x v="7"/>
    <s v="Reyansh Mehta"/>
    <x v="0"/>
    <x v="0"/>
    <x v="0"/>
    <s v="Sofa 3-Seater"/>
    <n v="2"/>
    <n v="0"/>
    <n v="0"/>
    <n v="0.25"/>
    <x v="4"/>
    <s v="P. Trivedi"/>
  </r>
  <r>
    <n v="100109"/>
    <d v="2024-11-13T00:00:00"/>
    <x v="7"/>
    <s v="Krishna Chopra"/>
    <x v="4"/>
    <x v="4"/>
    <x v="6"/>
    <s v="Running Shoes"/>
    <n v="3"/>
    <n v="2508.86"/>
    <n v="7526.58"/>
    <n v="0"/>
    <x v="5"/>
    <s v="T. Rana"/>
  </r>
  <r>
    <n v="101258"/>
    <d v="2024-07-12T00:00:00"/>
    <x v="1"/>
    <s v="Karan Patel"/>
    <x v="4"/>
    <x v="7"/>
    <x v="6"/>
    <s v="Running Shoes"/>
    <n v="5"/>
    <n v="3843.1"/>
    <n v="19215.5"/>
    <n v="0"/>
    <x v="1"/>
    <s v="P. Trivedi"/>
  </r>
  <r>
    <n v="100035"/>
    <d v="2024-02-20T00:00:00"/>
    <x v="11"/>
    <s v="Rohan Reddy"/>
    <x v="4"/>
    <x v="7"/>
    <x v="6"/>
    <s v="Leather Formal Shoes"/>
    <n v="5"/>
    <n v="3602.77"/>
    <n v="18013.849999999999"/>
    <n v="0"/>
    <x v="0"/>
    <s v="A. Menon"/>
  </r>
  <r>
    <n v="100876"/>
    <d v="2024-07-01T00:00:00"/>
    <x v="1"/>
    <s v="Vivaan Reddy"/>
    <x v="3"/>
    <x v="3"/>
    <x v="2"/>
    <s v="Notebook Pack"/>
    <n v="10"/>
    <n v="270.23"/>
    <n v="2702.3"/>
    <n v="0"/>
    <x v="2"/>
    <s v="A. Menon"/>
  </r>
  <r>
    <n v="101574"/>
    <d v="2024-08-24T00:00:00"/>
    <x v="5"/>
    <s v="Nisha Singh"/>
    <x v="0"/>
    <x v="8"/>
    <x v="4"/>
    <s v="LED TV 42in"/>
    <n v="10"/>
    <n v="32415.23"/>
    <n v="324152.3"/>
    <n v="0.1"/>
    <x v="2"/>
    <s v="K. Iyer"/>
  </r>
  <r>
    <n v="101892"/>
    <d v="2024-11-23T00:00:00"/>
    <x v="7"/>
    <s v="Ishaan Bose"/>
    <x v="4"/>
    <x v="4"/>
    <x v="0"/>
    <s v="Office Chair"/>
    <n v="7"/>
    <n v="4926.3100000000004"/>
    <n v="34484.170000000006"/>
    <n v="0.15"/>
    <x v="3"/>
    <s v="D. Chawla"/>
  </r>
  <r>
    <n v="101899"/>
    <d v="2024-08-16T00:00:00"/>
    <x v="5"/>
    <s v="Pooja Mehta"/>
    <x v="1"/>
    <x v="9"/>
    <x v="2"/>
    <s v="A4 Paper Ream"/>
    <n v="9"/>
    <n v="196.11"/>
    <n v="1764.9900000000002"/>
    <n v="0.1"/>
    <x v="4"/>
    <s v="M. Ghosh"/>
  </r>
  <r>
    <n v="101421"/>
    <d v="2024-01-22T00:00:00"/>
    <x v="9"/>
    <s v="Vivaan Verma"/>
    <x v="3"/>
    <x v="6"/>
    <x v="4"/>
    <s v="Laptop Air 14"/>
    <n v="4"/>
    <n v="0"/>
    <n v="0"/>
    <n v="0.15"/>
    <x v="3"/>
    <s v="P. Trivedi"/>
  </r>
  <r>
    <n v="100729"/>
    <d v="2024-03-04T00:00:00"/>
    <x v="3"/>
    <s v="Ananya Kapoor"/>
    <x v="3"/>
    <x v="3"/>
    <x v="2"/>
    <s v="Notebook Pack"/>
    <n v="2"/>
    <n v="503.08"/>
    <n v="1006.16"/>
    <n v="0"/>
    <x v="5"/>
    <s v="D. Chawla"/>
  </r>
  <r>
    <n v="100238"/>
    <d v="2024-05-06T00:00:00"/>
    <x v="8"/>
    <s v="Diya Bansal"/>
    <x v="1"/>
    <x v="9"/>
    <x v="5"/>
    <s v="Ceiling Fan"/>
    <n v="7"/>
    <n v="8500.59"/>
    <n v="59504.130000000005"/>
    <n v="0.15"/>
    <x v="4"/>
    <s v="A. Menon"/>
  </r>
  <r>
    <n v="101174"/>
    <d v="2024-11-17T00:00:00"/>
    <x v="7"/>
    <s v="Kiara Pillai"/>
    <x v="3"/>
    <x v="3"/>
    <x v="2"/>
    <s v="Gel Pen Set"/>
    <n v="12"/>
    <n v="159.34"/>
    <n v="1912.08"/>
    <n v="0.05"/>
    <x v="1"/>
    <s v="M. Ghosh"/>
  </r>
  <r>
    <n v="100659"/>
    <d v="2024-07-11T00:00:00"/>
    <x v="1"/>
    <s v="Aarav Kapoor"/>
    <x v="3"/>
    <x v="6"/>
    <x v="0"/>
    <s v="Study Desk"/>
    <n v="1"/>
    <n v="12426.67"/>
    <n v="12426.67"/>
    <n v="0.25"/>
    <x v="5"/>
    <s v="R. Kulkarni"/>
  </r>
  <r>
    <n v="101038"/>
    <d v="2024-04-26T00:00:00"/>
    <x v="6"/>
    <s v="Sai Reddy"/>
    <x v="2"/>
    <x v="5"/>
    <x v="4"/>
    <s v="LED TV 42in"/>
    <n v="5"/>
    <n v="22119.07"/>
    <n v="110595.35"/>
    <n v="0.15"/>
    <x v="1"/>
    <s v="A. Menon"/>
  </r>
  <r>
    <n v="101406"/>
    <d v="2024-07-27T00:00:00"/>
    <x v="1"/>
    <s v="Arjun Agarwal"/>
    <x v="4"/>
    <x v="4"/>
    <x v="1"/>
    <s v="Formal Shirt"/>
    <n v="12"/>
    <n v="413.28"/>
    <n v="4959.3599999999997"/>
    <n v="0"/>
    <x v="0"/>
    <s v="R. Kulkarni"/>
  </r>
  <r>
    <n v="100650"/>
    <d v="2024-08-08T00:00:00"/>
    <x v="5"/>
    <s v="(Unknown)"/>
    <x v="3"/>
    <x v="3"/>
    <x v="2"/>
    <s v="Geometry Box"/>
    <n v="2"/>
    <n v="459.95"/>
    <n v="919.9"/>
    <n v="0"/>
    <x v="3"/>
    <s v="K. Iyer"/>
  </r>
  <r>
    <n v="100331"/>
    <d v="2024-05-14T00:00:00"/>
    <x v="8"/>
    <s v="Ira Rao"/>
    <x v="3"/>
    <x v="6"/>
    <x v="0"/>
    <s v="Wooden Dining Table"/>
    <n v="11"/>
    <n v="15801.9"/>
    <n v="173820.9"/>
    <n v="0"/>
    <x v="2"/>
    <s v="D. Chawla"/>
  </r>
  <r>
    <n v="101650"/>
    <d v="2024-05-15T00:00:00"/>
    <x v="8"/>
    <s v="Priya Malhotra"/>
    <x v="2"/>
    <x v="5"/>
    <x v="5"/>
    <s v="Mixer Grinder"/>
    <n v="9"/>
    <n v="11212.91"/>
    <n v="100916.19"/>
    <n v="0"/>
    <x v="3"/>
    <s v="A. Menon"/>
  </r>
  <r>
    <n v="100893"/>
    <d v="2024-11-19T00:00:00"/>
    <x v="7"/>
    <s v="Amit Nair"/>
    <x v="1"/>
    <x v="1"/>
    <x v="4"/>
    <s v="Laptop Air 14"/>
    <n v="7"/>
    <n v="28575.9"/>
    <n v="200031.30000000002"/>
    <n v="0"/>
    <x v="4"/>
    <s v="K. Iyer"/>
  </r>
  <r>
    <n v="100393"/>
    <d v="2024-09-24T00:00:00"/>
    <x v="4"/>
    <s v="Saanvi Mehta"/>
    <x v="1"/>
    <x v="1"/>
    <x v="2"/>
    <s v="Gel Pen Set"/>
    <n v="11"/>
    <n v="281.18"/>
    <n v="3092.98"/>
    <n v="0"/>
    <x v="3"/>
    <s v="T. Rana"/>
  </r>
  <r>
    <n v="101043"/>
    <d v="2024-05-22T00:00:00"/>
    <x v="8"/>
    <s v="Ananya Agarwal"/>
    <x v="3"/>
    <x v="3"/>
    <x v="4"/>
    <s v="Bluetooth Speaker"/>
    <n v="8"/>
    <n v="23287.4"/>
    <n v="186299.2"/>
    <n v="0"/>
    <x v="3"/>
    <s v="P. Trivedi"/>
  </r>
  <r>
    <n v="101959"/>
    <d v="2024-10-19T00:00:00"/>
    <x v="10"/>
    <s v="Karan Das"/>
    <x v="3"/>
    <x v="6"/>
    <x v="0"/>
    <s v="Sofa 3-Seater"/>
    <n v="9"/>
    <n v="5692.62"/>
    <n v="51233.58"/>
    <n v="0"/>
    <x v="2"/>
    <s v="M. Ghosh"/>
  </r>
  <r>
    <n v="101050"/>
    <d v="2024-03-31T00:00:00"/>
    <x v="3"/>
    <s v="Rahul Bansal"/>
    <x v="4"/>
    <x v="4"/>
    <x v="0"/>
    <s v="Office Chair"/>
    <m/>
    <n v="19538.34"/>
    <n v="0"/>
    <n v="0.05"/>
    <x v="4"/>
    <s v="A. Menon"/>
  </r>
  <r>
    <n v="100811"/>
    <d v="2024-10-14T00:00:00"/>
    <x v="10"/>
    <s v="Ananya Reddy"/>
    <x v="4"/>
    <x v="7"/>
    <x v="4"/>
    <s v="Bluetooth Speaker"/>
    <n v="8"/>
    <n v="16678.61"/>
    <n v="133428.88"/>
    <n v="0.1"/>
    <x v="0"/>
    <s v="T. Rana"/>
  </r>
  <r>
    <n v="100756"/>
    <d v="2024-08-02T00:00:00"/>
    <x v="5"/>
    <s v="Aditya Iyer"/>
    <x v="3"/>
    <x v="3"/>
    <x v="5"/>
    <s v="Electric Kettle"/>
    <n v="10"/>
    <n v="2793.67"/>
    <n v="27936.7"/>
    <n v="0.05"/>
    <x v="2"/>
    <s v="M. Ghosh"/>
  </r>
  <r>
    <n v="101042"/>
    <d v="2024-08-02T00:00:00"/>
    <x v="5"/>
    <s v="Riya Verma"/>
    <x v="1"/>
    <x v="9"/>
    <x v="6"/>
    <s v="Sneakers"/>
    <n v="5"/>
    <n v="2781.09"/>
    <n v="13905.45"/>
    <n v="0.05"/>
    <x v="0"/>
    <s v="T. Rana"/>
  </r>
  <r>
    <n v="101381"/>
    <d v="2024-05-03T00:00:00"/>
    <x v="8"/>
    <s v="Karan Verma"/>
    <x v="4"/>
    <x v="7"/>
    <x v="0"/>
    <s v="Sofa 3-Seater"/>
    <n v="2"/>
    <n v="19458.78"/>
    <n v="38917.56"/>
    <n v="0.15"/>
    <x v="4"/>
    <s v="T. Rana"/>
  </r>
  <r>
    <n v="101992"/>
    <d v="2024-12-31T00:00:00"/>
    <x v="2"/>
    <s v="Myra Iyer"/>
    <x v="3"/>
    <x v="3"/>
    <x v="5"/>
    <s v="Air Cooler"/>
    <n v="12"/>
    <n v="0"/>
    <n v="0"/>
    <n v="0"/>
    <x v="5"/>
    <s v="K. Iyer"/>
  </r>
  <r>
    <n v="100301"/>
    <d v="2024-08-14T00:00:00"/>
    <x v="5"/>
    <s v="Sai Kapoor"/>
    <x v="2"/>
    <x v="5"/>
    <x v="1"/>
    <s v="Kids T-Shirt"/>
    <n v="8"/>
    <n v="437.79"/>
    <n v="3502.32"/>
    <n v="0.25"/>
    <x v="4"/>
    <s v="S. Bhat"/>
  </r>
  <r>
    <n v="101232"/>
    <d v="2024-01-27T00:00:00"/>
    <x v="9"/>
    <s v="(Unknown)"/>
    <x v="1"/>
    <x v="9"/>
    <x v="3"/>
    <s v="Tea Pack 500g"/>
    <n v="10"/>
    <n v="596.95000000000005"/>
    <n v="5969.5"/>
    <n v="0.05"/>
    <x v="1"/>
    <s v="P. Trivedi"/>
  </r>
  <r>
    <n v="101224"/>
    <d v="2024-06-25T00:00:00"/>
    <x v="0"/>
    <s v="Ananya Nair"/>
    <x v="3"/>
    <x v="6"/>
    <x v="2"/>
    <s v="Notebook Pack"/>
    <n v="10"/>
    <n v="484.97"/>
    <n v="4849.7000000000007"/>
    <n v="0.25"/>
    <x v="1"/>
    <s v="A. Menon"/>
  </r>
  <r>
    <n v="100607"/>
    <d v="2024-06-28T00:00:00"/>
    <x v="0"/>
    <s v="Ayaan Iyer"/>
    <x v="0"/>
    <x v="8"/>
    <x v="5"/>
    <s v="Electric Kettle"/>
    <n v="4"/>
    <n v="2496.09"/>
    <n v="9984.36"/>
    <n v="0.2"/>
    <x v="2"/>
    <s v="A. Menon"/>
  </r>
  <r>
    <n v="100830"/>
    <d v="2024-07-11T00:00:00"/>
    <x v="1"/>
    <s v="Karan Iyer"/>
    <x v="2"/>
    <x v="2"/>
    <x v="4"/>
    <s v="Wireless Earbuds"/>
    <n v="5"/>
    <n v="30038.78"/>
    <n v="150193.9"/>
    <n v="0"/>
    <x v="4"/>
    <s v="T. Rana"/>
  </r>
  <r>
    <n v="100946"/>
    <d v="2024-11-25T00:00:00"/>
    <x v="7"/>
    <s v="Aarav Singh"/>
    <x v="0"/>
    <x v="0"/>
    <x v="3"/>
    <s v="Basmati Rice 5kg"/>
    <n v="1"/>
    <n v="477.26"/>
    <n v="477.26"/>
    <n v="0"/>
    <x v="5"/>
    <s v="S. Bhat"/>
  </r>
  <r>
    <n v="101279"/>
    <d v="2024-10-07T00:00:00"/>
    <x v="10"/>
    <s v="Krishna Kapoor"/>
    <x v="4"/>
    <x v="4"/>
    <x v="3"/>
    <s v="Tea Pack 500g"/>
    <n v="4"/>
    <n v="457.21"/>
    <n v="1828.84"/>
    <n v="0.05"/>
    <x v="3"/>
    <s v="K. Iyer"/>
  </r>
  <r>
    <n v="101049"/>
    <d v="2024-10-14T00:00:00"/>
    <x v="10"/>
    <s v="Pooja Gupta"/>
    <x v="2"/>
    <x v="5"/>
    <x v="5"/>
    <s v="Mixer Grinder"/>
    <n v="3"/>
    <n v="10266.65"/>
    <n v="30799.949999999997"/>
    <n v="0"/>
    <x v="2"/>
    <s v="D. Chawla"/>
  </r>
  <r>
    <n v="100427"/>
    <d v="2024-02-16T00:00:00"/>
    <x v="11"/>
    <s v="Aditya Nair"/>
    <x v="2"/>
    <x v="5"/>
    <x v="6"/>
    <s v="Sandals"/>
    <n v="4"/>
    <n v="4310.47"/>
    <n v="17241.88"/>
    <n v="0.1"/>
    <x v="3"/>
    <s v="S. Bhat"/>
  </r>
  <r>
    <n v="100684"/>
    <d v="2024-05-27T00:00:00"/>
    <x v="8"/>
    <s v="Anika Nair"/>
    <x v="2"/>
    <x v="5"/>
    <x v="5"/>
    <s v="Microwave Oven"/>
    <n v="9"/>
    <n v="4641.54"/>
    <n v="41773.86"/>
    <n v="0.1"/>
    <x v="0"/>
    <s v="P. Trivedi"/>
  </r>
  <r>
    <n v="101197"/>
    <d v="2024-12-30T00:00:00"/>
    <x v="2"/>
    <s v="Nisha Singh"/>
    <x v="1"/>
    <x v="9"/>
    <x v="3"/>
    <s v="Basmati Rice 5kg"/>
    <n v="12"/>
    <n v="346.48"/>
    <n v="4157.76"/>
    <n v="0"/>
    <x v="1"/>
    <s v="S. Bhat"/>
  </r>
  <r>
    <n v="101904"/>
    <d v="2024-03-15T00:00:00"/>
    <x v="3"/>
    <s v="Vihaan Pillai"/>
    <x v="2"/>
    <x v="2"/>
    <x v="1"/>
    <s v="Men's Denim Jacket"/>
    <n v="3"/>
    <n v="3346.78"/>
    <n v="10040.34"/>
    <n v="0.25"/>
    <x v="1"/>
    <s v="S. Bhat"/>
  </r>
  <r>
    <n v="100260"/>
    <d v="2024-05-19T00:00:00"/>
    <x v="8"/>
    <s v="Sai Iyer"/>
    <x v="3"/>
    <x v="3"/>
    <x v="4"/>
    <s v="LED TV 42in"/>
    <n v="6"/>
    <n v="26623.85"/>
    <n v="159743.09999999998"/>
    <n v="0.15"/>
    <x v="4"/>
    <s v="S. Bhat"/>
  </r>
  <r>
    <n v="100341"/>
    <d v="2024-01-24T00:00:00"/>
    <x v="9"/>
    <s v="Aadhya Mehta"/>
    <x v="2"/>
    <x v="5"/>
    <x v="1"/>
    <s v="Men's Denim Jacket"/>
    <n v="12"/>
    <n v="2782.8"/>
    <n v="33393.600000000006"/>
    <n v="0"/>
    <x v="2"/>
    <s v="D. Chawla"/>
  </r>
  <r>
    <n v="100926"/>
    <d v="2024-08-30T00:00:00"/>
    <x v="5"/>
    <s v="Amit Patel"/>
    <x v="1"/>
    <x v="9"/>
    <x v="1"/>
    <s v="Women's Kurti"/>
    <n v="10"/>
    <n v="1631.51"/>
    <n v="16315.1"/>
    <n v="0.1"/>
    <x v="0"/>
    <s v="R. Kulkarni"/>
  </r>
  <r>
    <n v="101910"/>
    <d v="2024-06-21T00:00:00"/>
    <x v="0"/>
    <s v="Ayaan Pillai"/>
    <x v="0"/>
    <x v="0"/>
    <x v="5"/>
    <s v="Electric Kettle"/>
    <n v="4"/>
    <n v="5337.59"/>
    <n v="21350.36"/>
    <n v="0.15"/>
    <x v="2"/>
    <s v="D. Chawla"/>
  </r>
  <r>
    <n v="100624"/>
    <d v="2024-03-26T00:00:00"/>
    <x v="3"/>
    <s v="Myra Reddy"/>
    <x v="0"/>
    <x v="0"/>
    <x v="4"/>
    <s v="Wireless Earbuds"/>
    <n v="5"/>
    <n v="40138.160000000003"/>
    <n v="200690.80000000002"/>
    <n v="0"/>
    <x v="5"/>
    <s v="D. Chawla"/>
  </r>
  <r>
    <n v="101437"/>
    <d v="2024-11-04T00:00:00"/>
    <x v="7"/>
    <s v="Krishna Rao"/>
    <x v="0"/>
    <x v="8"/>
    <x v="2"/>
    <s v="Gel Pen Set"/>
    <n v="11"/>
    <n v="48.68"/>
    <n v="535.48"/>
    <n v="0.25"/>
    <x v="5"/>
    <s v="P. Trivedi"/>
  </r>
  <r>
    <n v="101247"/>
    <d v="2024-08-06T00:00:00"/>
    <x v="5"/>
    <s v="Diya Reddy"/>
    <x v="0"/>
    <x v="8"/>
    <x v="6"/>
    <s v="Running Shoes"/>
    <n v="1"/>
    <n v="2067.86"/>
    <n v="2067.86"/>
    <n v="0"/>
    <x v="3"/>
    <s v="T. Rana"/>
  </r>
  <r>
    <n v="100641"/>
    <d v="2024-02-28T00:00:00"/>
    <x v="11"/>
    <s v="Nisha Rao"/>
    <x v="4"/>
    <x v="7"/>
    <x v="0"/>
    <s v="Sofa 3-Seater"/>
    <n v="9"/>
    <n v="4724.13"/>
    <n v="42517.17"/>
    <n v="0.1"/>
    <x v="1"/>
    <s v="D. Chawla"/>
  </r>
  <r>
    <n v="100141"/>
    <d v="2024-09-15T00:00:00"/>
    <x v="4"/>
    <s v="Rohan Malhotra"/>
    <x v="2"/>
    <x v="2"/>
    <x v="2"/>
    <s v="Notebook Pack"/>
    <n v="7"/>
    <n v="55.02"/>
    <n v="385.14000000000004"/>
    <n v="0"/>
    <x v="1"/>
    <s v="A. Menon"/>
  </r>
  <r>
    <n v="100596"/>
    <d v="2024-04-17T00:00:00"/>
    <x v="6"/>
    <s v="Myra Bansal"/>
    <x v="2"/>
    <x v="5"/>
    <x v="3"/>
    <s v="Cooking Oil 1L"/>
    <n v="2"/>
    <n v="224.79"/>
    <n v="449.58"/>
    <n v="0"/>
    <x v="1"/>
    <s v="P. Trivedi"/>
  </r>
  <r>
    <n v="100038"/>
    <d v="2024-08-11T00:00:00"/>
    <x v="5"/>
    <s v="Aditya Bose"/>
    <x v="4"/>
    <x v="7"/>
    <x v="2"/>
    <s v="Geometry Box"/>
    <n v="9"/>
    <n v="358.46"/>
    <n v="3226.14"/>
    <n v="0"/>
    <x v="2"/>
    <s v="S. Bhat"/>
  </r>
  <r>
    <n v="100880"/>
    <d v="2024-12-24T00:00:00"/>
    <x v="2"/>
    <s v="Nisha Kumar"/>
    <x v="2"/>
    <x v="2"/>
    <x v="1"/>
    <s v="Winter Sweater"/>
    <n v="7"/>
    <n v="3142.87"/>
    <n v="22000.09"/>
    <n v="0"/>
    <x v="1"/>
    <s v="K. Iyer"/>
  </r>
  <r>
    <n v="101511"/>
    <d v="2024-05-15T00:00:00"/>
    <x v="8"/>
    <s v="Vivaan Bansal"/>
    <x v="2"/>
    <x v="2"/>
    <x v="6"/>
    <s v="Sneakers"/>
    <n v="8"/>
    <n v="2669.28"/>
    <n v="21354.240000000002"/>
    <n v="0.05"/>
    <x v="4"/>
    <s v="P. Trivedi"/>
  </r>
  <r>
    <n v="101699"/>
    <d v="2024-02-27T00:00:00"/>
    <x v="11"/>
    <s v="Vihaan Kumar"/>
    <x v="0"/>
    <x v="0"/>
    <x v="5"/>
    <s v="Microwave Oven"/>
    <n v="2"/>
    <n v="2997.28"/>
    <n v="5994.56"/>
    <n v="0"/>
    <x v="0"/>
    <s v="K. Iyer"/>
  </r>
  <r>
    <n v="100515"/>
    <d v="2024-06-21T00:00:00"/>
    <x v="0"/>
    <s v="Amit Agarwal"/>
    <x v="4"/>
    <x v="4"/>
    <x v="3"/>
    <s v="Cooking Oil 1L"/>
    <n v="1"/>
    <n v="224.87"/>
    <n v="224.87"/>
    <n v="0.15"/>
    <x v="2"/>
    <s v="T. Rana"/>
  </r>
  <r>
    <n v="101632"/>
    <d v="2024-03-28T00:00:00"/>
    <x v="3"/>
    <s v="Vikram Chopra"/>
    <x v="2"/>
    <x v="2"/>
    <x v="0"/>
    <s v="Office Chair"/>
    <n v="10"/>
    <n v="20672.93"/>
    <n v="206729.3"/>
    <n v="0.1"/>
    <x v="0"/>
    <s v="P. Trivedi"/>
  </r>
  <r>
    <n v="100059"/>
    <d v="2024-04-20T00:00:00"/>
    <x v="6"/>
    <s v="Vihaan Chopra"/>
    <x v="3"/>
    <x v="6"/>
    <x v="5"/>
    <s v="Mixer Grinder"/>
    <n v="2"/>
    <n v="0"/>
    <n v="0"/>
    <n v="0.25"/>
    <x v="2"/>
    <s v="D. Chawla"/>
  </r>
  <r>
    <n v="101009"/>
    <d v="2024-03-20T00:00:00"/>
    <x v="3"/>
    <s v="Anika Agarwal"/>
    <x v="2"/>
    <x v="2"/>
    <x v="2"/>
    <s v="Gel Pen Set"/>
    <n v="1"/>
    <n v="0"/>
    <n v="0"/>
    <n v="0.1"/>
    <x v="3"/>
    <s v="K. Iyer"/>
  </r>
  <r>
    <n v="101795"/>
    <d v="2024-01-27T00:00:00"/>
    <x v="9"/>
    <s v="Diya Malhotra"/>
    <x v="3"/>
    <x v="6"/>
    <x v="5"/>
    <s v="Air Cooler"/>
    <n v="9"/>
    <n v="4901.8900000000003"/>
    <n v="44117.01"/>
    <n v="0.05"/>
    <x v="0"/>
    <s v="A. Menon"/>
  </r>
  <r>
    <n v="100205"/>
    <d v="2024-08-16T00:00:00"/>
    <x v="5"/>
    <s v="Vihaan Reddy"/>
    <x v="2"/>
    <x v="2"/>
    <x v="1"/>
    <s v="Winter Sweater"/>
    <n v="12"/>
    <n v="1899.66"/>
    <n v="22795.920000000002"/>
    <n v="0"/>
    <x v="4"/>
    <s v="R. Kulkarni"/>
  </r>
  <r>
    <n v="101737"/>
    <d v="2024-09-14T00:00:00"/>
    <x v="4"/>
    <s v="Arjun Iyer"/>
    <x v="3"/>
    <x v="3"/>
    <x v="2"/>
    <s v="Notebook Pack"/>
    <n v="3"/>
    <n v="223.57"/>
    <n v="670.71"/>
    <n v="0"/>
    <x v="0"/>
    <s v="D. Chawla"/>
  </r>
  <r>
    <n v="101153"/>
    <d v="2024-12-22T00:00:00"/>
    <x v="2"/>
    <s v="Pooja Bansal"/>
    <x v="2"/>
    <x v="2"/>
    <x v="6"/>
    <s v="Running Shoes"/>
    <n v="8"/>
    <n v="1657.31"/>
    <n v="13258.48"/>
    <n v="0"/>
    <x v="4"/>
    <s v="K. Iyer"/>
  </r>
  <r>
    <n v="101562"/>
    <d v="2024-07-26T00:00:00"/>
    <x v="1"/>
    <s v="Vihaan Sharma"/>
    <x v="1"/>
    <x v="9"/>
    <x v="3"/>
    <s v="Tea Pack 500g"/>
    <n v="1"/>
    <n v="57.63"/>
    <n v="57.63"/>
    <n v="0"/>
    <x v="1"/>
    <s v="R. Kulkarni"/>
  </r>
  <r>
    <n v="100263"/>
    <d v="2024-03-28T00:00:00"/>
    <x v="3"/>
    <s v="Pooja Chopra"/>
    <x v="1"/>
    <x v="1"/>
    <x v="5"/>
    <s v="Ceiling Fan"/>
    <n v="6"/>
    <n v="5252.05"/>
    <n v="31512.300000000003"/>
    <n v="0.25"/>
    <x v="3"/>
    <s v="T. Rana"/>
  </r>
  <r>
    <n v="100638"/>
    <d v="2024-07-15T00:00:00"/>
    <x v="1"/>
    <s v="Aadhya Patel"/>
    <x v="3"/>
    <x v="6"/>
    <x v="0"/>
    <s v="Office Chair"/>
    <n v="10"/>
    <n v="14485.06"/>
    <n v="144850.6"/>
    <n v="0.15"/>
    <x v="0"/>
    <s v="T. Rana"/>
  </r>
  <r>
    <n v="101181"/>
    <d v="2024-10-22T00:00:00"/>
    <x v="10"/>
    <s v="Priya Chopra"/>
    <x v="3"/>
    <x v="6"/>
    <x v="5"/>
    <s v="Air Cooler"/>
    <n v="9"/>
    <n v="6108.8"/>
    <n v="54979.200000000004"/>
    <n v="0"/>
    <x v="1"/>
    <s v="A. Menon"/>
  </r>
  <r>
    <n v="101204"/>
    <d v="2024-01-12T00:00:00"/>
    <x v="9"/>
    <s v="Saanvi Bansal"/>
    <x v="1"/>
    <x v="9"/>
    <x v="4"/>
    <s v="Smartwatch S3"/>
    <n v="11"/>
    <n v="10326.94"/>
    <n v="113596.34000000001"/>
    <n v="0.05"/>
    <x v="0"/>
    <s v="R. Kulkarni"/>
  </r>
  <r>
    <n v="100489"/>
    <d v="2024-06-19T00:00:00"/>
    <x v="0"/>
    <s v="Arjun Sharma"/>
    <x v="0"/>
    <x v="8"/>
    <x v="4"/>
    <s v="Wireless Earbuds"/>
    <n v="12"/>
    <n v="40988.54"/>
    <n v="491862.48"/>
    <n v="0"/>
    <x v="3"/>
    <s v="A. Menon"/>
  </r>
  <r>
    <n v="101548"/>
    <d v="2024-06-06T00:00:00"/>
    <x v="0"/>
    <s v="Sai Reddy"/>
    <x v="1"/>
    <x v="1"/>
    <x v="2"/>
    <s v="A4 Paper Ream"/>
    <n v="2"/>
    <n v="0"/>
    <n v="0"/>
    <n v="0.15"/>
    <x v="4"/>
    <s v="A. Menon"/>
  </r>
  <r>
    <n v="100008"/>
    <d v="2024-04-18T00:00:00"/>
    <x v="6"/>
    <s v="Pooja Reddy"/>
    <x v="4"/>
    <x v="7"/>
    <x v="4"/>
    <s v="LED TV 42in"/>
    <n v="11"/>
    <n v="44042.33"/>
    <n v="484465.63"/>
    <n v="0.1"/>
    <x v="2"/>
    <s v="K. Iyer"/>
  </r>
  <r>
    <n v="101426"/>
    <d v="2024-01-29T00:00:00"/>
    <x v="9"/>
    <s v="Riya Reddy"/>
    <x v="2"/>
    <x v="5"/>
    <x v="5"/>
    <s v="Microwave Oven"/>
    <n v="12"/>
    <n v="0"/>
    <n v="0"/>
    <n v="0"/>
    <x v="1"/>
    <s v="T. Rana"/>
  </r>
  <r>
    <n v="100721"/>
    <d v="2024-07-09T00:00:00"/>
    <x v="1"/>
    <s v="Aadhya Sharma"/>
    <x v="1"/>
    <x v="9"/>
    <x v="3"/>
    <s v="Wheat Flour 10kg"/>
    <n v="8"/>
    <n v="219.25"/>
    <n v="1754"/>
    <n v="0"/>
    <x v="3"/>
    <s v="A. Menon"/>
  </r>
  <r>
    <n v="101512"/>
    <d v="2024-11-23T00:00:00"/>
    <x v="7"/>
    <s v="Krishna Nair"/>
    <x v="0"/>
    <x v="0"/>
    <x v="0"/>
    <s v="Bookshelf"/>
    <n v="10"/>
    <n v="3328.43"/>
    <n v="33284.299999999996"/>
    <n v="0.2"/>
    <x v="5"/>
    <s v="M. Ghosh"/>
  </r>
  <r>
    <n v="101830"/>
    <d v="2024-03-21T00:00:00"/>
    <x v="3"/>
    <s v="Diya Verma"/>
    <x v="3"/>
    <x v="6"/>
    <x v="5"/>
    <s v="Electric Kettle"/>
    <n v="1"/>
    <n v="0"/>
    <n v="0"/>
    <n v="0"/>
    <x v="5"/>
    <s v="M. Ghosh"/>
  </r>
  <r>
    <n v="100021"/>
    <d v="2024-06-04T00:00:00"/>
    <x v="0"/>
    <s v="Reyansh Kapoor"/>
    <x v="2"/>
    <x v="5"/>
    <x v="2"/>
    <s v="Gel Pen Set"/>
    <n v="12"/>
    <n v="139.35"/>
    <n v="1672.1999999999998"/>
    <n v="0.1"/>
    <x v="5"/>
    <s v="D. Chawla"/>
  </r>
  <r>
    <n v="101377"/>
    <d v="2024-02-26T00:00:00"/>
    <x v="11"/>
    <s v="Rohan Singh"/>
    <x v="3"/>
    <x v="6"/>
    <x v="6"/>
    <s v="Leather Formal Shoes"/>
    <n v="2"/>
    <n v="1657.86"/>
    <n v="3315.72"/>
    <n v="0"/>
    <x v="5"/>
    <s v="S. Bhat"/>
  </r>
  <r>
    <n v="100432"/>
    <d v="2024-08-10T00:00:00"/>
    <x v="5"/>
    <s v="Diya Reddy"/>
    <x v="2"/>
    <x v="5"/>
    <x v="1"/>
    <s v="Formal Shirt"/>
    <n v="8"/>
    <n v="3165.8"/>
    <n v="25326.400000000001"/>
    <n v="0"/>
    <x v="0"/>
    <s v="T. Rana"/>
  </r>
  <r>
    <n v="101578"/>
    <d v="2024-10-23T00:00:00"/>
    <x v="10"/>
    <s v="Riya Nair"/>
    <x v="4"/>
    <x v="4"/>
    <x v="5"/>
    <s v="Ceiling Fan"/>
    <n v="6"/>
    <n v="3130.25"/>
    <n v="18781.5"/>
    <n v="0"/>
    <x v="3"/>
    <s v="P. Trivedi"/>
  </r>
  <r>
    <n v="100717"/>
    <d v="2024-06-17T00:00:00"/>
    <x v="0"/>
    <s v="Myra Sharma"/>
    <x v="0"/>
    <x v="0"/>
    <x v="6"/>
    <s v="Sandals"/>
    <n v="7"/>
    <n v="3618.7"/>
    <n v="25330.899999999998"/>
    <n v="0.05"/>
    <x v="2"/>
    <s v="M. Ghosh"/>
  </r>
  <r>
    <n v="100833"/>
    <d v="2024-02-04T00:00:00"/>
    <x v="11"/>
    <s v="Aarav Singh"/>
    <x v="1"/>
    <x v="1"/>
    <x v="0"/>
    <s v="Bookshelf"/>
    <n v="8"/>
    <n v="6164.01"/>
    <n v="49312.08"/>
    <n v="0.2"/>
    <x v="3"/>
    <s v="S. Bhat"/>
  </r>
  <r>
    <n v="101829"/>
    <d v="2024-04-24T00:00:00"/>
    <x v="6"/>
    <s v="Pooja Rao"/>
    <x v="1"/>
    <x v="9"/>
    <x v="4"/>
    <s v="Wireless Earbuds"/>
    <n v="4"/>
    <n v="30450.53"/>
    <n v="121802.12"/>
    <n v="0.15"/>
    <x v="2"/>
    <s v="T. Rana"/>
  </r>
  <r>
    <n v="101428"/>
    <d v="2024-05-23T00:00:00"/>
    <x v="8"/>
    <s v="Kiara Verma"/>
    <x v="3"/>
    <x v="3"/>
    <x v="3"/>
    <s v="Cooking Oil 1L"/>
    <n v="9"/>
    <n v="197.34"/>
    <n v="1776.06"/>
    <n v="0.05"/>
    <x v="5"/>
    <s v="D. Chawla"/>
  </r>
  <r>
    <n v="101095"/>
    <d v="2024-07-26T00:00:00"/>
    <x v="1"/>
    <s v="Amit Das"/>
    <x v="2"/>
    <x v="2"/>
    <x v="3"/>
    <s v="Tea Pack 500g"/>
    <m/>
    <n v="0"/>
    <n v="0"/>
    <n v="0"/>
    <x v="1"/>
    <s v="M. Ghosh"/>
  </r>
  <r>
    <n v="100541"/>
    <d v="2024-08-05T00:00:00"/>
    <x v="5"/>
    <s v="Saanvi Kumar"/>
    <x v="4"/>
    <x v="7"/>
    <x v="5"/>
    <s v="Air Cooler"/>
    <n v="8"/>
    <n v="6447.95"/>
    <n v="51583.6"/>
    <n v="0"/>
    <x v="2"/>
    <s v="S. Bhat"/>
  </r>
  <r>
    <n v="100789"/>
    <d v="2024-11-25T00:00:00"/>
    <x v="7"/>
    <s v="Amit Joshi"/>
    <x v="4"/>
    <x v="4"/>
    <x v="4"/>
    <s v="LED TV 42in"/>
    <n v="5"/>
    <n v="39888.31"/>
    <n v="199441.55"/>
    <n v="0.05"/>
    <x v="3"/>
    <s v="K. Iyer"/>
  </r>
  <r>
    <n v="101006"/>
    <d v="2024-05-07T00:00:00"/>
    <x v="8"/>
    <s v="(Unknown)"/>
    <x v="0"/>
    <x v="0"/>
    <x v="1"/>
    <s v="Formal Shirt"/>
    <n v="6"/>
    <n v="461.76"/>
    <n v="2770.56"/>
    <n v="0"/>
    <x v="1"/>
    <s v="M. Ghosh"/>
  </r>
  <r>
    <n v="100673"/>
    <d v="2024-02-03T00:00:00"/>
    <x v="11"/>
    <s v="Sai Gupta"/>
    <x v="0"/>
    <x v="0"/>
    <x v="0"/>
    <s v="Bookshelf"/>
    <n v="9"/>
    <n v="7562.17"/>
    <n v="68059.53"/>
    <n v="0"/>
    <x v="3"/>
    <s v="T. Rana"/>
  </r>
  <r>
    <n v="100572"/>
    <d v="2024-08-25T00:00:00"/>
    <x v="5"/>
    <s v="Karan Singh"/>
    <x v="0"/>
    <x v="8"/>
    <x v="5"/>
    <s v="Microwave Oven"/>
    <n v="3"/>
    <n v="9300.7900000000009"/>
    <n v="27902.370000000003"/>
    <n v="0.1"/>
    <x v="1"/>
    <s v="T. Rana"/>
  </r>
  <r>
    <n v="101605"/>
    <d v="2024-09-08T00:00:00"/>
    <x v="4"/>
    <s v="Reyansh Joshi"/>
    <x v="3"/>
    <x v="3"/>
    <x v="2"/>
    <s v="Gel Pen Set"/>
    <n v="7"/>
    <n v="532.14"/>
    <n v="3724.98"/>
    <n v="0"/>
    <x v="2"/>
    <s v="S. Bhat"/>
  </r>
  <r>
    <n v="101969"/>
    <d v="2024-02-22T00:00:00"/>
    <x v="11"/>
    <s v="Aditya Kumar"/>
    <x v="1"/>
    <x v="1"/>
    <x v="2"/>
    <s v="A4 Paper Ream"/>
    <n v="1"/>
    <n v="155.63"/>
    <n v="155.63"/>
    <n v="0"/>
    <x v="0"/>
    <s v="P. Trivedi"/>
  </r>
  <r>
    <n v="100928"/>
    <d v="2024-07-12T00:00:00"/>
    <x v="1"/>
    <s v="Ananya Iyer"/>
    <x v="0"/>
    <x v="8"/>
    <x v="3"/>
    <s v="Tea Pack 500g"/>
    <n v="3"/>
    <n v="618.12"/>
    <n v="1854.3600000000001"/>
    <n v="0"/>
    <x v="2"/>
    <s v="K. Iyer"/>
  </r>
  <r>
    <n v="101921"/>
    <d v="2024-02-08T00:00:00"/>
    <x v="11"/>
    <s v="Aadhya Iyer"/>
    <x v="4"/>
    <x v="7"/>
    <x v="6"/>
    <s v="Sandals"/>
    <n v="1"/>
    <n v="1663.08"/>
    <n v="1663.08"/>
    <n v="0"/>
    <x v="0"/>
    <s v="M. Ghosh"/>
  </r>
  <r>
    <n v="101039"/>
    <d v="2024-02-20T00:00:00"/>
    <x v="11"/>
    <s v="Diya Iyer"/>
    <x v="1"/>
    <x v="1"/>
    <x v="5"/>
    <s v="Microwave Oven"/>
    <n v="5"/>
    <n v="2172.79"/>
    <n v="10863.95"/>
    <n v="0.2"/>
    <x v="2"/>
    <s v="P. Trivedi"/>
  </r>
  <r>
    <n v="100597"/>
    <d v="2024-02-03T00:00:00"/>
    <x v="11"/>
    <s v="Sneha Mehta"/>
    <x v="1"/>
    <x v="9"/>
    <x v="3"/>
    <s v="Sugar 1kg"/>
    <n v="7"/>
    <n v="0"/>
    <n v="0"/>
    <n v="0.15"/>
    <x v="2"/>
    <s v="T. Rana"/>
  </r>
  <r>
    <n v="101981"/>
    <d v="2024-07-07T00:00:00"/>
    <x v="1"/>
    <s v="Kiara Kapoor"/>
    <x v="2"/>
    <x v="2"/>
    <x v="2"/>
    <s v="Geometry Box"/>
    <n v="-2"/>
    <n v="461.93"/>
    <n v="-923.86"/>
    <n v="0.1"/>
    <x v="1"/>
    <s v="D. Chawla"/>
  </r>
  <r>
    <n v="101671"/>
    <d v="2024-12-12T00:00:00"/>
    <x v="2"/>
    <s v="Arjun Rao"/>
    <x v="3"/>
    <x v="3"/>
    <x v="6"/>
    <s v="Running Shoes"/>
    <n v="10"/>
    <n v="1714.64"/>
    <n v="17146.400000000001"/>
    <n v="0.05"/>
    <x v="5"/>
    <s v="S. Bhat"/>
  </r>
  <r>
    <n v="100695"/>
    <d v="2024-04-01T00:00:00"/>
    <x v="6"/>
    <s v="Vihaan Rao"/>
    <x v="0"/>
    <x v="0"/>
    <x v="6"/>
    <s v="Sneakers"/>
    <n v="4"/>
    <n v="4079.69"/>
    <n v="16318.76"/>
    <n v="0"/>
    <x v="0"/>
    <s v="A. Menon"/>
  </r>
  <r>
    <n v="101387"/>
    <d v="2024-12-03T00:00:00"/>
    <x v="2"/>
    <s v="Navya Rao"/>
    <x v="3"/>
    <x v="3"/>
    <x v="0"/>
    <s v="Study Desk"/>
    <n v="6"/>
    <n v="20921.71"/>
    <n v="125530.26"/>
    <n v="0"/>
    <x v="3"/>
    <s v="P. Trivedi"/>
  </r>
  <r>
    <n v="101711"/>
    <d v="2024-10-03T00:00:00"/>
    <x v="10"/>
    <s v="Priya Patel"/>
    <x v="1"/>
    <x v="9"/>
    <x v="6"/>
    <s v="Leather Formal Shoes"/>
    <n v="12"/>
    <n v="3728.78"/>
    <n v="44745.36"/>
    <n v="0.1"/>
    <x v="2"/>
    <s v="M. Ghosh"/>
  </r>
  <r>
    <n v="100173"/>
    <d v="2024-04-30T00:00:00"/>
    <x v="6"/>
    <s v="Aarav Gupta"/>
    <x v="1"/>
    <x v="1"/>
    <x v="5"/>
    <s v="Air Cooler"/>
    <n v="3"/>
    <n v="11701.63"/>
    <n v="35104.89"/>
    <n v="0.05"/>
    <x v="2"/>
    <s v="D. Chawla"/>
  </r>
  <r>
    <n v="100595"/>
    <d v="2024-08-13T00:00:00"/>
    <x v="5"/>
    <s v="(Unknown)"/>
    <x v="4"/>
    <x v="4"/>
    <x v="0"/>
    <s v="Wooden Dining Table"/>
    <n v="4"/>
    <n v="6639.13"/>
    <n v="26556.52"/>
    <n v="0.15"/>
    <x v="2"/>
    <s v="P. Trivedi"/>
  </r>
  <r>
    <n v="101960"/>
    <d v="2024-11-03T00:00:00"/>
    <x v="7"/>
    <s v="(Unknown)"/>
    <x v="1"/>
    <x v="9"/>
    <x v="4"/>
    <s v="Laptop Air 14"/>
    <n v="11"/>
    <n v="41742.94"/>
    <n v="459172.34"/>
    <n v="0.1"/>
    <x v="4"/>
    <s v="T. Rana"/>
  </r>
  <r>
    <n v="101773"/>
    <d v="2024-05-21T00:00:00"/>
    <x v="8"/>
    <s v="Kiara Rao"/>
    <x v="0"/>
    <x v="0"/>
    <x v="0"/>
    <s v="Study Desk"/>
    <n v="3"/>
    <n v="23992.61"/>
    <n v="71977.83"/>
    <n v="0"/>
    <x v="3"/>
    <s v="P. Trivedi"/>
  </r>
  <r>
    <n v="100052"/>
    <d v="2024-11-01T00:00:00"/>
    <x v="7"/>
    <s v="Krishna Kumar"/>
    <x v="4"/>
    <x v="7"/>
    <x v="4"/>
    <s v="Bluetooth Speaker"/>
    <n v="9"/>
    <n v="44513.71"/>
    <n v="400623.39"/>
    <n v="0.05"/>
    <x v="0"/>
    <s v="S. Bhat"/>
  </r>
  <r>
    <n v="100037"/>
    <d v="2024-09-09T00:00:00"/>
    <x v="4"/>
    <s v="(Unknown)"/>
    <x v="3"/>
    <x v="3"/>
    <x v="4"/>
    <s v="Smartphone X200"/>
    <n v="8"/>
    <n v="27384.42"/>
    <n v="219075.36"/>
    <n v="0.2"/>
    <x v="5"/>
    <s v="M. Ghosh"/>
  </r>
  <r>
    <n v="101826"/>
    <d v="2024-08-02T00:00:00"/>
    <x v="5"/>
    <s v="Rahul Mehta"/>
    <x v="1"/>
    <x v="9"/>
    <x v="0"/>
    <s v="Sofa 3-Seater"/>
    <n v="6"/>
    <n v="16728.04"/>
    <n v="100368.24"/>
    <n v="0.1"/>
    <x v="4"/>
    <s v="A. Menon"/>
  </r>
  <r>
    <n v="101294"/>
    <d v="2024-12-18T00:00:00"/>
    <x v="2"/>
    <s v="Riya Patel"/>
    <x v="0"/>
    <x v="8"/>
    <x v="0"/>
    <s v="Sofa 3-Seater"/>
    <n v="9"/>
    <n v="13348.76"/>
    <n v="120138.84"/>
    <n v="0.2"/>
    <x v="2"/>
    <s v="A. Menon"/>
  </r>
  <r>
    <n v="101151"/>
    <d v="2024-01-31T00:00:00"/>
    <x v="9"/>
    <s v="Ananya Reddy"/>
    <x v="4"/>
    <x v="7"/>
    <x v="0"/>
    <s v="Wooden Dining Table"/>
    <n v="9"/>
    <n v="4805.8599999999997"/>
    <n v="43252.74"/>
    <n v="0.1"/>
    <x v="1"/>
    <s v="S. Bhat"/>
  </r>
  <r>
    <n v="100956"/>
    <d v="2024-06-23T00:00:00"/>
    <x v="0"/>
    <s v="Ira Agarwal"/>
    <x v="2"/>
    <x v="2"/>
    <x v="6"/>
    <s v="Running Shoes"/>
    <n v="3"/>
    <n v="4447.75"/>
    <n v="13343.25"/>
    <n v="0.2"/>
    <x v="2"/>
    <s v="R. Kulkarni"/>
  </r>
  <r>
    <n v="100448"/>
    <d v="2024-05-11T00:00:00"/>
    <x v="8"/>
    <s v="Sai Kapoor"/>
    <x v="4"/>
    <x v="7"/>
    <x v="4"/>
    <s v="LED TV 42in"/>
    <n v="6"/>
    <n v="43106.29"/>
    <n v="258637.74"/>
    <n v="0"/>
    <x v="2"/>
    <s v="T. Rana"/>
  </r>
  <r>
    <n v="101666"/>
    <d v="2024-04-23T00:00:00"/>
    <x v="6"/>
    <s v="Karan Agarwal"/>
    <x v="2"/>
    <x v="5"/>
    <x v="1"/>
    <s v="Women's Kurti"/>
    <n v="-3"/>
    <n v="745.34"/>
    <n v="-2236.02"/>
    <n v="0"/>
    <x v="4"/>
    <s v="P. Trivedi"/>
  </r>
  <r>
    <n v="101139"/>
    <d v="2024-10-25T00:00:00"/>
    <x v="10"/>
    <s v="Ayaan Kapoor"/>
    <x v="1"/>
    <x v="9"/>
    <x v="1"/>
    <s v="Winter Sweater"/>
    <n v="10"/>
    <n v="1772.43"/>
    <n v="17724.3"/>
    <n v="0"/>
    <x v="1"/>
    <s v="P. Trivedi"/>
  </r>
  <r>
    <n v="101976"/>
    <d v="2024-06-02T00:00:00"/>
    <x v="0"/>
    <s v="Navya Singh"/>
    <x v="2"/>
    <x v="5"/>
    <x v="5"/>
    <s v="Microwave Oven"/>
    <n v="9"/>
    <n v="4646.3599999999997"/>
    <n v="41817.24"/>
    <n v="0"/>
    <x v="4"/>
    <s v="R. Kulkarni"/>
  </r>
  <r>
    <n v="100747"/>
    <d v="2024-09-27T00:00:00"/>
    <x v="4"/>
    <s v="Krishna Iyer"/>
    <x v="0"/>
    <x v="8"/>
    <x v="5"/>
    <s v="Electric Kettle"/>
    <n v="2"/>
    <n v="0"/>
    <n v="0"/>
    <n v="0"/>
    <x v="4"/>
    <s v="D. Chawla"/>
  </r>
  <r>
    <n v="101331"/>
    <d v="2024-10-21T00:00:00"/>
    <x v="10"/>
    <s v="Saanvi Mehta"/>
    <x v="2"/>
    <x v="5"/>
    <x v="6"/>
    <s v="Sandals"/>
    <n v="8"/>
    <n v="3770.51"/>
    <n v="30164.080000000002"/>
    <n v="0"/>
    <x v="2"/>
    <s v="K. Iyer"/>
  </r>
  <r>
    <n v="100361"/>
    <d v="2024-02-20T00:00:00"/>
    <x v="11"/>
    <s v="Sai Mehta"/>
    <x v="4"/>
    <x v="4"/>
    <x v="3"/>
    <s v="Basmati Rice 5kg"/>
    <n v="3"/>
    <n v="467.75"/>
    <n v="1403.25"/>
    <n v="0"/>
    <x v="3"/>
    <s v="A. Menon"/>
  </r>
  <r>
    <n v="100984"/>
    <d v="2024-08-09T00:00:00"/>
    <x v="5"/>
    <s v="Sneha Sharma"/>
    <x v="0"/>
    <x v="8"/>
    <x v="0"/>
    <s v="Study Desk"/>
    <n v="12"/>
    <n v="11435.02"/>
    <n v="137220.24"/>
    <n v="0"/>
    <x v="0"/>
    <s v="P. Trivedi"/>
  </r>
  <r>
    <n v="101348"/>
    <d v="2024-11-10T00:00:00"/>
    <x v="7"/>
    <s v="Vivaan Nair"/>
    <x v="0"/>
    <x v="0"/>
    <x v="0"/>
    <s v="Sofa 3-Seater"/>
    <n v="12"/>
    <n v="10323.77"/>
    <n v="123885.24"/>
    <n v="0"/>
    <x v="3"/>
    <s v="M. Ghosh"/>
  </r>
  <r>
    <n v="101667"/>
    <d v="2024-03-22T00:00:00"/>
    <x v="3"/>
    <s v="Karan Chopra"/>
    <x v="1"/>
    <x v="9"/>
    <x v="5"/>
    <s v="Mixer Grinder"/>
    <n v="5"/>
    <n v="11804.7"/>
    <n v="59023.5"/>
    <n v="0.15"/>
    <x v="2"/>
    <s v="R. Kulkarni"/>
  </r>
  <r>
    <n v="100883"/>
    <d v="2024-06-22T00:00:00"/>
    <x v="0"/>
    <s v="Vikram Kumar"/>
    <x v="0"/>
    <x v="8"/>
    <x v="2"/>
    <s v="Gel Pen Set"/>
    <n v="12"/>
    <n v="394.5"/>
    <n v="4734"/>
    <n v="0.2"/>
    <x v="5"/>
    <s v="D. Chawla"/>
  </r>
  <r>
    <n v="100456"/>
    <d v="2024-09-04T00:00:00"/>
    <x v="4"/>
    <s v="Vivaan Joshi"/>
    <x v="4"/>
    <x v="7"/>
    <x v="5"/>
    <s v="Electric Kettle"/>
    <n v="5"/>
    <n v="0"/>
    <n v="0"/>
    <n v="0"/>
    <x v="5"/>
    <s v="M. Ghosh"/>
  </r>
  <r>
    <n v="100147"/>
    <d v="2024-03-22T00:00:00"/>
    <x v="3"/>
    <s v="Ayaan Nair"/>
    <x v="2"/>
    <x v="2"/>
    <x v="4"/>
    <s v="Wireless Earbuds"/>
    <n v="1"/>
    <n v="11027.38"/>
    <n v="11027.38"/>
    <n v="0.15"/>
    <x v="2"/>
    <s v="R. Kulkarni"/>
  </r>
  <r>
    <n v="100312"/>
    <d v="2024-04-11T00:00:00"/>
    <x v="6"/>
    <s v="Reyansh Bansal"/>
    <x v="4"/>
    <x v="4"/>
    <x v="6"/>
    <s v="Running Shoes"/>
    <n v="2"/>
    <n v="976.87"/>
    <n v="1953.74"/>
    <n v="0"/>
    <x v="0"/>
    <s v="T. Rana"/>
  </r>
  <r>
    <n v="100464"/>
    <d v="2024-08-07T00:00:00"/>
    <x v="5"/>
    <s v="Pooja Mehta"/>
    <x v="3"/>
    <x v="3"/>
    <x v="4"/>
    <s v="LED TV 42in"/>
    <n v="8"/>
    <n v="13414.88"/>
    <n v="107319.03999999999"/>
    <n v="0"/>
    <x v="1"/>
    <s v="D. Chawla"/>
  </r>
  <r>
    <n v="100439"/>
    <d v="2024-08-11T00:00:00"/>
    <x v="5"/>
    <s v="Myra Kapoor"/>
    <x v="4"/>
    <x v="7"/>
    <x v="3"/>
    <s v="Wheat Flour 10kg"/>
    <n v="9"/>
    <n v="807.85"/>
    <n v="7270.6500000000005"/>
    <n v="0.25"/>
    <x v="3"/>
    <s v="A. Menon"/>
  </r>
  <r>
    <n v="101680"/>
    <d v="2024-07-02T00:00:00"/>
    <x v="1"/>
    <s v="Priya Bose"/>
    <x v="3"/>
    <x v="3"/>
    <x v="3"/>
    <s v="Tea Pack 500g"/>
    <n v="7"/>
    <n v="120.08"/>
    <n v="840.56"/>
    <n v="0.25"/>
    <x v="2"/>
    <s v="K. Iyer"/>
  </r>
  <r>
    <n v="100726"/>
    <d v="2024-12-15T00:00:00"/>
    <x v="2"/>
    <s v="(Unknown)"/>
    <x v="4"/>
    <x v="7"/>
    <x v="0"/>
    <s v="Study Desk"/>
    <n v="8"/>
    <n v="18116.04"/>
    <n v="144928.32000000001"/>
    <n v="0"/>
    <x v="5"/>
    <s v="P. Trivedi"/>
  </r>
  <r>
    <n v="100870"/>
    <d v="2024-12-13T00:00:00"/>
    <x v="2"/>
    <s v="Nisha Rao"/>
    <x v="0"/>
    <x v="0"/>
    <x v="0"/>
    <s v="Wooden Dining Table"/>
    <n v="8"/>
    <n v="22387.16"/>
    <n v="179097.28"/>
    <n v="0"/>
    <x v="4"/>
    <s v="D. Chawla"/>
  </r>
  <r>
    <n v="101885"/>
    <d v="2024-11-01T00:00:00"/>
    <x v="7"/>
    <s v="(Unknown)"/>
    <x v="3"/>
    <x v="3"/>
    <x v="2"/>
    <s v="Geometry Box"/>
    <n v="9"/>
    <n v="331.3"/>
    <n v="2981.7000000000003"/>
    <n v="0"/>
    <x v="5"/>
    <s v="R. Kulkarni"/>
  </r>
  <r>
    <n v="100397"/>
    <d v="2024-09-12T00:00:00"/>
    <x v="4"/>
    <s v="Reyansh Kumar"/>
    <x v="2"/>
    <x v="2"/>
    <x v="0"/>
    <s v="Study Desk"/>
    <n v="7"/>
    <n v="19455.64"/>
    <n v="136189.47999999998"/>
    <n v="0"/>
    <x v="0"/>
    <s v="D. Chawla"/>
  </r>
  <r>
    <n v="100739"/>
    <d v="2024-04-18T00:00:00"/>
    <x v="6"/>
    <s v="Arjun Kapoor"/>
    <x v="3"/>
    <x v="6"/>
    <x v="0"/>
    <s v="Office Chair"/>
    <n v="3"/>
    <n v="21173.25"/>
    <n v="63519.75"/>
    <n v="0.2"/>
    <x v="0"/>
    <s v="M. Ghosh"/>
  </r>
  <r>
    <n v="100958"/>
    <d v="2024-09-22T00:00:00"/>
    <x v="4"/>
    <s v="(Unknown)"/>
    <x v="0"/>
    <x v="0"/>
    <x v="3"/>
    <s v="Sugar 1kg"/>
    <n v="8"/>
    <n v="824.21"/>
    <n v="6593.68"/>
    <n v="0.15"/>
    <x v="1"/>
    <s v="D. Chawla"/>
  </r>
  <r>
    <n v="100675"/>
    <d v="2024-06-21T00:00:00"/>
    <x v="0"/>
    <s v="(Unknown)"/>
    <x v="2"/>
    <x v="5"/>
    <x v="4"/>
    <s v="LED TV 42in"/>
    <n v="5"/>
    <n v="43380.42"/>
    <n v="216902.09999999998"/>
    <n v="0"/>
    <x v="2"/>
    <s v="D. Chawla"/>
  </r>
  <r>
    <n v="101939"/>
    <d v="2024-03-10T00:00:00"/>
    <x v="3"/>
    <s v="Krishna Bose"/>
    <x v="1"/>
    <x v="1"/>
    <x v="2"/>
    <s v="Notebook Pack"/>
    <n v="12"/>
    <n v="410.62"/>
    <n v="4927.4400000000005"/>
    <n v="0"/>
    <x v="0"/>
    <s v="K. Iyer"/>
  </r>
  <r>
    <n v="100526"/>
    <d v="2024-01-04T00:00:00"/>
    <x v="9"/>
    <s v="Riya Chopra"/>
    <x v="2"/>
    <x v="5"/>
    <x v="2"/>
    <s v="Geometry Box"/>
    <n v="12"/>
    <n v="461.87"/>
    <n v="5542.4400000000005"/>
    <n v="0"/>
    <x v="5"/>
    <s v="D. Chawla"/>
  </r>
  <r>
    <n v="101337"/>
    <d v="2024-03-14T00:00:00"/>
    <x v="3"/>
    <s v="Amit Sharma"/>
    <x v="3"/>
    <x v="6"/>
    <x v="0"/>
    <s v="Office Chair"/>
    <n v="9"/>
    <n v="24122.47"/>
    <n v="217102.23"/>
    <n v="0.15"/>
    <x v="1"/>
    <s v="M. Ghosh"/>
  </r>
  <r>
    <n v="101786"/>
    <d v="2024-02-23T00:00:00"/>
    <x v="11"/>
    <s v="Rahul Bose"/>
    <x v="4"/>
    <x v="4"/>
    <x v="5"/>
    <s v="Electric Kettle"/>
    <n v="6"/>
    <n v="6558.77"/>
    <n v="39352.620000000003"/>
    <n v="0.15"/>
    <x v="1"/>
    <s v="D. Chawla"/>
  </r>
  <r>
    <n v="101556"/>
    <d v="2024-08-22T00:00:00"/>
    <x v="5"/>
    <s v="Vivaan Iyer"/>
    <x v="2"/>
    <x v="2"/>
    <x v="2"/>
    <s v="Gel Pen Set"/>
    <n v="9"/>
    <n v="262.04000000000002"/>
    <n v="2358.36"/>
    <n v="0"/>
    <x v="1"/>
    <s v="P. Trivedi"/>
  </r>
  <r>
    <n v="100453"/>
    <d v="2024-08-15T00:00:00"/>
    <x v="5"/>
    <s v="Ishaan Singh"/>
    <x v="3"/>
    <x v="3"/>
    <x v="0"/>
    <s v="Office Chair"/>
    <n v="3"/>
    <n v="15091.21"/>
    <n v="45273.63"/>
    <n v="0.1"/>
    <x v="3"/>
    <s v="A. Menon"/>
  </r>
  <r>
    <n v="100591"/>
    <d v="2024-08-06T00:00:00"/>
    <x v="5"/>
    <s v="Amit Bose"/>
    <x v="3"/>
    <x v="3"/>
    <x v="3"/>
    <s v="Wheat Flour 10kg"/>
    <n v="10"/>
    <n v="219.14"/>
    <n v="2191.3999999999996"/>
    <n v="0"/>
    <x v="3"/>
    <s v="K. Iyer"/>
  </r>
  <r>
    <n v="101068"/>
    <d v="2024-03-19T00:00:00"/>
    <x v="3"/>
    <s v="Sneha Sharma"/>
    <x v="3"/>
    <x v="3"/>
    <x v="4"/>
    <s v="Laptop Air 14"/>
    <n v="8"/>
    <n v="30161.360000000001"/>
    <n v="241290.88"/>
    <n v="0.2"/>
    <x v="5"/>
    <s v="D. Chawla"/>
  </r>
  <r>
    <n v="101150"/>
    <d v="2024-10-14T00:00:00"/>
    <x v="10"/>
    <s v="Sneha Kapoor"/>
    <x v="4"/>
    <x v="7"/>
    <x v="1"/>
    <s v="Winter Sweater"/>
    <n v="5"/>
    <n v="0"/>
    <n v="0"/>
    <n v="0"/>
    <x v="4"/>
    <s v="R. Kulkarni"/>
  </r>
  <r>
    <n v="100741"/>
    <d v="2024-01-26T00:00:00"/>
    <x v="9"/>
    <s v="Sneha Bansal"/>
    <x v="1"/>
    <x v="1"/>
    <x v="2"/>
    <s v="A4 Paper Ream"/>
    <n v="3"/>
    <n v="254.93"/>
    <n v="764.79"/>
    <n v="0.05"/>
    <x v="4"/>
    <s v="S. Bhat"/>
  </r>
  <r>
    <n v="101606"/>
    <d v="2024-12-09T00:00:00"/>
    <x v="2"/>
    <s v="(Unknown)"/>
    <x v="0"/>
    <x v="8"/>
    <x v="4"/>
    <s v="LED TV 42in"/>
    <n v="12"/>
    <n v="43735.65"/>
    <n v="524827.80000000005"/>
    <n v="0.25"/>
    <x v="3"/>
    <s v="T. Rana"/>
  </r>
  <r>
    <n v="101871"/>
    <d v="2024-01-09T00:00:00"/>
    <x v="9"/>
    <s v="Navya Joshi"/>
    <x v="2"/>
    <x v="5"/>
    <x v="4"/>
    <s v="Smartwatch S3"/>
    <n v="6"/>
    <n v="26019.759999999998"/>
    <n v="156118.56"/>
    <n v="0.05"/>
    <x v="3"/>
    <s v="D. Chawla"/>
  </r>
  <r>
    <n v="100142"/>
    <d v="2024-10-26T00:00:00"/>
    <x v="10"/>
    <s v="Arjun Singh"/>
    <x v="1"/>
    <x v="9"/>
    <x v="5"/>
    <s v="Microwave Oven"/>
    <n v="5"/>
    <n v="8678.0499999999993"/>
    <n v="43390.25"/>
    <n v="0"/>
    <x v="1"/>
    <s v="S. Bhat"/>
  </r>
  <r>
    <n v="100362"/>
    <d v="2024-03-02T00:00:00"/>
    <x v="3"/>
    <s v="Reyansh Nair"/>
    <x v="3"/>
    <x v="3"/>
    <x v="4"/>
    <s v="Bluetooth Speaker"/>
    <n v="7"/>
    <n v="2681.95"/>
    <n v="18773.649999999998"/>
    <n v="0.15"/>
    <x v="1"/>
    <s v="T. Rana"/>
  </r>
  <r>
    <n v="100836"/>
    <d v="2024-05-17T00:00:00"/>
    <x v="8"/>
    <s v="Vivaan Kapoor"/>
    <x v="2"/>
    <x v="2"/>
    <x v="1"/>
    <s v="Winter Sweater"/>
    <n v="12"/>
    <n v="941.97"/>
    <n v="11303.64"/>
    <n v="0.1"/>
    <x v="5"/>
    <s v="D. Chawla"/>
  </r>
  <r>
    <n v="101881"/>
    <d v="2024-03-02T00:00:00"/>
    <x v="3"/>
    <s v="Navya Singh"/>
    <x v="0"/>
    <x v="0"/>
    <x v="4"/>
    <s v="Smartwatch S3"/>
    <n v="2"/>
    <n v="31872.34"/>
    <n v="63744.68"/>
    <n v="0.2"/>
    <x v="4"/>
    <s v="D. Chawla"/>
  </r>
  <r>
    <n v="101917"/>
    <d v="2024-05-07T00:00:00"/>
    <x v="8"/>
    <s v="Myra Singh"/>
    <x v="1"/>
    <x v="1"/>
    <x v="1"/>
    <s v="Formal Shirt"/>
    <n v="9"/>
    <n v="3326.02"/>
    <n v="29934.18"/>
    <n v="0.2"/>
    <x v="3"/>
    <s v="S. Bhat"/>
  </r>
  <r>
    <n v="101386"/>
    <d v="2024-02-23T00:00:00"/>
    <x v="11"/>
    <s v="Reyansh Agarwal"/>
    <x v="4"/>
    <x v="4"/>
    <x v="6"/>
    <s v="Leather Formal Shoes"/>
    <n v="12"/>
    <n v="2038.91"/>
    <n v="24466.920000000002"/>
    <n v="0.25"/>
    <x v="2"/>
    <s v="A. Menon"/>
  </r>
  <r>
    <n v="101873"/>
    <d v="2024-04-23T00:00:00"/>
    <x v="6"/>
    <s v="Krishna Das"/>
    <x v="3"/>
    <x v="3"/>
    <x v="3"/>
    <s v="Sugar 1kg"/>
    <n v="8"/>
    <n v="322.11"/>
    <n v="2576.88"/>
    <n v="0"/>
    <x v="3"/>
    <s v="S. Bhat"/>
  </r>
  <r>
    <n v="100368"/>
    <d v="2024-11-22T00:00:00"/>
    <x v="7"/>
    <s v="Vihaan Iyer"/>
    <x v="1"/>
    <x v="9"/>
    <x v="5"/>
    <s v="Electric Kettle"/>
    <n v="8"/>
    <n v="0"/>
    <n v="0"/>
    <n v="0.05"/>
    <x v="4"/>
    <s v="P. Trivedi"/>
  </r>
  <r>
    <n v="101994"/>
    <d v="2024-04-03T00:00:00"/>
    <x v="6"/>
    <s v="Myra Reddy"/>
    <x v="0"/>
    <x v="0"/>
    <x v="0"/>
    <s v="Study Desk"/>
    <n v="4"/>
    <n v="3114.05"/>
    <n v="12456.2"/>
    <n v="0"/>
    <x v="3"/>
    <s v="A. Menon"/>
  </r>
  <r>
    <n v="101188"/>
    <d v="2024-09-28T00:00:00"/>
    <x v="4"/>
    <s v="Navya Verma"/>
    <x v="3"/>
    <x v="3"/>
    <x v="6"/>
    <s v="Sandals"/>
    <n v="1"/>
    <n v="699.67"/>
    <n v="699.67"/>
    <n v="0.1"/>
    <x v="4"/>
    <s v="R. Kulkarni"/>
  </r>
  <r>
    <n v="100831"/>
    <d v="2024-01-15T00:00:00"/>
    <x v="9"/>
    <s v="Kiara Mehta"/>
    <x v="2"/>
    <x v="5"/>
    <x v="4"/>
    <s v="Laptop Air 14"/>
    <n v="5"/>
    <n v="12902.69"/>
    <n v="64513.450000000004"/>
    <n v="0.25"/>
    <x v="0"/>
    <s v="R. Kulkarni"/>
  </r>
  <r>
    <n v="101636"/>
    <d v="2024-01-09T00:00:00"/>
    <x v="9"/>
    <s v="Anika Malhotra"/>
    <x v="1"/>
    <x v="9"/>
    <x v="6"/>
    <s v="Leather Formal Shoes"/>
    <n v="2"/>
    <n v="3529.68"/>
    <n v="7059.36"/>
    <n v="0.05"/>
    <x v="1"/>
    <s v="K. Iyer"/>
  </r>
  <r>
    <n v="101978"/>
    <d v="2024-04-03T00:00:00"/>
    <x v="6"/>
    <s v="Kiara Das"/>
    <x v="0"/>
    <x v="8"/>
    <x v="2"/>
    <s v="A4 Paper Ream"/>
    <n v="9"/>
    <n v="480.86"/>
    <n v="4327.74"/>
    <n v="0"/>
    <x v="0"/>
    <s v="T. Rana"/>
  </r>
  <r>
    <n v="100352"/>
    <d v="2024-06-25T00:00:00"/>
    <x v="0"/>
    <s v="Rahul Iyer"/>
    <x v="4"/>
    <x v="7"/>
    <x v="2"/>
    <s v="Notebook Pack"/>
    <n v="9"/>
    <n v="587.30999999999995"/>
    <n v="5285.7899999999991"/>
    <n v="0.1"/>
    <x v="0"/>
    <s v="T. Rana"/>
  </r>
  <r>
    <n v="100545"/>
    <d v="2024-10-30T00:00:00"/>
    <x v="10"/>
    <s v="Krishna Bansal"/>
    <x v="3"/>
    <x v="3"/>
    <x v="6"/>
    <s v="Running Shoes"/>
    <n v="2"/>
    <n v="3422.63"/>
    <n v="6845.26"/>
    <n v="0.2"/>
    <x v="0"/>
    <s v="R. Kulkarni"/>
  </r>
  <r>
    <n v="101168"/>
    <d v="2024-05-20T00:00:00"/>
    <x v="8"/>
    <s v="Kiara Kumar"/>
    <x v="2"/>
    <x v="5"/>
    <x v="5"/>
    <s v="Air Cooler"/>
    <n v="5"/>
    <n v="4030.02"/>
    <n v="20150.099999999999"/>
    <n v="0"/>
    <x v="5"/>
    <s v="P. Trivedi"/>
  </r>
  <r>
    <n v="101924"/>
    <d v="2024-11-24T00:00:00"/>
    <x v="7"/>
    <s v="Rohan Kapoor"/>
    <x v="2"/>
    <x v="5"/>
    <x v="4"/>
    <s v="LED TV 42in"/>
    <n v="2"/>
    <n v="35392.07"/>
    <n v="70784.14"/>
    <n v="0"/>
    <x v="2"/>
    <s v="S. Bhat"/>
  </r>
  <r>
    <n v="101677"/>
    <d v="2024-04-29T00:00:00"/>
    <x v="6"/>
    <s v="Priya Mehta"/>
    <x v="3"/>
    <x v="6"/>
    <x v="0"/>
    <s v="Wooden Dining Table"/>
    <n v="9"/>
    <n v="21610.6"/>
    <n v="194495.4"/>
    <n v="0.15"/>
    <x v="1"/>
    <s v="R. Kulkarni"/>
  </r>
  <r>
    <n v="101157"/>
    <d v="2024-04-04T00:00:00"/>
    <x v="6"/>
    <s v="Rohan Gupta"/>
    <x v="4"/>
    <x v="4"/>
    <x v="4"/>
    <s v="Laptop Air 14"/>
    <n v="4"/>
    <n v="21136.67"/>
    <n v="84546.68"/>
    <n v="0.1"/>
    <x v="0"/>
    <s v="K. Iyer"/>
  </r>
  <r>
    <n v="101852"/>
    <d v="2024-01-16T00:00:00"/>
    <x v="9"/>
    <s v="Neha Iyer"/>
    <x v="3"/>
    <x v="6"/>
    <x v="6"/>
    <s v="Sneakers"/>
    <n v="-3"/>
    <n v="2715.82"/>
    <n v="-8147.4600000000009"/>
    <n v="0"/>
    <x v="2"/>
    <s v="T. Rana"/>
  </r>
  <r>
    <n v="101668"/>
    <d v="2024-03-03T00:00:00"/>
    <x v="3"/>
    <s v="Riya Iyer"/>
    <x v="0"/>
    <x v="0"/>
    <x v="6"/>
    <s v="Running Shoes"/>
    <n v="3"/>
    <n v="501.03"/>
    <n v="1503.09"/>
    <n v="0.25"/>
    <x v="2"/>
    <s v="K. Iyer"/>
  </r>
  <r>
    <n v="100180"/>
    <d v="2024-04-06T00:00:00"/>
    <x v="6"/>
    <s v="Nisha Malhotra"/>
    <x v="3"/>
    <x v="6"/>
    <x v="6"/>
    <s v="Sandals"/>
    <n v="3"/>
    <n v="3308.38"/>
    <n v="9925.14"/>
    <n v="0.2"/>
    <x v="0"/>
    <s v="K. Iyer"/>
  </r>
  <r>
    <n v="101446"/>
    <d v="2024-10-24T00:00:00"/>
    <x v="10"/>
    <s v="Aadhya Sharma"/>
    <x v="2"/>
    <x v="5"/>
    <x v="1"/>
    <s v="Winter Sweater"/>
    <m/>
    <n v="1199.75"/>
    <n v="0"/>
    <n v="0"/>
    <x v="1"/>
    <s v="A. Menon"/>
  </r>
  <r>
    <n v="101886"/>
    <d v="2024-02-15T00:00:00"/>
    <x v="11"/>
    <s v="(Unknown)"/>
    <x v="2"/>
    <x v="2"/>
    <x v="4"/>
    <s v="Laptop Air 14"/>
    <n v="11"/>
    <n v="2099.31"/>
    <n v="23092.41"/>
    <n v="0.15"/>
    <x v="2"/>
    <s v="K. Iyer"/>
  </r>
  <r>
    <n v="101692"/>
    <d v="2024-04-06T00:00:00"/>
    <x v="6"/>
    <s v="Karan Rao"/>
    <x v="4"/>
    <x v="7"/>
    <x v="2"/>
    <s v="Notebook Pack"/>
    <n v="10"/>
    <n v="375.83"/>
    <n v="3758.2999999999997"/>
    <n v="0"/>
    <x v="3"/>
    <s v="K. Iyer"/>
  </r>
  <r>
    <n v="100411"/>
    <d v="2024-12-03T00:00:00"/>
    <x v="2"/>
    <s v="Vihaan Kapoor"/>
    <x v="1"/>
    <x v="1"/>
    <x v="1"/>
    <s v="Winter Sweater"/>
    <n v="2"/>
    <n v="3460.38"/>
    <n v="6920.76"/>
    <n v="0.05"/>
    <x v="5"/>
    <s v="T. Rana"/>
  </r>
  <r>
    <n v="100661"/>
    <d v="2024-12-23T00:00:00"/>
    <x v="2"/>
    <s v="(Unknown)"/>
    <x v="0"/>
    <x v="0"/>
    <x v="2"/>
    <s v="Notebook Pack"/>
    <n v="5"/>
    <n v="494.19"/>
    <n v="2470.9499999999998"/>
    <n v="0"/>
    <x v="0"/>
    <s v="A. Menon"/>
  </r>
  <r>
    <n v="100351"/>
    <d v="2024-01-06T00:00:00"/>
    <x v="9"/>
    <s v="Aditya Gupta"/>
    <x v="3"/>
    <x v="3"/>
    <x v="5"/>
    <s v="Electric Kettle"/>
    <n v="8"/>
    <n v="2431.7399999999998"/>
    <n v="19453.919999999998"/>
    <n v="0.15"/>
    <x v="0"/>
    <s v="T. Rana"/>
  </r>
  <r>
    <n v="101274"/>
    <d v="2024-02-14T00:00:00"/>
    <x v="11"/>
    <s v="Vihaan Joshi"/>
    <x v="4"/>
    <x v="4"/>
    <x v="6"/>
    <s v="Sandals"/>
    <n v="10"/>
    <n v="3797.89"/>
    <n v="37978.9"/>
    <n v="0.2"/>
    <x v="1"/>
    <s v="M. Ghosh"/>
  </r>
  <r>
    <n v="100378"/>
    <d v="2024-12-12T00:00:00"/>
    <x v="2"/>
    <s v="Saanvi Singh"/>
    <x v="1"/>
    <x v="1"/>
    <x v="0"/>
    <s v="Wooden Dining Table"/>
    <n v="1"/>
    <n v="9815.7999999999993"/>
    <n v="9815.7999999999993"/>
    <n v="0"/>
    <x v="1"/>
    <s v="P. Trivedi"/>
  </r>
  <r>
    <n v="100740"/>
    <d v="2024-11-01T00:00:00"/>
    <x v="7"/>
    <s v="Saanvi Mehta"/>
    <x v="0"/>
    <x v="0"/>
    <x v="0"/>
    <s v="Study Desk"/>
    <n v="3"/>
    <n v="17191.88"/>
    <n v="51575.64"/>
    <n v="0.1"/>
    <x v="3"/>
    <s v="S. Bhat"/>
  </r>
  <r>
    <n v="100451"/>
    <d v="2024-10-12T00:00:00"/>
    <x v="10"/>
    <s v="(Unknown)"/>
    <x v="0"/>
    <x v="0"/>
    <x v="4"/>
    <s v="Wireless Earbuds"/>
    <n v="12"/>
    <n v="26637.63"/>
    <n v="319651.56"/>
    <n v="0"/>
    <x v="0"/>
    <s v="M. Ghosh"/>
  </r>
  <r>
    <n v="101719"/>
    <d v="2024-03-11T00:00:00"/>
    <x v="3"/>
    <s v="Sai Iyer"/>
    <x v="0"/>
    <x v="8"/>
    <x v="1"/>
    <s v="Winter Sweater"/>
    <n v="2"/>
    <n v="2388.69"/>
    <n v="4777.38"/>
    <n v="0"/>
    <x v="0"/>
    <s v="K. Iyer"/>
  </r>
  <r>
    <n v="100745"/>
    <d v="2024-11-21T00:00:00"/>
    <x v="7"/>
    <s v="Aditya Chopra"/>
    <x v="1"/>
    <x v="9"/>
    <x v="6"/>
    <s v="Running Shoes"/>
    <n v="-3"/>
    <n v="1756.45"/>
    <n v="-5269.35"/>
    <n v="0.1"/>
    <x v="0"/>
    <s v="T. Rana"/>
  </r>
  <r>
    <n v="101781"/>
    <d v="2024-01-18T00:00:00"/>
    <x v="9"/>
    <s v="Reyansh Das"/>
    <x v="3"/>
    <x v="3"/>
    <x v="5"/>
    <s v="Microwave Oven"/>
    <n v="-1"/>
    <n v="2255.87"/>
    <n v="-2255.87"/>
    <n v="0"/>
    <x v="1"/>
    <s v="D. Chawla"/>
  </r>
  <r>
    <n v="100072"/>
    <d v="2024-08-22T00:00:00"/>
    <x v="5"/>
    <s v="Vihaan Bose"/>
    <x v="4"/>
    <x v="4"/>
    <x v="0"/>
    <s v="Study Desk"/>
    <n v="5"/>
    <n v="23625.200000000001"/>
    <n v="118126"/>
    <n v="0.05"/>
    <x v="4"/>
    <s v="P. Trivedi"/>
  </r>
  <r>
    <n v="101277"/>
    <d v="2024-07-11T00:00:00"/>
    <x v="1"/>
    <s v="Ishaan Bose"/>
    <x v="4"/>
    <x v="4"/>
    <x v="5"/>
    <s v="Electric Kettle"/>
    <n v="2"/>
    <n v="7816.87"/>
    <n v="15633.74"/>
    <n v="0.05"/>
    <x v="0"/>
    <s v="S. Bhat"/>
  </r>
  <r>
    <n v="101276"/>
    <d v="2024-12-20T00:00:00"/>
    <x v="2"/>
    <s v="Aarav Patel"/>
    <x v="0"/>
    <x v="0"/>
    <x v="2"/>
    <s v="Geometry Box"/>
    <n v="1"/>
    <n v="260.35000000000002"/>
    <n v="260.35000000000002"/>
    <n v="0.1"/>
    <x v="1"/>
    <s v="M. Ghosh"/>
  </r>
  <r>
    <n v="100588"/>
    <d v="2024-04-05T00:00:00"/>
    <x v="6"/>
    <s v="Ananya Bose"/>
    <x v="1"/>
    <x v="9"/>
    <x v="5"/>
    <s v="Mixer Grinder"/>
    <n v="9"/>
    <n v="4472.49"/>
    <n v="40252.409999999996"/>
    <n v="0.25"/>
    <x v="3"/>
    <s v="T. Rana"/>
  </r>
  <r>
    <n v="101158"/>
    <d v="2024-09-17T00:00:00"/>
    <x v="4"/>
    <s v="Sneha Patel"/>
    <x v="2"/>
    <x v="2"/>
    <x v="1"/>
    <s v="Men's Denim Jacket"/>
    <n v="11"/>
    <n v="1876.87"/>
    <n v="20645.57"/>
    <n v="0.05"/>
    <x v="4"/>
    <s v="D. Chawla"/>
  </r>
  <r>
    <n v="101535"/>
    <d v="2024-08-13T00:00:00"/>
    <x v="5"/>
    <s v="Myra Kapoor"/>
    <x v="0"/>
    <x v="0"/>
    <x v="4"/>
    <s v="Smartphone X200"/>
    <n v="3"/>
    <n v="16133.81"/>
    <n v="48401.43"/>
    <n v="0"/>
    <x v="3"/>
    <s v="A. Menon"/>
  </r>
  <r>
    <n v="101970"/>
    <d v="2024-08-07T00:00:00"/>
    <x v="5"/>
    <s v="Vikram Gupta"/>
    <x v="2"/>
    <x v="2"/>
    <x v="3"/>
    <s v="Tea Pack 500g"/>
    <n v="4"/>
    <n v="499.74"/>
    <n v="1998.96"/>
    <n v="0"/>
    <x v="3"/>
    <s v="K. Iyer"/>
  </r>
  <r>
    <n v="101375"/>
    <d v="2024-07-13T00:00:00"/>
    <x v="1"/>
    <s v="Amit Singh"/>
    <x v="1"/>
    <x v="1"/>
    <x v="3"/>
    <s v="Wheat Flour 10kg"/>
    <n v="2"/>
    <n v="361.94"/>
    <n v="723.88"/>
    <n v="0"/>
    <x v="4"/>
    <s v="P. Trivedi"/>
  </r>
  <r>
    <n v="101443"/>
    <d v="2024-06-18T00:00:00"/>
    <x v="0"/>
    <s v="Navya Patel"/>
    <x v="1"/>
    <x v="1"/>
    <x v="5"/>
    <s v="Electric Kettle"/>
    <n v="6"/>
    <n v="2540.54"/>
    <n v="15243.24"/>
    <n v="0"/>
    <x v="1"/>
    <s v="S. Bhat"/>
  </r>
  <r>
    <n v="101597"/>
    <d v="2024-06-05T00:00:00"/>
    <x v="0"/>
    <s v="Anika Verma"/>
    <x v="2"/>
    <x v="5"/>
    <x v="2"/>
    <s v="Notebook Pack"/>
    <n v="2"/>
    <n v="111.33"/>
    <n v="222.66"/>
    <n v="0"/>
    <x v="4"/>
    <s v="P. Trivedi"/>
  </r>
  <r>
    <n v="101163"/>
    <d v="2024-03-06T00:00:00"/>
    <x v="3"/>
    <s v="Vivaan Patel"/>
    <x v="3"/>
    <x v="6"/>
    <x v="5"/>
    <s v="Air Cooler"/>
    <n v="5"/>
    <n v="9346.5499999999993"/>
    <n v="46732.75"/>
    <n v="0.25"/>
    <x v="4"/>
    <s v="P. Trivedi"/>
  </r>
  <r>
    <n v="101083"/>
    <d v="2024-01-09T00:00:00"/>
    <x v="9"/>
    <s v="Vihaan Pillai"/>
    <x v="3"/>
    <x v="6"/>
    <x v="2"/>
    <s v="Notebook Pack"/>
    <n v="5"/>
    <n v="211.84"/>
    <n v="1059.2"/>
    <n v="0.05"/>
    <x v="5"/>
    <s v="P. Trivedi"/>
  </r>
  <r>
    <n v="100796"/>
    <d v="2024-09-12T00:00:00"/>
    <x v="4"/>
    <s v="Priya Singh"/>
    <x v="3"/>
    <x v="3"/>
    <x v="3"/>
    <s v="Tea Pack 500g"/>
    <n v="7"/>
    <n v="676.55"/>
    <n v="4735.8499999999995"/>
    <n v="0.15"/>
    <x v="4"/>
    <s v="D. Chawla"/>
  </r>
  <r>
    <n v="100766"/>
    <d v="2024-01-21T00:00:00"/>
    <x v="9"/>
    <s v="Rahul Patel"/>
    <x v="1"/>
    <x v="9"/>
    <x v="6"/>
    <s v="Running Shoes"/>
    <n v="9"/>
    <n v="1507.72"/>
    <n v="13569.48"/>
    <n v="0.1"/>
    <x v="3"/>
    <s v="T. Rana"/>
  </r>
  <r>
    <n v="100986"/>
    <d v="2024-07-17T00:00:00"/>
    <x v="1"/>
    <s v="Navya Joshi"/>
    <x v="4"/>
    <x v="7"/>
    <x v="3"/>
    <s v="Cooking Oil 1L"/>
    <n v="8"/>
    <n v="747.34"/>
    <n v="5978.72"/>
    <n v="0.25"/>
    <x v="3"/>
    <s v="T. Rana"/>
  </r>
  <r>
    <n v="100117"/>
    <d v="2024-07-28T00:00:00"/>
    <x v="1"/>
    <s v="Arjun Mehta"/>
    <x v="4"/>
    <x v="7"/>
    <x v="6"/>
    <s v="Leather Formal Shoes"/>
    <n v="8"/>
    <n v="3226.85"/>
    <n v="25814.799999999999"/>
    <n v="0"/>
    <x v="2"/>
    <s v="T. Rana"/>
  </r>
  <r>
    <n v="101691"/>
    <d v="2024-10-29T00:00:00"/>
    <x v="10"/>
    <s v="Reyansh Kapoor"/>
    <x v="2"/>
    <x v="2"/>
    <x v="6"/>
    <s v="Sneakers"/>
    <n v="3"/>
    <n v="3706.83"/>
    <n v="11120.49"/>
    <n v="0"/>
    <x v="4"/>
    <s v="R. Kulkarni"/>
  </r>
  <r>
    <n v="100413"/>
    <d v="2024-03-06T00:00:00"/>
    <x v="3"/>
    <s v="Saanvi Agarwal"/>
    <x v="0"/>
    <x v="8"/>
    <x v="0"/>
    <s v="Office Chair"/>
    <n v="10"/>
    <n v="8692.4599999999991"/>
    <n v="86924.599999999991"/>
    <n v="0"/>
    <x v="4"/>
    <s v="P. Trivedi"/>
  </r>
  <r>
    <n v="100005"/>
    <d v="2024-03-11T00:00:00"/>
    <x v="3"/>
    <s v="Myra Gupta"/>
    <x v="1"/>
    <x v="9"/>
    <x v="2"/>
    <s v="Gel Pen Set"/>
    <n v="5"/>
    <n v="180.98"/>
    <n v="904.9"/>
    <n v="0.2"/>
    <x v="0"/>
    <s v="A. Menon"/>
  </r>
  <r>
    <n v="100309"/>
    <d v="2024-10-23T00:00:00"/>
    <x v="10"/>
    <s v="Anika Reddy"/>
    <x v="0"/>
    <x v="8"/>
    <x v="2"/>
    <s v="Notebook Pack"/>
    <n v="10"/>
    <n v="81.739999999999995"/>
    <n v="817.4"/>
    <n v="0"/>
    <x v="0"/>
    <s v="R. Kulkarni"/>
  </r>
  <r>
    <n v="100047"/>
    <d v="2024-03-12T00:00:00"/>
    <x v="3"/>
    <s v="Rohan Singh"/>
    <x v="4"/>
    <x v="4"/>
    <x v="4"/>
    <s v="Wireless Earbuds"/>
    <n v="4"/>
    <n v="33914.99"/>
    <n v="135659.96"/>
    <n v="0.05"/>
    <x v="5"/>
    <s v="D. Chawla"/>
  </r>
  <r>
    <n v="101154"/>
    <d v="2024-07-13T00:00:00"/>
    <x v="1"/>
    <s v="Amit Agarwal"/>
    <x v="2"/>
    <x v="5"/>
    <x v="5"/>
    <s v="Electric Kettle"/>
    <n v="2"/>
    <n v="7617.68"/>
    <n v="15235.36"/>
    <n v="0.1"/>
    <x v="2"/>
    <s v="A. Menon"/>
  </r>
  <r>
    <n v="100639"/>
    <d v="2024-09-06T00:00:00"/>
    <x v="4"/>
    <s v="Ira Bansal"/>
    <x v="0"/>
    <x v="0"/>
    <x v="2"/>
    <s v="A4 Paper Ream"/>
    <n v="6"/>
    <n v="357.79"/>
    <n v="2146.7400000000002"/>
    <n v="0"/>
    <x v="3"/>
    <s v="S. Bhat"/>
  </r>
  <r>
    <n v="101206"/>
    <d v="2024-02-15T00:00:00"/>
    <x v="11"/>
    <s v="Pooja Kapoor"/>
    <x v="3"/>
    <x v="6"/>
    <x v="6"/>
    <s v="Leather Formal Shoes"/>
    <n v="12"/>
    <n v="2999.97"/>
    <n v="35999.64"/>
    <n v="0.05"/>
    <x v="2"/>
    <s v="R. Kulkarni"/>
  </r>
  <r>
    <n v="101400"/>
    <d v="2024-12-24T00:00:00"/>
    <x v="2"/>
    <s v="Riya Patel"/>
    <x v="4"/>
    <x v="4"/>
    <x v="6"/>
    <s v="Leather Formal Shoes"/>
    <n v="1"/>
    <n v="1321.15"/>
    <n v="1321.15"/>
    <n v="0.05"/>
    <x v="4"/>
    <s v="A. Menon"/>
  </r>
  <r>
    <n v="101398"/>
    <d v="2024-10-19T00:00:00"/>
    <x v="10"/>
    <s v="Ira Chopra"/>
    <x v="3"/>
    <x v="3"/>
    <x v="6"/>
    <s v="Leather Formal Shoes"/>
    <n v="10"/>
    <n v="2989.96"/>
    <n v="29899.599999999999"/>
    <n v="0.05"/>
    <x v="5"/>
    <s v="K. Iyer"/>
  </r>
  <r>
    <n v="101814"/>
    <d v="2024-11-04T00:00:00"/>
    <x v="7"/>
    <s v="Rahul Mehta"/>
    <x v="4"/>
    <x v="4"/>
    <x v="0"/>
    <s v="Study Desk"/>
    <n v="5"/>
    <n v="20533.27"/>
    <n v="102666.35"/>
    <n v="0"/>
    <x v="2"/>
    <s v="D. Chawla"/>
  </r>
  <r>
    <n v="101629"/>
    <d v="2024-08-23T00:00:00"/>
    <x v="5"/>
    <s v="Rohan Kapoor"/>
    <x v="0"/>
    <x v="8"/>
    <x v="0"/>
    <s v="Office Chair"/>
    <n v="10"/>
    <n v="20513.57"/>
    <n v="205135.7"/>
    <n v="0.05"/>
    <x v="2"/>
    <s v="R. Kulkarni"/>
  </r>
  <r>
    <n v="101107"/>
    <d v="2024-02-16T00:00:00"/>
    <x v="11"/>
    <s v="Nisha Das"/>
    <x v="4"/>
    <x v="7"/>
    <x v="0"/>
    <s v="Sofa 3-Seater"/>
    <n v="3"/>
    <n v="2025.06"/>
    <n v="6075.18"/>
    <n v="0"/>
    <x v="5"/>
    <s v="M. Ghosh"/>
  </r>
  <r>
    <n v="101940"/>
    <d v="2024-01-09T00:00:00"/>
    <x v="9"/>
    <s v="Aadhya Kapoor"/>
    <x v="0"/>
    <x v="0"/>
    <x v="0"/>
    <s v="Office Chair"/>
    <n v="6"/>
    <n v="24818.39"/>
    <n v="148910.34"/>
    <n v="0"/>
    <x v="2"/>
    <s v="T. Rana"/>
  </r>
  <r>
    <n v="101021"/>
    <d v="2024-06-28T00:00:00"/>
    <x v="0"/>
    <s v="Neha Bansal"/>
    <x v="2"/>
    <x v="2"/>
    <x v="6"/>
    <s v="Leather Formal Shoes"/>
    <n v="7"/>
    <n v="4331.6099999999997"/>
    <n v="30321.269999999997"/>
    <n v="0"/>
    <x v="3"/>
    <s v="P. Trivedi"/>
  </r>
  <r>
    <n v="100493"/>
    <d v="2024-08-20T00:00:00"/>
    <x v="5"/>
    <s v="Amit Chopra"/>
    <x v="3"/>
    <x v="6"/>
    <x v="3"/>
    <s v="Tea Pack 500g"/>
    <n v="10"/>
    <n v="853.48"/>
    <n v="8534.7999999999993"/>
    <n v="0"/>
    <x v="1"/>
    <s v="A. Menon"/>
  </r>
  <r>
    <n v="100195"/>
    <d v="2024-09-16T00:00:00"/>
    <x v="4"/>
    <s v="Rahul Agarwal"/>
    <x v="0"/>
    <x v="8"/>
    <x v="2"/>
    <s v="Geometry Box"/>
    <n v="5"/>
    <n v="519.47"/>
    <n v="2597.3500000000004"/>
    <n v="0"/>
    <x v="0"/>
    <s v="R. Kulkarni"/>
  </r>
  <r>
    <n v="100329"/>
    <d v="2024-04-24T00:00:00"/>
    <x v="6"/>
    <s v="Aarav Pillai"/>
    <x v="2"/>
    <x v="5"/>
    <x v="0"/>
    <s v="Study Desk"/>
    <n v="7"/>
    <n v="21015.68"/>
    <n v="147109.76000000001"/>
    <n v="0.2"/>
    <x v="3"/>
    <s v="D. Chawla"/>
  </r>
  <r>
    <n v="101793"/>
    <d v="2024-02-04T00:00:00"/>
    <x v="11"/>
    <s v="(Unknown)"/>
    <x v="2"/>
    <x v="5"/>
    <x v="4"/>
    <s v="Bluetooth Speaker"/>
    <n v="7"/>
    <n v="32613.66"/>
    <n v="228295.62"/>
    <n v="0.1"/>
    <x v="5"/>
    <s v="M. Ghosh"/>
  </r>
  <r>
    <n v="101517"/>
    <d v="2024-09-29T00:00:00"/>
    <x v="4"/>
    <s v="Aditya Das"/>
    <x v="0"/>
    <x v="8"/>
    <x v="0"/>
    <s v="Bookshelf"/>
    <n v="2"/>
    <n v="2832.19"/>
    <n v="5664.38"/>
    <n v="0.05"/>
    <x v="3"/>
    <s v="D. Chawla"/>
  </r>
  <r>
    <n v="101648"/>
    <d v="2024-12-03T00:00:00"/>
    <x v="2"/>
    <s v="Ayaan Sharma"/>
    <x v="2"/>
    <x v="2"/>
    <x v="5"/>
    <s v="Mixer Grinder"/>
    <n v="4"/>
    <n v="0"/>
    <n v="0"/>
    <n v="0"/>
    <x v="1"/>
    <s v="T. Rana"/>
  </r>
  <r>
    <n v="101147"/>
    <d v="2024-12-10T00:00:00"/>
    <x v="2"/>
    <s v="Aadhya Pillai"/>
    <x v="1"/>
    <x v="9"/>
    <x v="6"/>
    <s v="Running Shoes"/>
    <n v="12"/>
    <n v="4473.8999999999996"/>
    <n v="53686.799999999996"/>
    <n v="0.25"/>
    <x v="4"/>
    <s v="S. Bhat"/>
  </r>
  <r>
    <n v="100501"/>
    <d v="2024-09-09T00:00:00"/>
    <x v="4"/>
    <s v="Karan Iyer"/>
    <x v="2"/>
    <x v="2"/>
    <x v="0"/>
    <s v="Wooden Dining Table"/>
    <n v="8"/>
    <n v="5927.84"/>
    <n v="47422.720000000001"/>
    <n v="0"/>
    <x v="3"/>
    <s v="D. Chawla"/>
  </r>
  <r>
    <n v="101813"/>
    <d v="2024-04-17T00:00:00"/>
    <x v="6"/>
    <s v="Pooja Chopra"/>
    <x v="2"/>
    <x v="2"/>
    <x v="1"/>
    <s v="Winter Sweater"/>
    <n v="5"/>
    <n v="607.87"/>
    <n v="3039.35"/>
    <n v="0.05"/>
    <x v="2"/>
    <s v="T. Rana"/>
  </r>
  <r>
    <n v="101134"/>
    <d v="2024-10-07T00:00:00"/>
    <x v="10"/>
    <s v="Arjun Kapoor"/>
    <x v="4"/>
    <x v="7"/>
    <x v="6"/>
    <s v="Running Shoes"/>
    <n v="6"/>
    <n v="681.35"/>
    <n v="4088.1000000000004"/>
    <n v="0.25"/>
    <x v="0"/>
    <s v="S. Bhat"/>
  </r>
  <r>
    <n v="100886"/>
    <d v="2024-06-05T00:00:00"/>
    <x v="0"/>
    <s v="Aditya Joshi"/>
    <x v="0"/>
    <x v="8"/>
    <x v="3"/>
    <s v="Wheat Flour 10kg"/>
    <n v="1"/>
    <n v="157.5"/>
    <n v="157.5"/>
    <n v="0.15"/>
    <x v="0"/>
    <s v="K. Iyer"/>
  </r>
  <r>
    <n v="101325"/>
    <d v="2024-04-08T00:00:00"/>
    <x v="6"/>
    <s v="(Unknown)"/>
    <x v="0"/>
    <x v="0"/>
    <x v="5"/>
    <s v="Air Cooler"/>
    <n v="4"/>
    <n v="1016.16"/>
    <n v="4064.64"/>
    <n v="0.05"/>
    <x v="0"/>
    <s v="K. Iyer"/>
  </r>
  <r>
    <n v="101183"/>
    <d v="2024-04-10T00:00:00"/>
    <x v="6"/>
    <s v="Vikram Bose"/>
    <x v="0"/>
    <x v="8"/>
    <x v="1"/>
    <s v="Kids T-Shirt"/>
    <n v="10"/>
    <n v="3086.07"/>
    <n v="30860.7"/>
    <n v="0.15"/>
    <x v="2"/>
    <s v="R. Kulkarni"/>
  </r>
  <r>
    <n v="101071"/>
    <d v="2024-11-07T00:00:00"/>
    <x v="7"/>
    <s v="Amit Bose"/>
    <x v="2"/>
    <x v="2"/>
    <x v="5"/>
    <s v="Ceiling Fan"/>
    <n v="12"/>
    <n v="11849.54"/>
    <n v="142194.48000000001"/>
    <n v="0"/>
    <x v="2"/>
    <s v="K. Iyer"/>
  </r>
  <r>
    <n v="101620"/>
    <d v="2024-06-23T00:00:00"/>
    <x v="0"/>
    <s v="Amit Gupta"/>
    <x v="2"/>
    <x v="2"/>
    <x v="6"/>
    <s v="Sandals"/>
    <n v="7"/>
    <n v="1579.25"/>
    <n v="11054.75"/>
    <n v="0"/>
    <x v="5"/>
    <s v="S. Bhat"/>
  </r>
  <r>
    <n v="100110"/>
    <d v="2024-03-28T00:00:00"/>
    <x v="3"/>
    <s v="Myra Kapoor"/>
    <x v="2"/>
    <x v="2"/>
    <x v="1"/>
    <s v="Men's Denim Jacket"/>
    <n v="2"/>
    <n v="2426.58"/>
    <n v="4853.16"/>
    <n v="0"/>
    <x v="3"/>
    <s v="R. Kulkarni"/>
  </r>
  <r>
    <n v="100817"/>
    <d v="2024-11-10T00:00:00"/>
    <x v="7"/>
    <s v="Anika Bansal"/>
    <x v="4"/>
    <x v="7"/>
    <x v="5"/>
    <s v="Mixer Grinder"/>
    <n v="9"/>
    <n v="7902.15"/>
    <n v="71119.349999999991"/>
    <n v="0.05"/>
    <x v="4"/>
    <s v="D. Chawla"/>
  </r>
  <r>
    <n v="101855"/>
    <d v="2024-07-10T00:00:00"/>
    <x v="1"/>
    <s v="Karan Bose"/>
    <x v="2"/>
    <x v="5"/>
    <x v="0"/>
    <s v="Bookshelf"/>
    <n v="5"/>
    <n v="3470.76"/>
    <n v="17353.800000000003"/>
    <n v="0.15"/>
    <x v="2"/>
    <s v="A. Menon"/>
  </r>
  <r>
    <n v="100877"/>
    <d v="2024-03-07T00:00:00"/>
    <x v="3"/>
    <s v="Aditya Kapoor"/>
    <x v="1"/>
    <x v="1"/>
    <x v="2"/>
    <s v="A4 Paper Ream"/>
    <n v="2"/>
    <n v="234.73"/>
    <n v="469.46"/>
    <n v="0"/>
    <x v="5"/>
    <s v="T. Rana"/>
  </r>
  <r>
    <n v="101986"/>
    <d v="2024-05-21T00:00:00"/>
    <x v="8"/>
    <s v="Vivaan Pillai"/>
    <x v="1"/>
    <x v="1"/>
    <x v="0"/>
    <s v="Wooden Dining Table"/>
    <n v="3"/>
    <n v="24558.799999999999"/>
    <n v="73676.399999999994"/>
    <n v="0"/>
    <x v="1"/>
    <s v="M. Ghosh"/>
  </r>
  <r>
    <n v="100562"/>
    <d v="2024-08-18T00:00:00"/>
    <x v="5"/>
    <s v="Diya Bose"/>
    <x v="3"/>
    <x v="6"/>
    <x v="2"/>
    <s v="Notebook Pack"/>
    <n v="1"/>
    <n v="307.10000000000002"/>
    <n v="307.10000000000002"/>
    <n v="0"/>
    <x v="5"/>
    <s v="S. Bhat"/>
  </r>
  <r>
    <n v="100354"/>
    <d v="2024-11-29T00:00:00"/>
    <x v="7"/>
    <s v="Kiara Mehta"/>
    <x v="4"/>
    <x v="4"/>
    <x v="0"/>
    <s v="Sofa 3-Seater"/>
    <n v="6"/>
    <n v="24699.96"/>
    <n v="148199.76"/>
    <n v="0"/>
    <x v="5"/>
    <s v="P. Trivedi"/>
  </r>
  <r>
    <n v="101264"/>
    <d v="2024-12-28T00:00:00"/>
    <x v="2"/>
    <s v="Amit Nair"/>
    <x v="1"/>
    <x v="1"/>
    <x v="1"/>
    <s v="Formal Shirt"/>
    <n v="5"/>
    <n v="2184"/>
    <n v="10920"/>
    <n v="0.15"/>
    <x v="0"/>
    <s v="M. Ghosh"/>
  </r>
  <r>
    <n v="100096"/>
    <d v="2024-02-01T00:00:00"/>
    <x v="11"/>
    <s v="Kiara Mehta"/>
    <x v="2"/>
    <x v="2"/>
    <x v="4"/>
    <s v="Laptop Air 14"/>
    <n v="5"/>
    <n v="11745.17"/>
    <n v="58725.85"/>
    <n v="0.1"/>
    <x v="2"/>
    <s v="M. Ghosh"/>
  </r>
  <r>
    <n v="100631"/>
    <d v="2024-01-19T00:00:00"/>
    <x v="9"/>
    <s v="Myra Singh"/>
    <x v="3"/>
    <x v="6"/>
    <x v="5"/>
    <s v="Mixer Grinder"/>
    <n v="4"/>
    <n v="9346.98"/>
    <n v="37387.919999999998"/>
    <n v="0.25"/>
    <x v="1"/>
    <s v="A. Menon"/>
  </r>
  <r>
    <n v="100424"/>
    <d v="2024-07-27T00:00:00"/>
    <x v="1"/>
    <s v="Ananya Gupta"/>
    <x v="1"/>
    <x v="1"/>
    <x v="3"/>
    <s v="Wheat Flour 10kg"/>
    <n v="10"/>
    <n v="0"/>
    <n v="0"/>
    <n v="0"/>
    <x v="5"/>
    <s v="A. Menon"/>
  </r>
  <r>
    <n v="100020"/>
    <d v="2024-12-06T00:00:00"/>
    <x v="2"/>
    <s v="Ira Joshi"/>
    <x v="2"/>
    <x v="5"/>
    <x v="6"/>
    <s v="Sandals"/>
    <n v="9"/>
    <n v="677.55"/>
    <n v="6097.95"/>
    <n v="0"/>
    <x v="5"/>
    <s v="M. Ghosh"/>
  </r>
  <r>
    <n v="101742"/>
    <d v="2024-09-07T00:00:00"/>
    <x v="4"/>
    <s v="Anika Patel"/>
    <x v="4"/>
    <x v="4"/>
    <x v="0"/>
    <s v="Bookshelf"/>
    <n v="8"/>
    <n v="19016.96"/>
    <n v="152135.67999999999"/>
    <n v="0.2"/>
    <x v="5"/>
    <s v="D. Chawla"/>
  </r>
  <r>
    <n v="101051"/>
    <d v="2024-06-06T00:00:00"/>
    <x v="0"/>
    <s v="Krishna Patel"/>
    <x v="2"/>
    <x v="2"/>
    <x v="3"/>
    <s v="Wheat Flour 10kg"/>
    <n v="4"/>
    <n v="870.91"/>
    <n v="3483.64"/>
    <n v="0"/>
    <x v="3"/>
    <s v="P. Trivedi"/>
  </r>
  <r>
    <n v="100736"/>
    <d v="2024-05-01T00:00:00"/>
    <x v="8"/>
    <s v="Vihaan Gupta"/>
    <x v="1"/>
    <x v="1"/>
    <x v="0"/>
    <s v="Office Chair"/>
    <n v="10"/>
    <n v="2842.16"/>
    <n v="28421.599999999999"/>
    <n v="0"/>
    <x v="4"/>
    <s v="P. Trivedi"/>
  </r>
  <r>
    <n v="100326"/>
    <d v="2024-04-30T00:00:00"/>
    <x v="6"/>
    <s v="Reyansh Patel"/>
    <x v="0"/>
    <x v="0"/>
    <x v="2"/>
    <s v="Notebook Pack"/>
    <n v="1"/>
    <n v="334.9"/>
    <n v="334.9"/>
    <n v="0.1"/>
    <x v="2"/>
    <s v="T. Rana"/>
  </r>
  <r>
    <n v="101280"/>
    <d v="2024-08-02T00:00:00"/>
    <x v="5"/>
    <s v="Navya Malhotra"/>
    <x v="1"/>
    <x v="9"/>
    <x v="2"/>
    <s v="Notebook Pack"/>
    <n v="10"/>
    <n v="308.70999999999998"/>
    <n v="3087.1"/>
    <n v="0.1"/>
    <x v="3"/>
    <s v="T. Rana"/>
  </r>
  <r>
    <n v="101828"/>
    <d v="2024-11-17T00:00:00"/>
    <x v="7"/>
    <s v="Priya Kapoor"/>
    <x v="4"/>
    <x v="7"/>
    <x v="5"/>
    <s v="Microwave Oven"/>
    <n v="5"/>
    <n v="5161.05"/>
    <n v="25805.25"/>
    <n v="0"/>
    <x v="5"/>
    <s v="P. Trivedi"/>
  </r>
  <r>
    <n v="101209"/>
    <d v="2024-09-26T00:00:00"/>
    <x v="4"/>
    <s v="Aarav Gupta"/>
    <x v="2"/>
    <x v="5"/>
    <x v="2"/>
    <s v="A4 Paper Ream"/>
    <n v="9"/>
    <n v="302.87"/>
    <n v="2725.83"/>
    <n v="0.2"/>
    <x v="2"/>
    <s v="A. Menon"/>
  </r>
  <r>
    <n v="100455"/>
    <d v="2024-02-09T00:00:00"/>
    <x v="11"/>
    <s v="(Unknown)"/>
    <x v="2"/>
    <x v="2"/>
    <x v="5"/>
    <s v="Microwave Oven"/>
    <n v="3"/>
    <n v="4376.41"/>
    <n v="13129.23"/>
    <n v="0.2"/>
    <x v="4"/>
    <s v="S. Bhat"/>
  </r>
  <r>
    <n v="101825"/>
    <d v="2024-07-27T00:00:00"/>
    <x v="1"/>
    <s v="Saanvi Kumar"/>
    <x v="4"/>
    <x v="4"/>
    <x v="0"/>
    <s v="Sofa 3-Seater"/>
    <n v="12"/>
    <n v="5617.54"/>
    <n v="67410.48"/>
    <n v="0"/>
    <x v="1"/>
    <s v="R. Kulkarni"/>
  </r>
  <r>
    <n v="100223"/>
    <d v="2024-05-01T00:00:00"/>
    <x v="8"/>
    <s v="(Unknown)"/>
    <x v="0"/>
    <x v="0"/>
    <x v="2"/>
    <s v="Gel Pen Set"/>
    <n v="1"/>
    <n v="212.77"/>
    <n v="212.77"/>
    <n v="0.1"/>
    <x v="1"/>
    <s v="M. Ghosh"/>
  </r>
  <r>
    <n v="101754"/>
    <d v="2024-01-26T00:00:00"/>
    <x v="9"/>
    <s v="Ira Kumar"/>
    <x v="3"/>
    <x v="6"/>
    <x v="5"/>
    <s v="Electric Kettle"/>
    <n v="1"/>
    <n v="4876.33"/>
    <n v="4876.33"/>
    <n v="0.15"/>
    <x v="2"/>
    <s v="S. Bhat"/>
  </r>
  <r>
    <n v="100738"/>
    <d v="2024-12-04T00:00:00"/>
    <x v="2"/>
    <s v="Ayaan Bansal"/>
    <x v="4"/>
    <x v="7"/>
    <x v="2"/>
    <s v="Gel Pen Set"/>
    <n v="12"/>
    <n v="128.08000000000001"/>
    <n v="1536.96"/>
    <n v="0.05"/>
    <x v="2"/>
    <s v="P. Trivedi"/>
  </r>
  <r>
    <n v="101123"/>
    <d v="2024-07-18T00:00:00"/>
    <x v="1"/>
    <s v="Neha Singh"/>
    <x v="4"/>
    <x v="4"/>
    <x v="2"/>
    <s v="Gel Pen Set"/>
    <n v="8"/>
    <n v="0"/>
    <n v="0"/>
    <n v="0.2"/>
    <x v="5"/>
    <s v="M. Ghosh"/>
  </r>
  <r>
    <n v="101835"/>
    <d v="2024-12-01T00:00:00"/>
    <x v="2"/>
    <s v="Vivaan Pillai"/>
    <x v="1"/>
    <x v="1"/>
    <x v="3"/>
    <s v="Cooking Oil 1L"/>
    <n v="1"/>
    <n v="57.04"/>
    <n v="57.04"/>
    <n v="0"/>
    <x v="0"/>
    <s v="M. Ghosh"/>
  </r>
  <r>
    <n v="100112"/>
    <d v="2024-11-20T00:00:00"/>
    <x v="7"/>
    <s v="Amit Rao"/>
    <x v="0"/>
    <x v="0"/>
    <x v="5"/>
    <s v="Mixer Grinder"/>
    <n v="7"/>
    <n v="6458.8"/>
    <n v="45211.6"/>
    <n v="0.2"/>
    <x v="1"/>
    <s v="T. Rana"/>
  </r>
  <r>
    <n v="101566"/>
    <d v="2024-07-02T00:00:00"/>
    <x v="1"/>
    <s v="Diya Iyer"/>
    <x v="1"/>
    <x v="1"/>
    <x v="0"/>
    <s v="Study Desk"/>
    <n v="1"/>
    <n v="17143.12"/>
    <n v="17143.12"/>
    <n v="0"/>
    <x v="3"/>
    <s v="D. Chawla"/>
  </r>
  <r>
    <n v="100442"/>
    <d v="2024-10-08T00:00:00"/>
    <x v="10"/>
    <s v="Neha Kumar"/>
    <x v="3"/>
    <x v="6"/>
    <x v="5"/>
    <s v="Electric Kettle"/>
    <n v="11"/>
    <n v="11883.85"/>
    <n v="130722.35"/>
    <n v="0.15"/>
    <x v="5"/>
    <s v="R. Kulkarni"/>
  </r>
  <r>
    <n v="100621"/>
    <d v="2024-08-30T00:00:00"/>
    <x v="5"/>
    <s v="Sneha Joshi"/>
    <x v="1"/>
    <x v="1"/>
    <x v="5"/>
    <s v="Mixer Grinder"/>
    <n v="2"/>
    <n v="8108.42"/>
    <n v="16216.84"/>
    <n v="0.2"/>
    <x v="0"/>
    <s v="T. Rana"/>
  </r>
  <r>
    <n v="101138"/>
    <d v="2024-05-10T00:00:00"/>
    <x v="8"/>
    <s v="Rahul Kapoor"/>
    <x v="0"/>
    <x v="8"/>
    <x v="0"/>
    <s v="Office Chair"/>
    <n v="9"/>
    <n v="6426.19"/>
    <n v="57835.71"/>
    <n v="0.05"/>
    <x v="0"/>
    <s v="M. Ghosh"/>
  </r>
  <r>
    <n v="100314"/>
    <d v="2024-12-04T00:00:00"/>
    <x v="2"/>
    <s v="Myra Das"/>
    <x v="4"/>
    <x v="4"/>
    <x v="6"/>
    <s v="Sandals"/>
    <n v="2"/>
    <n v="1110.95"/>
    <n v="2221.9"/>
    <n v="0.25"/>
    <x v="4"/>
    <s v="R. Kulkarni"/>
  </r>
  <r>
    <n v="100288"/>
    <d v="2024-11-08T00:00:00"/>
    <x v="7"/>
    <s v="Reyansh Bansal"/>
    <x v="2"/>
    <x v="5"/>
    <x v="0"/>
    <s v="Bookshelf"/>
    <n v="4"/>
    <n v="7238.99"/>
    <n v="28955.96"/>
    <n v="0"/>
    <x v="0"/>
    <s v="D. Chawla"/>
  </r>
  <r>
    <n v="101698"/>
    <d v="2024-10-05T00:00:00"/>
    <x v="10"/>
    <s v="Rohan Nair"/>
    <x v="0"/>
    <x v="8"/>
    <x v="6"/>
    <s v="Leather Formal Shoes"/>
    <n v="3"/>
    <n v="2350.69"/>
    <n v="7052.07"/>
    <n v="0"/>
    <x v="1"/>
    <s v="K. Iyer"/>
  </r>
  <r>
    <n v="100566"/>
    <d v="2024-10-19T00:00:00"/>
    <x v="10"/>
    <s v="Ishaan Bansal"/>
    <x v="0"/>
    <x v="0"/>
    <x v="2"/>
    <s v="A4 Paper Ream"/>
    <n v="12"/>
    <n v="258.42"/>
    <n v="3101.04"/>
    <n v="0.2"/>
    <x v="0"/>
    <s v="R. Kulkarni"/>
  </r>
  <r>
    <n v="100861"/>
    <d v="2024-08-24T00:00:00"/>
    <x v="5"/>
    <s v="Saanvi Singh"/>
    <x v="0"/>
    <x v="0"/>
    <x v="4"/>
    <s v="Laptop Air 14"/>
    <n v="10"/>
    <n v="0"/>
    <n v="0"/>
    <n v="0"/>
    <x v="0"/>
    <s v="K. Iyer"/>
  </r>
  <r>
    <n v="100518"/>
    <d v="2024-05-12T00:00:00"/>
    <x v="8"/>
    <s v="Krishna Bose"/>
    <x v="4"/>
    <x v="7"/>
    <x v="1"/>
    <s v="Winter Sweater"/>
    <n v="2"/>
    <n v="1075.31"/>
    <n v="2150.62"/>
    <n v="0.15"/>
    <x v="0"/>
    <s v="R. Kulkarni"/>
  </r>
  <r>
    <n v="100952"/>
    <d v="2024-08-12T00:00:00"/>
    <x v="5"/>
    <s v="Neha Mehta"/>
    <x v="4"/>
    <x v="7"/>
    <x v="1"/>
    <s v="Winter Sweater"/>
    <n v="8"/>
    <n v="687.51"/>
    <n v="5500.08"/>
    <n v="0.05"/>
    <x v="1"/>
    <s v="S. Bhat"/>
  </r>
  <r>
    <n v="101727"/>
    <d v="2024-03-02T00:00:00"/>
    <x v="3"/>
    <s v="Vivaan Singh"/>
    <x v="1"/>
    <x v="1"/>
    <x v="5"/>
    <s v="Mixer Grinder"/>
    <n v="11"/>
    <n v="0"/>
    <n v="0"/>
    <n v="0.05"/>
    <x v="5"/>
    <s v="K. Iyer"/>
  </r>
  <r>
    <n v="101510"/>
    <d v="2024-12-30T00:00:00"/>
    <x v="2"/>
    <s v="Arjun Das"/>
    <x v="3"/>
    <x v="6"/>
    <x v="6"/>
    <s v="Sandals"/>
    <n v="4"/>
    <n v="4156.67"/>
    <n v="16626.68"/>
    <n v="0"/>
    <x v="5"/>
    <s v="T. Rana"/>
  </r>
  <r>
    <n v="100682"/>
    <d v="2024-04-25T00:00:00"/>
    <x v="6"/>
    <s v="Myra Bansal"/>
    <x v="1"/>
    <x v="9"/>
    <x v="0"/>
    <s v="Sofa 3-Seater"/>
    <n v="-3"/>
    <n v="3372.48"/>
    <n v="-10117.44"/>
    <n v="0.15"/>
    <x v="1"/>
    <s v="A. Menon"/>
  </r>
  <r>
    <n v="101332"/>
    <d v="2024-04-14T00:00:00"/>
    <x v="6"/>
    <s v="Aarav Bansal"/>
    <x v="2"/>
    <x v="5"/>
    <x v="0"/>
    <s v="Study Desk"/>
    <n v="10"/>
    <n v="20175.72"/>
    <n v="201757.2"/>
    <n v="0.1"/>
    <x v="1"/>
    <s v="K. Iyer"/>
  </r>
  <r>
    <n v="100340"/>
    <d v="2024-01-25T00:00:00"/>
    <x v="9"/>
    <s v="Aditya Verma"/>
    <x v="2"/>
    <x v="5"/>
    <x v="3"/>
    <s v="Basmati Rice 5kg"/>
    <n v="3"/>
    <n v="821.13"/>
    <n v="2463.39"/>
    <n v="0.05"/>
    <x v="1"/>
    <s v="S. Bhat"/>
  </r>
  <r>
    <n v="100359"/>
    <d v="2024-06-22T00:00:00"/>
    <x v="0"/>
    <s v="Vivaan Rao"/>
    <x v="2"/>
    <x v="2"/>
    <x v="6"/>
    <s v="Sneakers"/>
    <n v="12"/>
    <n v="3546.72"/>
    <n v="42560.639999999999"/>
    <n v="0.2"/>
    <x v="0"/>
    <s v="R. Kulkarni"/>
  </r>
  <r>
    <n v="101943"/>
    <d v="2024-06-17T00:00:00"/>
    <x v="0"/>
    <s v="(Unknown)"/>
    <x v="2"/>
    <x v="5"/>
    <x v="3"/>
    <s v="Wheat Flour 10kg"/>
    <n v="8"/>
    <n v="157.93"/>
    <n v="1263.44"/>
    <n v="0.15"/>
    <x v="0"/>
    <s v="T. Rana"/>
  </r>
  <r>
    <n v="100612"/>
    <d v="2024-06-17T00:00:00"/>
    <x v="0"/>
    <s v="Ishaan Kapoor"/>
    <x v="3"/>
    <x v="6"/>
    <x v="6"/>
    <s v="Running Shoes"/>
    <n v="7"/>
    <n v="4260.79"/>
    <n v="29825.53"/>
    <n v="0"/>
    <x v="5"/>
    <s v="K. Iyer"/>
  </r>
  <r>
    <n v="100018"/>
    <d v="2024-07-14T00:00:00"/>
    <x v="1"/>
    <s v="Sneha Bose"/>
    <x v="1"/>
    <x v="1"/>
    <x v="3"/>
    <s v="Cooking Oil 1L"/>
    <n v="11"/>
    <n v="676.08"/>
    <n v="7436.88"/>
    <n v="0.1"/>
    <x v="1"/>
    <s v="K. Iyer"/>
  </r>
  <r>
    <n v="101464"/>
    <d v="2024-07-16T00:00:00"/>
    <x v="1"/>
    <s v="Vikram Iyer"/>
    <x v="4"/>
    <x v="4"/>
    <x v="3"/>
    <s v="Wheat Flour 10kg"/>
    <n v="4"/>
    <n v="321.72000000000003"/>
    <n v="1286.8800000000001"/>
    <n v="0"/>
    <x v="2"/>
    <s v="A. Menon"/>
  </r>
  <r>
    <n v="101114"/>
    <d v="2024-07-23T00:00:00"/>
    <x v="1"/>
    <s v="Arjun Nair"/>
    <x v="3"/>
    <x v="3"/>
    <x v="3"/>
    <s v="Cooking Oil 1L"/>
    <n v="4"/>
    <n v="479.7"/>
    <n v="1918.8"/>
    <n v="0"/>
    <x v="0"/>
    <s v="S. Bhat"/>
  </r>
  <r>
    <n v="100375"/>
    <d v="2024-09-16T00:00:00"/>
    <x v="4"/>
    <s v="Sneha Verma"/>
    <x v="0"/>
    <x v="0"/>
    <x v="1"/>
    <s v="Winter Sweater"/>
    <n v="6"/>
    <n v="2804.04"/>
    <n v="16824.239999999998"/>
    <n v="0"/>
    <x v="0"/>
    <s v="P. Trivedi"/>
  </r>
  <r>
    <n v="101575"/>
    <d v="2024-07-11T00:00:00"/>
    <x v="1"/>
    <s v="Vihaan Kumar"/>
    <x v="2"/>
    <x v="2"/>
    <x v="0"/>
    <s v="Bookshelf"/>
    <n v="3"/>
    <n v="0"/>
    <n v="0"/>
    <n v="0.1"/>
    <x v="1"/>
    <s v="A. Menon"/>
  </r>
  <r>
    <n v="100620"/>
    <d v="2024-07-02T00:00:00"/>
    <x v="1"/>
    <s v="Vihaan Gupta"/>
    <x v="0"/>
    <x v="0"/>
    <x v="0"/>
    <s v="Study Desk"/>
    <n v="11"/>
    <n v="23764.16"/>
    <n v="261405.76"/>
    <n v="0"/>
    <x v="2"/>
    <s v="A. Menon"/>
  </r>
  <r>
    <n v="101816"/>
    <d v="2024-09-11T00:00:00"/>
    <x v="4"/>
    <s v="Aadhya Bansal"/>
    <x v="3"/>
    <x v="6"/>
    <x v="3"/>
    <s v="Tea Pack 500g"/>
    <n v="1"/>
    <n v="510.22"/>
    <n v="510.22"/>
    <n v="0.1"/>
    <x v="3"/>
    <s v="D. Chawla"/>
  </r>
  <r>
    <n v="101307"/>
    <d v="2024-12-03T00:00:00"/>
    <x v="2"/>
    <s v="Priya Pillai"/>
    <x v="4"/>
    <x v="7"/>
    <x v="4"/>
    <s v="Smartphone X200"/>
    <n v="5"/>
    <n v="29490.03"/>
    <n v="147450.15"/>
    <n v="0"/>
    <x v="5"/>
    <s v="D. Chawla"/>
  </r>
  <r>
    <n v="101644"/>
    <d v="2024-04-26T00:00:00"/>
    <x v="6"/>
    <s v="Ananya Kapoor"/>
    <x v="1"/>
    <x v="1"/>
    <x v="4"/>
    <s v="Smartphone X200"/>
    <n v="10"/>
    <n v="37484.879999999997"/>
    <n v="374848.8"/>
    <n v="0.15"/>
    <x v="3"/>
    <s v="D. Chawla"/>
  </r>
  <r>
    <n v="101882"/>
    <d v="2024-04-24T00:00:00"/>
    <x v="6"/>
    <s v="Vihaan Bose"/>
    <x v="4"/>
    <x v="4"/>
    <x v="5"/>
    <s v="Electric Kettle"/>
    <n v="3"/>
    <n v="5892.73"/>
    <n v="17678.189999999999"/>
    <n v="0"/>
    <x v="1"/>
    <s v="P. Trivedi"/>
  </r>
  <r>
    <n v="100055"/>
    <d v="2024-07-30T00:00:00"/>
    <x v="1"/>
    <s v="Rahul Rao"/>
    <x v="2"/>
    <x v="5"/>
    <x v="6"/>
    <s v="Sneakers"/>
    <n v="11"/>
    <n v="896.71"/>
    <n v="9863.8100000000013"/>
    <n v="0.05"/>
    <x v="5"/>
    <s v="T. Rana"/>
  </r>
  <r>
    <n v="100264"/>
    <d v="2024-12-21T00:00:00"/>
    <x v="2"/>
    <s v="Aadhya Kapoor"/>
    <x v="4"/>
    <x v="7"/>
    <x v="5"/>
    <s v="Air Cooler"/>
    <n v="4"/>
    <n v="6016.82"/>
    <n v="24067.279999999999"/>
    <n v="0.2"/>
    <x v="2"/>
    <s v="P. Trivedi"/>
  </r>
  <r>
    <n v="100102"/>
    <d v="2024-06-13T00:00:00"/>
    <x v="0"/>
    <s v="Ishaan Kumar"/>
    <x v="1"/>
    <x v="9"/>
    <x v="3"/>
    <s v="Sugar 1kg"/>
    <n v="9"/>
    <n v="234.68"/>
    <n v="2112.12"/>
    <n v="0.15"/>
    <x v="1"/>
    <s v="M. Ghosh"/>
  </r>
  <r>
    <n v="100276"/>
    <d v="2024-12-28T00:00:00"/>
    <x v="2"/>
    <s v="Aditya Bansal"/>
    <x v="2"/>
    <x v="2"/>
    <x v="2"/>
    <s v="Geometry Box"/>
    <n v="2"/>
    <n v="140.06"/>
    <n v="280.12"/>
    <n v="0.05"/>
    <x v="2"/>
    <s v="A. Menon"/>
  </r>
  <r>
    <n v="100287"/>
    <d v="2024-09-05T00:00:00"/>
    <x v="4"/>
    <s v="Vihaan Gupta"/>
    <x v="3"/>
    <x v="6"/>
    <x v="1"/>
    <s v="Winter Sweater"/>
    <n v="12"/>
    <n v="0"/>
    <n v="0"/>
    <n v="0"/>
    <x v="4"/>
    <s v="K. Iyer"/>
  </r>
  <r>
    <n v="101765"/>
    <d v="2024-06-26T00:00:00"/>
    <x v="0"/>
    <s v="Neha Gupta"/>
    <x v="0"/>
    <x v="8"/>
    <x v="4"/>
    <s v="Bluetooth Speaker"/>
    <n v="5"/>
    <n v="4042.8"/>
    <n v="20214"/>
    <n v="0"/>
    <x v="3"/>
    <s v="S. Bhat"/>
  </r>
  <r>
    <n v="100250"/>
    <d v="2024-12-30T00:00:00"/>
    <x v="2"/>
    <s v="Aadhya Mehta"/>
    <x v="0"/>
    <x v="0"/>
    <x v="6"/>
    <s v="Running Shoes"/>
    <n v="11"/>
    <n v="3573.04"/>
    <n v="39303.440000000002"/>
    <n v="0"/>
    <x v="1"/>
    <s v="M. Ghosh"/>
  </r>
  <r>
    <n v="101472"/>
    <d v="2024-04-16T00:00:00"/>
    <x v="6"/>
    <s v="Saanvi Sharma"/>
    <x v="3"/>
    <x v="6"/>
    <x v="1"/>
    <s v="Formal Shirt"/>
    <n v="12"/>
    <n v="1806.72"/>
    <n v="21680.639999999999"/>
    <n v="0.05"/>
    <x v="2"/>
    <s v="S. Bhat"/>
  </r>
  <r>
    <n v="101427"/>
    <d v="2024-03-21T00:00:00"/>
    <x v="3"/>
    <s v="Nisha Malhotra"/>
    <x v="0"/>
    <x v="8"/>
    <x v="4"/>
    <s v="Bluetooth Speaker"/>
    <n v="4"/>
    <n v="33173.040000000001"/>
    <n v="132692.16"/>
    <n v="0"/>
    <x v="3"/>
    <s v="R. Kulkarni"/>
  </r>
  <r>
    <n v="101761"/>
    <d v="2024-06-14T00:00:00"/>
    <x v="0"/>
    <s v="Myra Chopra"/>
    <x v="1"/>
    <x v="9"/>
    <x v="4"/>
    <s v="Smartwatch S3"/>
    <n v="3"/>
    <n v="14466.16"/>
    <n v="43398.479999999996"/>
    <n v="0.2"/>
    <x v="4"/>
    <s v="P. Trivedi"/>
  </r>
  <r>
    <n v="100579"/>
    <d v="2024-11-25T00:00:00"/>
    <x v="7"/>
    <s v="Riya Das"/>
    <x v="4"/>
    <x v="4"/>
    <x v="0"/>
    <s v="Office Chair"/>
    <n v="9"/>
    <n v="7966.69"/>
    <n v="71700.209999999992"/>
    <n v="0"/>
    <x v="1"/>
    <s v="A. Menon"/>
  </r>
  <r>
    <n v="100345"/>
    <d v="2024-01-10T00:00:00"/>
    <x v="9"/>
    <s v="Riya Joshi"/>
    <x v="4"/>
    <x v="4"/>
    <x v="3"/>
    <s v="Sugar 1kg"/>
    <n v="8"/>
    <n v="556.46"/>
    <n v="4451.68"/>
    <n v="0"/>
    <x v="2"/>
    <s v="T. Rana"/>
  </r>
  <r>
    <n v="100654"/>
    <d v="2024-03-03T00:00:00"/>
    <x v="3"/>
    <s v="Arjun Das"/>
    <x v="0"/>
    <x v="8"/>
    <x v="0"/>
    <s v="Sofa 3-Seater"/>
    <n v="5"/>
    <n v="0"/>
    <n v="0"/>
    <n v="0.1"/>
    <x v="2"/>
    <s v="A. Menon"/>
  </r>
  <r>
    <n v="101524"/>
    <d v="2024-01-16T00:00:00"/>
    <x v="9"/>
    <s v="Aarav Agarwal"/>
    <x v="4"/>
    <x v="7"/>
    <x v="2"/>
    <s v="Notebook Pack"/>
    <n v="4"/>
    <n v="176.29"/>
    <n v="705.16"/>
    <n v="0.1"/>
    <x v="5"/>
    <s v="R. Kulkarni"/>
  </r>
  <r>
    <n v="100443"/>
    <d v="2024-12-18T00:00:00"/>
    <x v="2"/>
    <s v="Rohan Iyer"/>
    <x v="4"/>
    <x v="7"/>
    <x v="2"/>
    <s v="Gel Pen Set"/>
    <n v="11"/>
    <n v="175.91"/>
    <n v="1935.01"/>
    <n v="0"/>
    <x v="4"/>
    <s v="P. Trivedi"/>
  </r>
  <r>
    <n v="101784"/>
    <d v="2024-08-08T00:00:00"/>
    <x v="5"/>
    <s v="Rohan Malhotra"/>
    <x v="4"/>
    <x v="4"/>
    <x v="6"/>
    <s v="Running Shoes"/>
    <n v="4"/>
    <n v="3414.79"/>
    <n v="13659.16"/>
    <n v="0.2"/>
    <x v="4"/>
    <s v="K. Iyer"/>
  </r>
  <r>
    <n v="100061"/>
    <d v="2024-06-15T00:00:00"/>
    <x v="0"/>
    <s v="Amit Bansal"/>
    <x v="4"/>
    <x v="7"/>
    <x v="3"/>
    <s v="Tea Pack 500g"/>
    <n v="10"/>
    <n v="832.99"/>
    <n v="8329.9"/>
    <n v="0"/>
    <x v="5"/>
    <s v="S. Bhat"/>
  </r>
  <r>
    <n v="101233"/>
    <d v="2024-01-25T00:00:00"/>
    <x v="9"/>
    <s v="Aarav Bansal"/>
    <x v="0"/>
    <x v="8"/>
    <x v="0"/>
    <s v="Bookshelf"/>
    <n v="6"/>
    <n v="16672.88"/>
    <n v="100037.28"/>
    <n v="0.2"/>
    <x v="5"/>
    <s v="T. Rana"/>
  </r>
  <r>
    <n v="101434"/>
    <d v="2024-01-02T00:00:00"/>
    <x v="9"/>
    <s v="Myra Sharma"/>
    <x v="3"/>
    <x v="6"/>
    <x v="0"/>
    <s v="Bookshelf"/>
    <n v="10"/>
    <n v="0"/>
    <n v="0"/>
    <n v="0.1"/>
    <x v="2"/>
    <s v="T. Rana"/>
  </r>
  <r>
    <n v="100528"/>
    <d v="2024-12-07T00:00:00"/>
    <x v="2"/>
    <s v="Arjun Singh"/>
    <x v="4"/>
    <x v="4"/>
    <x v="0"/>
    <s v="Bookshelf"/>
    <n v="5"/>
    <n v="8298.52"/>
    <n v="41492.600000000006"/>
    <n v="0"/>
    <x v="0"/>
    <s v="R. Kulkarni"/>
  </r>
  <r>
    <n v="100364"/>
    <d v="2024-01-31T00:00:00"/>
    <x v="9"/>
    <s v="Krishna Bansal"/>
    <x v="1"/>
    <x v="1"/>
    <x v="5"/>
    <s v="Air Cooler"/>
    <n v="-2"/>
    <n v="11474"/>
    <n v="-22948"/>
    <n v="0.1"/>
    <x v="5"/>
    <s v="P. Trivedi"/>
  </r>
  <r>
    <n v="101700"/>
    <d v="2024-06-15T00:00:00"/>
    <x v="0"/>
    <s v="(Unknown)"/>
    <x v="3"/>
    <x v="3"/>
    <x v="1"/>
    <s v="Men's Denim Jacket"/>
    <n v="3"/>
    <n v="2848.29"/>
    <n v="8544.869999999999"/>
    <n v="0.2"/>
    <x v="5"/>
    <s v="P. Trivedi"/>
  </r>
  <r>
    <n v="100211"/>
    <d v="2024-02-24T00:00:00"/>
    <x v="11"/>
    <s v="Nisha Gupta"/>
    <x v="0"/>
    <x v="8"/>
    <x v="2"/>
    <s v="A4 Paper Ream"/>
    <n v="5"/>
    <n v="450.15"/>
    <n v="2250.75"/>
    <n v="0.05"/>
    <x v="4"/>
    <s v="R. Kulkarni"/>
  </r>
  <r>
    <n v="100282"/>
    <d v="2024-11-28T00:00:00"/>
    <x v="7"/>
    <s v="Aarav Patel"/>
    <x v="4"/>
    <x v="4"/>
    <x v="2"/>
    <s v="Gel Pen Set"/>
    <m/>
    <n v="557.15"/>
    <n v="0"/>
    <n v="0"/>
    <x v="3"/>
    <s v="D. Chawla"/>
  </r>
  <r>
    <n v="101439"/>
    <d v="2024-12-17T00:00:00"/>
    <x v="2"/>
    <s v="Kiara Malhotra"/>
    <x v="3"/>
    <x v="6"/>
    <x v="4"/>
    <s v="Bluetooth Speaker"/>
    <n v="4"/>
    <n v="21448.49"/>
    <n v="85793.96"/>
    <n v="0.2"/>
    <x v="1"/>
    <s v="R. Kulkarni"/>
  </r>
  <r>
    <n v="101241"/>
    <d v="2024-04-16T00:00:00"/>
    <x v="6"/>
    <s v="(Unknown)"/>
    <x v="4"/>
    <x v="4"/>
    <x v="5"/>
    <s v="Ceiling Fan"/>
    <n v="5"/>
    <n v="2832.69"/>
    <n v="14163.45"/>
    <n v="0.2"/>
    <x v="5"/>
    <s v="T. Rana"/>
  </r>
  <r>
    <n v="101079"/>
    <d v="2024-02-04T00:00:00"/>
    <x v="11"/>
    <s v="Ananya Agarwal"/>
    <x v="4"/>
    <x v="4"/>
    <x v="2"/>
    <s v="Geometry Box"/>
    <n v="8"/>
    <n v="445.64"/>
    <n v="3565.12"/>
    <n v="0"/>
    <x v="0"/>
    <s v="R. Kulkarni"/>
  </r>
  <r>
    <n v="101990"/>
    <d v="2024-03-25T00:00:00"/>
    <x v="3"/>
    <s v="Ananya Sharma"/>
    <x v="4"/>
    <x v="4"/>
    <x v="3"/>
    <s v="Wheat Flour 10kg"/>
    <n v="1"/>
    <n v="459.87"/>
    <n v="459.87"/>
    <n v="0.1"/>
    <x v="0"/>
    <s v="A. Menon"/>
  </r>
  <r>
    <n v="101250"/>
    <d v="2024-10-04T00:00:00"/>
    <x v="10"/>
    <s v="Ayaan Agarwal"/>
    <x v="3"/>
    <x v="6"/>
    <x v="5"/>
    <s v="Microwave Oven"/>
    <n v="12"/>
    <n v="10868.14"/>
    <n v="130417.68"/>
    <n v="0.2"/>
    <x v="3"/>
    <s v="P. Trivedi"/>
  </r>
  <r>
    <n v="101003"/>
    <d v="2024-04-26T00:00:00"/>
    <x v="6"/>
    <s v="Vihaan Kapoor"/>
    <x v="3"/>
    <x v="3"/>
    <x v="4"/>
    <s v="Bluetooth Speaker"/>
    <n v="9"/>
    <n v="25777.86"/>
    <n v="232000.74"/>
    <n v="0"/>
    <x v="2"/>
    <s v="S. Bhat"/>
  </r>
  <r>
    <n v="100701"/>
    <d v="2024-10-26T00:00:00"/>
    <x v="10"/>
    <s v="Vikram Rao"/>
    <x v="4"/>
    <x v="7"/>
    <x v="2"/>
    <s v="Notebook Pack"/>
    <n v="6"/>
    <n v="285.56"/>
    <n v="1713.3600000000001"/>
    <n v="0"/>
    <x v="4"/>
    <s v="R. Kulkarni"/>
  </r>
  <r>
    <n v="100718"/>
    <d v="2024-03-20T00:00:00"/>
    <x v="3"/>
    <s v="Sneha Sharma"/>
    <x v="1"/>
    <x v="9"/>
    <x v="3"/>
    <s v="Tea Pack 500g"/>
    <n v="5"/>
    <n v="223.48"/>
    <n v="1117.3999999999999"/>
    <n v="0"/>
    <x v="5"/>
    <s v="A. Menon"/>
  </r>
  <r>
    <n v="100325"/>
    <d v="2024-11-06T00:00:00"/>
    <x v="7"/>
    <s v="Rahul Verma"/>
    <x v="4"/>
    <x v="4"/>
    <x v="3"/>
    <s v="Cooking Oil 1L"/>
    <n v="6"/>
    <n v="868.82"/>
    <n v="5212.92"/>
    <n v="0.1"/>
    <x v="0"/>
    <s v="M. Ghosh"/>
  </r>
  <r>
    <n v="100529"/>
    <d v="2024-12-27T00:00:00"/>
    <x v="2"/>
    <s v="Kiara Kapoor"/>
    <x v="0"/>
    <x v="8"/>
    <x v="4"/>
    <s v="LED TV 42in"/>
    <n v="7"/>
    <n v="17575.009999999998"/>
    <n v="123025.06999999999"/>
    <n v="0.25"/>
    <x v="0"/>
    <s v="M. Ghosh"/>
  </r>
  <r>
    <n v="101718"/>
    <d v="2024-09-29T00:00:00"/>
    <x v="4"/>
    <s v="Vikram Verma"/>
    <x v="4"/>
    <x v="7"/>
    <x v="1"/>
    <s v="Formal Shirt"/>
    <n v="11"/>
    <n v="1343.78"/>
    <n v="14781.58"/>
    <n v="0.25"/>
    <x v="4"/>
    <s v="P. Trivedi"/>
  </r>
  <r>
    <n v="100029"/>
    <d v="2024-10-16T00:00:00"/>
    <x v="10"/>
    <s v="Diya Pillai"/>
    <x v="0"/>
    <x v="0"/>
    <x v="2"/>
    <s v="Notebook Pack"/>
    <n v="12"/>
    <n v="367.5"/>
    <n v="4410"/>
    <n v="0"/>
    <x v="4"/>
    <s v="K. Iyer"/>
  </r>
  <r>
    <n v="100849"/>
    <d v="2024-01-05T00:00:00"/>
    <x v="9"/>
    <s v="Aarav Gupta"/>
    <x v="2"/>
    <x v="2"/>
    <x v="1"/>
    <s v="Kids T-Shirt"/>
    <n v="2"/>
    <n v="2888.84"/>
    <n v="5777.68"/>
    <n v="0"/>
    <x v="5"/>
    <s v="D. Chawla"/>
  </r>
  <r>
    <n v="101599"/>
    <d v="2024-12-24T00:00:00"/>
    <x v="2"/>
    <s v="Sai Pillai"/>
    <x v="3"/>
    <x v="6"/>
    <x v="3"/>
    <s v="Cooking Oil 1L"/>
    <n v="12"/>
    <n v="131.51"/>
    <n v="1578.12"/>
    <n v="0"/>
    <x v="0"/>
    <s v="P. Trivedi"/>
  </r>
  <r>
    <n v="100360"/>
    <d v="2024-09-29T00:00:00"/>
    <x v="4"/>
    <s v="Aarav Iyer"/>
    <x v="0"/>
    <x v="8"/>
    <x v="2"/>
    <s v="Gel Pen Set"/>
    <n v="10"/>
    <n v="574.45000000000005"/>
    <n v="5744.5"/>
    <n v="0"/>
    <x v="2"/>
    <s v="D. Chawla"/>
  </r>
  <r>
    <n v="101034"/>
    <d v="2024-04-03T00:00:00"/>
    <x v="6"/>
    <s v="Aarav Singh"/>
    <x v="2"/>
    <x v="2"/>
    <x v="2"/>
    <s v="Geometry Box"/>
    <n v="6"/>
    <n v="203.93"/>
    <n v="1223.58"/>
    <n v="0.2"/>
    <x v="2"/>
    <s v="T. Rana"/>
  </r>
  <r>
    <n v="101809"/>
    <d v="2024-02-24T00:00:00"/>
    <x v="11"/>
    <s v="Myra Singh"/>
    <x v="3"/>
    <x v="6"/>
    <x v="4"/>
    <s v="Bluetooth Speaker"/>
    <n v="1"/>
    <n v="21798.16"/>
    <n v="21798.16"/>
    <n v="0.25"/>
    <x v="2"/>
    <s v="R. Kulkarni"/>
  </r>
  <r>
    <n v="100225"/>
    <d v="2024-01-22T00:00:00"/>
    <x v="9"/>
    <s v="Anika Singh"/>
    <x v="2"/>
    <x v="2"/>
    <x v="0"/>
    <s v="Office Chair"/>
    <n v="11"/>
    <n v="13986.2"/>
    <n v="153848.20000000001"/>
    <n v="0"/>
    <x v="0"/>
    <s v="K. Iyer"/>
  </r>
  <r>
    <n v="101243"/>
    <d v="2024-02-11T00:00:00"/>
    <x v="11"/>
    <s v="Kiara Patel"/>
    <x v="1"/>
    <x v="1"/>
    <x v="3"/>
    <s v="Sugar 1kg"/>
    <n v="5"/>
    <n v="239.6"/>
    <n v="1198"/>
    <n v="0"/>
    <x v="1"/>
    <s v="S. Bhat"/>
  </r>
  <r>
    <n v="100431"/>
    <d v="2024-03-19T00:00:00"/>
    <x v="3"/>
    <s v="(Unknown)"/>
    <x v="4"/>
    <x v="4"/>
    <x v="1"/>
    <s v="Kids T-Shirt"/>
    <n v="7"/>
    <n v="732.21"/>
    <n v="5125.47"/>
    <n v="0.25"/>
    <x v="5"/>
    <s v="P. Trivedi"/>
  </r>
  <r>
    <n v="101196"/>
    <d v="2024-12-02T00:00:00"/>
    <x v="2"/>
    <s v="Aditya Verma"/>
    <x v="4"/>
    <x v="4"/>
    <x v="0"/>
    <s v="Wooden Dining Table"/>
    <n v="7"/>
    <n v="17945.759999999998"/>
    <n v="125620.31999999999"/>
    <n v="0"/>
    <x v="5"/>
    <s v="A. Menon"/>
  </r>
  <r>
    <n v="101525"/>
    <d v="2024-03-13T00:00:00"/>
    <x v="3"/>
    <s v="Krishna Gupta"/>
    <x v="2"/>
    <x v="5"/>
    <x v="1"/>
    <s v="Formal Shirt"/>
    <n v="11"/>
    <n v="1739.82"/>
    <n v="19138.02"/>
    <n v="0"/>
    <x v="2"/>
    <s v="R. Kulkarni"/>
  </r>
  <r>
    <n v="101424"/>
    <d v="2024-07-28T00:00:00"/>
    <x v="1"/>
    <s v="Riya Bansal"/>
    <x v="1"/>
    <x v="1"/>
    <x v="2"/>
    <s v="A4 Paper Ream"/>
    <n v="10"/>
    <n v="33.770000000000003"/>
    <n v="337.70000000000005"/>
    <n v="0.05"/>
    <x v="1"/>
    <s v="R. Kulkarni"/>
  </r>
  <r>
    <n v="100859"/>
    <d v="2024-09-14T00:00:00"/>
    <x v="4"/>
    <s v="Navya Mehta"/>
    <x v="2"/>
    <x v="5"/>
    <x v="5"/>
    <s v="Air Cooler"/>
    <n v="10"/>
    <n v="5733.18"/>
    <n v="57331.8"/>
    <n v="0.1"/>
    <x v="0"/>
    <s v="T. Rana"/>
  </r>
  <r>
    <n v="100929"/>
    <d v="2024-11-24T00:00:00"/>
    <x v="7"/>
    <s v="Sai Kumar"/>
    <x v="4"/>
    <x v="7"/>
    <x v="2"/>
    <s v="Gel Pen Set"/>
    <n v="5"/>
    <n v="0"/>
    <n v="0"/>
    <n v="0.05"/>
    <x v="3"/>
    <s v="K. Iyer"/>
  </r>
  <r>
    <n v="101496"/>
    <d v="2024-06-25T00:00:00"/>
    <x v="0"/>
    <s v="Nisha Chopra"/>
    <x v="3"/>
    <x v="3"/>
    <x v="4"/>
    <s v="Laptop Air 14"/>
    <n v="4"/>
    <n v="43911.13"/>
    <n v="175644.52"/>
    <n v="0.2"/>
    <x v="3"/>
    <s v="R. Kulkarni"/>
  </r>
  <r>
    <n v="100480"/>
    <d v="2024-05-25T00:00:00"/>
    <x v="8"/>
    <s v="(Unknown)"/>
    <x v="4"/>
    <x v="4"/>
    <x v="0"/>
    <s v="Bookshelf"/>
    <n v="1"/>
    <n v="0"/>
    <n v="0"/>
    <n v="0"/>
    <x v="4"/>
    <s v="R. Kulkarni"/>
  </r>
  <r>
    <n v="100902"/>
    <d v="2024-09-24T00:00:00"/>
    <x v="4"/>
    <s v="Reyansh Gupta"/>
    <x v="1"/>
    <x v="1"/>
    <x v="1"/>
    <s v="Women's Kurti"/>
    <n v="10"/>
    <n v="2171.88"/>
    <n v="21718.800000000003"/>
    <n v="0.25"/>
    <x v="1"/>
    <s v="P. Trivedi"/>
  </r>
  <r>
    <n v="100752"/>
    <d v="2024-03-04T00:00:00"/>
    <x v="3"/>
    <s v="Vivaan Bansal"/>
    <x v="1"/>
    <x v="9"/>
    <x v="6"/>
    <s v="Running Shoes"/>
    <n v="2"/>
    <n v="2078.88"/>
    <n v="4157.76"/>
    <n v="0.25"/>
    <x v="3"/>
    <s v="P. Trivedi"/>
  </r>
  <r>
    <n v="100557"/>
    <d v="2024-12-03T00:00:00"/>
    <x v="2"/>
    <s v="Karan Joshi"/>
    <x v="2"/>
    <x v="5"/>
    <x v="6"/>
    <s v="Running Shoes"/>
    <n v="10"/>
    <n v="1156.0999999999999"/>
    <n v="11561"/>
    <n v="0.05"/>
    <x v="3"/>
    <s v="M. Ghosh"/>
  </r>
  <r>
    <n v="100896"/>
    <d v="2024-07-25T00:00:00"/>
    <x v="1"/>
    <s v="Reyansh Joshi"/>
    <x v="4"/>
    <x v="7"/>
    <x v="6"/>
    <s v="Leather Formal Shoes"/>
    <n v="11"/>
    <n v="3324.35"/>
    <n v="36567.85"/>
    <n v="0.1"/>
    <x v="0"/>
    <s v="P. Trivedi"/>
  </r>
  <r>
    <n v="100152"/>
    <d v="2024-09-09T00:00:00"/>
    <x v="4"/>
    <s v="Diya Pillai"/>
    <x v="3"/>
    <x v="3"/>
    <x v="1"/>
    <s v="Women's Kurti"/>
    <n v="-2"/>
    <n v="2548.85"/>
    <n v="-5097.7"/>
    <n v="0.2"/>
    <x v="4"/>
    <s v="P. Trivedi"/>
  </r>
  <r>
    <n v="100216"/>
    <d v="2024-02-10T00:00:00"/>
    <x v="11"/>
    <s v="Pooja Mehta"/>
    <x v="2"/>
    <x v="5"/>
    <x v="1"/>
    <s v="Winter Sweater"/>
    <n v="7"/>
    <n v="2128.2199999999998"/>
    <n v="14897.539999999999"/>
    <n v="0.05"/>
    <x v="1"/>
    <s v="D. Chawla"/>
  </r>
  <r>
    <n v="100099"/>
    <d v="2024-02-05T00:00:00"/>
    <x v="11"/>
    <s v="Vivaan Mehta"/>
    <x v="3"/>
    <x v="6"/>
    <x v="1"/>
    <s v="Women's Kurti"/>
    <n v="6"/>
    <n v="2192.7600000000002"/>
    <n v="13156.560000000001"/>
    <n v="0"/>
    <x v="2"/>
    <s v="T. Rana"/>
  </r>
  <r>
    <n v="101489"/>
    <d v="2024-08-01T00:00:00"/>
    <x v="5"/>
    <s v="Aditya Mehta"/>
    <x v="0"/>
    <x v="8"/>
    <x v="5"/>
    <s v="Mixer Grinder"/>
    <n v="2"/>
    <n v="8394.01"/>
    <n v="16788.02"/>
    <n v="0.25"/>
    <x v="1"/>
    <s v="S. Bhat"/>
  </r>
  <r>
    <n v="100471"/>
    <d v="2024-05-13T00:00:00"/>
    <x v="8"/>
    <s v="Sai Joshi"/>
    <x v="1"/>
    <x v="1"/>
    <x v="3"/>
    <s v="Sugar 1kg"/>
    <n v="3"/>
    <n v="184.68"/>
    <n v="554.04"/>
    <n v="0.2"/>
    <x v="1"/>
    <s v="R. Kulkarni"/>
  </r>
  <r>
    <n v="101933"/>
    <d v="2024-08-23T00:00:00"/>
    <x v="5"/>
    <s v="Diya Rao"/>
    <x v="4"/>
    <x v="4"/>
    <x v="1"/>
    <s v="Winter Sweater"/>
    <n v="10"/>
    <n v="1924.26"/>
    <n v="19242.599999999999"/>
    <n v="0"/>
    <x v="2"/>
    <s v="S. Bhat"/>
  </r>
  <r>
    <n v="101432"/>
    <d v="2024-01-01T00:00:00"/>
    <x v="9"/>
    <s v="Reyansh Bose"/>
    <x v="1"/>
    <x v="1"/>
    <x v="5"/>
    <s v="Air Cooler"/>
    <n v="12"/>
    <n v="9742.7999999999993"/>
    <n v="116913.59999999999"/>
    <n v="0.2"/>
    <x v="1"/>
    <s v="R. Kulkarni"/>
  </r>
  <r>
    <n v="101495"/>
    <d v="2024-09-01T00:00:00"/>
    <x v="4"/>
    <s v="Diya Sharma"/>
    <x v="2"/>
    <x v="5"/>
    <x v="0"/>
    <s v="Sofa 3-Seater"/>
    <n v="10"/>
    <n v="11088.85"/>
    <n v="110888.5"/>
    <n v="0.25"/>
    <x v="0"/>
    <s v="M. Ghosh"/>
  </r>
  <r>
    <n v="100013"/>
    <d v="2024-02-11T00:00:00"/>
    <x v="11"/>
    <s v="Karan Agarwal"/>
    <x v="0"/>
    <x v="8"/>
    <x v="6"/>
    <s v="Leather Formal Shoes"/>
    <n v="4"/>
    <n v="774.09"/>
    <n v="3096.36"/>
    <n v="0"/>
    <x v="5"/>
    <s v="P. Trivedi"/>
  </r>
  <r>
    <n v="101954"/>
    <d v="2024-10-02T00:00:00"/>
    <x v="10"/>
    <s v="Vihaan Kapoor"/>
    <x v="2"/>
    <x v="5"/>
    <x v="3"/>
    <s v="Sugar 1kg"/>
    <n v="6"/>
    <n v="449.52"/>
    <n v="2697.12"/>
    <n v="0"/>
    <x v="1"/>
    <s v="M. Ghosh"/>
  </r>
  <r>
    <n v="101412"/>
    <d v="2024-01-20T00:00:00"/>
    <x v="9"/>
    <s v="Vikram Chopra"/>
    <x v="2"/>
    <x v="5"/>
    <x v="5"/>
    <s v="Ceiling Fan"/>
    <n v="-3"/>
    <n v="9414.2999999999993"/>
    <n v="-28242.899999999998"/>
    <n v="0.15"/>
    <x v="0"/>
    <s v="S. Bhat"/>
  </r>
  <r>
    <n v="100168"/>
    <d v="2024-09-06T00:00:00"/>
    <x v="4"/>
    <s v="Rohan Patel"/>
    <x v="0"/>
    <x v="0"/>
    <x v="4"/>
    <s v="Bluetooth Speaker"/>
    <n v="8"/>
    <n v="44667.13"/>
    <n v="357337.04"/>
    <n v="0"/>
    <x v="1"/>
    <s v="M. Ghosh"/>
  </r>
  <r>
    <n v="101347"/>
    <d v="2024-03-28T00:00:00"/>
    <x v="3"/>
    <s v="Ishaan Reddy"/>
    <x v="0"/>
    <x v="8"/>
    <x v="0"/>
    <s v="Study Desk"/>
    <n v="12"/>
    <n v="23906.799999999999"/>
    <n v="286881.59999999998"/>
    <n v="0.2"/>
    <x v="5"/>
    <s v="M. Ghosh"/>
  </r>
  <r>
    <n v="101364"/>
    <d v="2024-05-28T00:00:00"/>
    <x v="8"/>
    <s v="Arjun Reddy"/>
    <x v="2"/>
    <x v="2"/>
    <x v="6"/>
    <s v="Running Shoes"/>
    <n v="1"/>
    <n v="2416.67"/>
    <n v="2416.67"/>
    <n v="0"/>
    <x v="5"/>
    <s v="R. Kulkarni"/>
  </r>
  <r>
    <n v="100189"/>
    <d v="2024-04-17T00:00:00"/>
    <x v="6"/>
    <s v="Sneha Kapoor"/>
    <x v="0"/>
    <x v="0"/>
    <x v="3"/>
    <s v="Wheat Flour 10kg"/>
    <n v="2"/>
    <n v="813.54"/>
    <n v="1627.08"/>
    <n v="0"/>
    <x v="2"/>
    <s v="T. Rana"/>
  </r>
  <r>
    <n v="101503"/>
    <d v="2024-10-31T00:00:00"/>
    <x v="10"/>
    <s v="Diya Agarwal"/>
    <x v="1"/>
    <x v="9"/>
    <x v="6"/>
    <s v="Sneakers"/>
    <n v="4"/>
    <n v="4154.82"/>
    <n v="16619.28"/>
    <n v="0.15"/>
    <x v="5"/>
    <s v="K. Iyer"/>
  </r>
  <r>
    <n v="101082"/>
    <d v="2024-09-30T00:00:00"/>
    <x v="4"/>
    <s v="Vivaan Kumar"/>
    <x v="3"/>
    <x v="3"/>
    <x v="5"/>
    <s v="Ceiling Fan"/>
    <n v="2"/>
    <n v="7209.5"/>
    <n v="14419"/>
    <n v="0.2"/>
    <x v="1"/>
    <s v="M. Ghosh"/>
  </r>
  <r>
    <n v="100044"/>
    <d v="2024-08-10T00:00:00"/>
    <x v="5"/>
    <s v="Pooja Singh"/>
    <x v="4"/>
    <x v="4"/>
    <x v="1"/>
    <s v="Formal Shirt"/>
    <n v="2"/>
    <n v="3104.39"/>
    <n v="6208.78"/>
    <n v="0.1"/>
    <x v="3"/>
    <s v="R. Kulkarni"/>
  </r>
  <r>
    <n v="101674"/>
    <d v="2024-08-17T00:00:00"/>
    <x v="5"/>
    <s v="Ayaan Agarwal"/>
    <x v="0"/>
    <x v="0"/>
    <x v="1"/>
    <s v="Men's Denim Jacket"/>
    <n v="7"/>
    <n v="3368.98"/>
    <n v="23582.86"/>
    <n v="0"/>
    <x v="5"/>
    <s v="P. Trivedi"/>
  </r>
  <r>
    <n v="100010"/>
    <d v="2024-11-26T00:00:00"/>
    <x v="7"/>
    <s v="Vivaan Malhotra"/>
    <x v="0"/>
    <x v="8"/>
    <x v="5"/>
    <s v="Microwave Oven"/>
    <n v="7"/>
    <n v="3013.55"/>
    <n v="21094.850000000002"/>
    <n v="0"/>
    <x v="3"/>
    <s v="P. Trivedi"/>
  </r>
  <r>
    <n v="101362"/>
    <d v="2024-09-19T00:00:00"/>
    <x v="4"/>
    <s v="Anika Pillai"/>
    <x v="4"/>
    <x v="7"/>
    <x v="2"/>
    <s v="Notebook Pack"/>
    <n v="7"/>
    <n v="55.15"/>
    <n v="386.05"/>
    <n v="0.05"/>
    <x v="3"/>
    <s v="M. Ghosh"/>
  </r>
  <r>
    <n v="100148"/>
    <d v="2024-10-15T00:00:00"/>
    <x v="10"/>
    <s v="Rahul Bose"/>
    <x v="1"/>
    <x v="9"/>
    <x v="1"/>
    <s v="Women's Kurti"/>
    <n v="6"/>
    <n v="1133.31"/>
    <n v="6799.86"/>
    <n v="0.15"/>
    <x v="3"/>
    <s v="S. Bhat"/>
  </r>
  <r>
    <n v="101281"/>
    <d v="2024-04-10T00:00:00"/>
    <x v="6"/>
    <s v="Aditya Iyer"/>
    <x v="2"/>
    <x v="2"/>
    <x v="0"/>
    <s v="Wooden Dining Table"/>
    <n v="9"/>
    <n v="23676.67"/>
    <n v="213090.02999999997"/>
    <n v="0"/>
    <x v="0"/>
    <s v="A. Menon"/>
  </r>
  <r>
    <n v="100014"/>
    <d v="2024-04-19T00:00:00"/>
    <x v="6"/>
    <s v="Krishna Kumar"/>
    <x v="3"/>
    <x v="6"/>
    <x v="3"/>
    <s v="Wheat Flour 10kg"/>
    <n v="1"/>
    <n v="438.64"/>
    <n v="438.64"/>
    <n v="0"/>
    <x v="0"/>
    <s v="K. Iyer"/>
  </r>
  <r>
    <n v="100390"/>
    <d v="2024-01-23T00:00:00"/>
    <x v="9"/>
    <s v="Vikram Patel"/>
    <x v="3"/>
    <x v="6"/>
    <x v="6"/>
    <s v="Sneakers"/>
    <n v="8"/>
    <n v="1496.54"/>
    <n v="11972.32"/>
    <n v="0"/>
    <x v="5"/>
    <s v="S. Bhat"/>
  </r>
  <r>
    <n v="101299"/>
    <d v="2024-03-26T00:00:00"/>
    <x v="3"/>
    <s v="Saanvi Kapoor"/>
    <x v="2"/>
    <x v="2"/>
    <x v="4"/>
    <s v="Wireless Earbuds"/>
    <n v="5"/>
    <n v="22179.9"/>
    <n v="110899.5"/>
    <n v="0.05"/>
    <x v="4"/>
    <s v="M. Ghosh"/>
  </r>
  <r>
    <n v="100985"/>
    <d v="2024-09-23T00:00:00"/>
    <x v="4"/>
    <s v="Pooja Agarwal"/>
    <x v="4"/>
    <x v="7"/>
    <x v="4"/>
    <s v="Bluetooth Speaker"/>
    <n v="8"/>
    <n v="36007.660000000003"/>
    <n v="288061.28000000003"/>
    <n v="0"/>
    <x v="3"/>
    <s v="T. Rana"/>
  </r>
  <r>
    <n v="100759"/>
    <d v="2024-02-29T00:00:00"/>
    <x v="11"/>
    <s v="(Unknown)"/>
    <x v="0"/>
    <x v="0"/>
    <x v="6"/>
    <s v="Sneakers"/>
    <n v="11"/>
    <n v="3005.51"/>
    <n v="33060.61"/>
    <n v="0.1"/>
    <x v="1"/>
    <s v="P. Trivedi"/>
  </r>
  <r>
    <n v="100998"/>
    <d v="2024-02-11T00:00:00"/>
    <x v="11"/>
    <s v="Arjun Rao"/>
    <x v="3"/>
    <x v="3"/>
    <x v="3"/>
    <s v="Wheat Flour 10kg"/>
    <n v="2"/>
    <n v="730.88"/>
    <n v="1461.76"/>
    <n v="0.25"/>
    <x v="1"/>
    <s v="P. Trivedi"/>
  </r>
  <r>
    <n v="101549"/>
    <d v="2024-01-10T00:00:00"/>
    <x v="9"/>
    <s v="Rahul Bansal"/>
    <x v="4"/>
    <x v="7"/>
    <x v="4"/>
    <s v="Smartwatch S3"/>
    <n v="7"/>
    <n v="24318.99"/>
    <n v="170232.93000000002"/>
    <n v="0.1"/>
    <x v="1"/>
    <s v="P. Trivedi"/>
  </r>
  <r>
    <n v="100790"/>
    <d v="2024-08-09T00:00:00"/>
    <x v="5"/>
    <s v="Myra Nair"/>
    <x v="3"/>
    <x v="3"/>
    <x v="6"/>
    <s v="Sneakers"/>
    <n v="5"/>
    <n v="2722.18"/>
    <n v="13610.9"/>
    <n v="0.2"/>
    <x v="1"/>
    <s v="M. Ghosh"/>
  </r>
  <r>
    <n v="101874"/>
    <d v="2024-01-15T00:00:00"/>
    <x v="9"/>
    <s v="(Unknown)"/>
    <x v="0"/>
    <x v="0"/>
    <x v="1"/>
    <s v="Winter Sweater"/>
    <n v="3"/>
    <n v="3098.47"/>
    <n v="9295.41"/>
    <n v="0"/>
    <x v="2"/>
    <s v="S. Bhat"/>
  </r>
  <r>
    <n v="101683"/>
    <d v="2024-01-04T00:00:00"/>
    <x v="9"/>
    <s v="Ananya Kapoor"/>
    <x v="3"/>
    <x v="6"/>
    <x v="5"/>
    <s v="Microwave Oven"/>
    <n v="11"/>
    <n v="5932.51"/>
    <n v="65257.61"/>
    <n v="0.25"/>
    <x v="4"/>
    <s v="S. Bhat"/>
  </r>
  <r>
    <n v="100667"/>
    <d v="2024-12-15T00:00:00"/>
    <x v="2"/>
    <s v="Vikram Bose"/>
    <x v="4"/>
    <x v="4"/>
    <x v="2"/>
    <s v="Geometry Box"/>
    <n v="5"/>
    <n v="469.15"/>
    <n v="2345.75"/>
    <n v="0.05"/>
    <x v="2"/>
    <s v="P. Trivedi"/>
  </r>
  <r>
    <n v="100652"/>
    <d v="2024-01-08T00:00:00"/>
    <x v="9"/>
    <s v="Amit Patel"/>
    <x v="2"/>
    <x v="2"/>
    <x v="0"/>
    <s v="Sofa 3-Seater"/>
    <n v="3"/>
    <n v="11650.73"/>
    <n v="34952.19"/>
    <n v="0"/>
    <x v="0"/>
    <s v="S. Bhat"/>
  </r>
  <r>
    <n v="100801"/>
    <d v="2024-03-21T00:00:00"/>
    <x v="3"/>
    <s v="Sneha Rao"/>
    <x v="0"/>
    <x v="0"/>
    <x v="4"/>
    <s v="Smartwatch S3"/>
    <n v="3"/>
    <n v="27316.6"/>
    <n v="81949.799999999988"/>
    <n v="0"/>
    <x v="0"/>
    <s v="R. Kulkarni"/>
  </r>
  <r>
    <n v="100505"/>
    <d v="2024-06-13T00:00:00"/>
    <x v="0"/>
    <s v="Priya Rao"/>
    <x v="4"/>
    <x v="4"/>
    <x v="5"/>
    <s v="Mixer Grinder"/>
    <n v="12"/>
    <n v="0"/>
    <n v="0"/>
    <n v="0"/>
    <x v="4"/>
    <s v="P. Trivedi"/>
  </r>
  <r>
    <n v="101132"/>
    <d v="2024-01-05T00:00:00"/>
    <x v="9"/>
    <s v="Aarav Agarwal"/>
    <x v="1"/>
    <x v="1"/>
    <x v="4"/>
    <s v="Smartwatch S3"/>
    <n v="10"/>
    <n v="35502.54"/>
    <n v="355025.4"/>
    <n v="0"/>
    <x v="1"/>
    <s v="T. Rana"/>
  </r>
  <r>
    <n v="100743"/>
    <d v="2024-03-25T00:00:00"/>
    <x v="3"/>
    <s v="Aditya Gupta"/>
    <x v="2"/>
    <x v="5"/>
    <x v="5"/>
    <s v="Mixer Grinder"/>
    <n v="1"/>
    <n v="1267.48"/>
    <n v="1267.48"/>
    <n v="0"/>
    <x v="3"/>
    <s v="D. Chawla"/>
  </r>
  <r>
    <n v="101392"/>
    <d v="2024-08-26T00:00:00"/>
    <x v="5"/>
    <s v="Rohan Kapoor"/>
    <x v="0"/>
    <x v="0"/>
    <x v="5"/>
    <s v="Air Cooler"/>
    <n v="4"/>
    <n v="10364.94"/>
    <n v="41459.760000000002"/>
    <n v="0.1"/>
    <x v="5"/>
    <s v="T. Rana"/>
  </r>
  <r>
    <n v="101779"/>
    <d v="2024-06-23T00:00:00"/>
    <x v="0"/>
    <s v="Aadhya Pillai"/>
    <x v="3"/>
    <x v="6"/>
    <x v="3"/>
    <s v="Basmati Rice 5kg"/>
    <n v="10"/>
    <n v="320"/>
    <n v="3200"/>
    <n v="0"/>
    <x v="0"/>
    <s v="R. Kulkarni"/>
  </r>
  <r>
    <n v="100982"/>
    <d v="2024-02-26T00:00:00"/>
    <x v="11"/>
    <s v="Vivaan Bose"/>
    <x v="1"/>
    <x v="9"/>
    <x v="3"/>
    <s v="Basmati Rice 5kg"/>
    <n v="1"/>
    <n v="475.17"/>
    <n v="475.17"/>
    <n v="0"/>
    <x v="0"/>
    <s v="S. Bhat"/>
  </r>
  <r>
    <n v="101637"/>
    <d v="2024-01-23T00:00:00"/>
    <x v="9"/>
    <s v="Aditya Das"/>
    <x v="0"/>
    <x v="8"/>
    <x v="4"/>
    <s v="Wireless Earbuds"/>
    <n v="7"/>
    <n v="5655.33"/>
    <n v="39587.31"/>
    <n v="0"/>
    <x v="5"/>
    <s v="R. Kulkarni"/>
  </r>
  <r>
    <n v="101180"/>
    <d v="2024-03-14T00:00:00"/>
    <x v="3"/>
    <s v="Sai Iyer"/>
    <x v="4"/>
    <x v="4"/>
    <x v="2"/>
    <s v="A4 Paper Ream"/>
    <n v="5"/>
    <n v="488.18"/>
    <n v="2440.9"/>
    <n v="0.05"/>
    <x v="0"/>
    <s v="D. Chawla"/>
  </r>
  <r>
    <n v="101129"/>
    <d v="2024-02-04T00:00:00"/>
    <x v="11"/>
    <s v="Riya Chopra"/>
    <x v="2"/>
    <x v="5"/>
    <x v="1"/>
    <s v="Kids T-Shirt"/>
    <n v="2"/>
    <n v="834.35"/>
    <n v="1668.7"/>
    <n v="0"/>
    <x v="4"/>
    <s v="K. Iyer"/>
  </r>
  <r>
    <n v="100026"/>
    <d v="2024-09-30T00:00:00"/>
    <x v="4"/>
    <s v="Nisha Malhotra"/>
    <x v="0"/>
    <x v="0"/>
    <x v="0"/>
    <s v="Sofa 3-Seater"/>
    <n v="7"/>
    <n v="13169.77"/>
    <n v="92188.39"/>
    <n v="0"/>
    <x v="3"/>
    <s v="T. Rana"/>
  </r>
  <r>
    <n v="100644"/>
    <d v="2024-08-22T00:00:00"/>
    <x v="5"/>
    <s v="(Unknown)"/>
    <x v="0"/>
    <x v="8"/>
    <x v="3"/>
    <s v="Cooking Oil 1L"/>
    <n v="8"/>
    <n v="94.21"/>
    <n v="753.68"/>
    <n v="0.1"/>
    <x v="4"/>
    <s v="R. Kulkarni"/>
  </r>
  <r>
    <n v="101478"/>
    <d v="2024-08-14T00:00:00"/>
    <x v="5"/>
    <s v="Saanvi Verma"/>
    <x v="3"/>
    <x v="6"/>
    <x v="2"/>
    <s v="Notebook Pack"/>
    <n v="1"/>
    <n v="253.95"/>
    <n v="253.95"/>
    <n v="0.15"/>
    <x v="5"/>
    <s v="R. Kulkarni"/>
  </r>
  <r>
    <n v="101091"/>
    <d v="2024-02-06T00:00:00"/>
    <x v="11"/>
    <s v="Riya Das"/>
    <x v="4"/>
    <x v="7"/>
    <x v="1"/>
    <s v="Men's Denim Jacket"/>
    <n v="3"/>
    <n v="602.29999999999995"/>
    <n v="1806.8999999999999"/>
    <n v="0.05"/>
    <x v="2"/>
    <s v="D. Chawla"/>
  </r>
  <r>
    <n v="101810"/>
    <d v="2024-05-22T00:00:00"/>
    <x v="8"/>
    <s v="Saanvi Malhotra"/>
    <x v="4"/>
    <x v="4"/>
    <x v="1"/>
    <s v="Winter Sweater"/>
    <n v="9"/>
    <n v="2506.7600000000002"/>
    <n v="22560.840000000004"/>
    <n v="0.25"/>
    <x v="0"/>
    <s v="P. Trivedi"/>
  </r>
  <r>
    <n v="100116"/>
    <d v="2024-12-21T00:00:00"/>
    <x v="2"/>
    <s v="Riya Nair"/>
    <x v="3"/>
    <x v="6"/>
    <x v="3"/>
    <s v="Sugar 1kg"/>
    <n v="4"/>
    <n v="165.71"/>
    <n v="662.84"/>
    <n v="0.2"/>
    <x v="1"/>
    <s v="K. Iyer"/>
  </r>
  <r>
    <n v="100025"/>
    <d v="2024-10-21T00:00:00"/>
    <x v="10"/>
    <s v="Myra Sharma"/>
    <x v="1"/>
    <x v="1"/>
    <x v="2"/>
    <s v="Notebook Pack"/>
    <n v="1"/>
    <n v="266.47000000000003"/>
    <n v="266.47000000000003"/>
    <n v="0"/>
    <x v="1"/>
    <s v="T. Rana"/>
  </r>
  <r>
    <n v="100371"/>
    <d v="2024-11-16T00:00:00"/>
    <x v="7"/>
    <s v="Rahul Iyer"/>
    <x v="1"/>
    <x v="1"/>
    <x v="0"/>
    <s v="Wooden Dining Table"/>
    <n v="11"/>
    <n v="9572.17"/>
    <n v="105293.87"/>
    <n v="0"/>
    <x v="5"/>
    <s v="R. Kulkarni"/>
  </r>
  <r>
    <n v="101802"/>
    <d v="2024-02-08T00:00:00"/>
    <x v="11"/>
    <s v="Diya Verma"/>
    <x v="2"/>
    <x v="5"/>
    <x v="1"/>
    <s v="Men's Denim Jacket"/>
    <n v="5"/>
    <n v="1690.88"/>
    <n v="8454.4000000000015"/>
    <n v="0.05"/>
    <x v="5"/>
    <s v="A. Menon"/>
  </r>
  <r>
    <n v="100705"/>
    <d v="2024-04-24T00:00:00"/>
    <x v="6"/>
    <s v="Vikram Nair"/>
    <x v="4"/>
    <x v="4"/>
    <x v="1"/>
    <s v="Winter Sweater"/>
    <n v="1"/>
    <n v="1331.76"/>
    <n v="1331.76"/>
    <n v="0.1"/>
    <x v="3"/>
    <s v="K. Iyer"/>
  </r>
  <r>
    <n v="101624"/>
    <d v="2024-02-28T00:00:00"/>
    <x v="11"/>
    <s v="Rohan Sharma"/>
    <x v="1"/>
    <x v="9"/>
    <x v="2"/>
    <s v="Notebook Pack"/>
    <n v="11"/>
    <n v="550.49"/>
    <n v="6055.39"/>
    <n v="0.15"/>
    <x v="3"/>
    <s v="K. Iyer"/>
  </r>
  <r>
    <n v="100454"/>
    <d v="2024-02-17T00:00:00"/>
    <x v="11"/>
    <s v="Saanvi Kumar"/>
    <x v="0"/>
    <x v="8"/>
    <x v="3"/>
    <s v="Tea Pack 500g"/>
    <n v="9"/>
    <n v="521.03"/>
    <n v="4689.2699999999995"/>
    <n v="0"/>
    <x v="3"/>
    <s v="P. Trivedi"/>
  </r>
  <r>
    <n v="100097"/>
    <d v="2024-04-21T00:00:00"/>
    <x v="6"/>
    <s v="Karan Bansal"/>
    <x v="4"/>
    <x v="4"/>
    <x v="6"/>
    <s v="Leather Formal Shoes"/>
    <n v="10"/>
    <n v="4329.4399999999996"/>
    <n v="43294.399999999994"/>
    <n v="0.25"/>
    <x v="1"/>
    <s v="K. Iyer"/>
  </r>
  <r>
    <n v="101877"/>
    <d v="2024-07-29T00:00:00"/>
    <x v="1"/>
    <s v="Riya Bose"/>
    <x v="3"/>
    <x v="3"/>
    <x v="5"/>
    <s v="Electric Kettle"/>
    <n v="10"/>
    <n v="6062.27"/>
    <n v="60622.700000000004"/>
    <n v="0.05"/>
    <x v="4"/>
    <s v="K. Iyer"/>
  </r>
  <r>
    <n v="101819"/>
    <d v="2024-04-19T00:00:00"/>
    <x v="6"/>
    <s v="Vikram Kapoor"/>
    <x v="0"/>
    <x v="0"/>
    <x v="4"/>
    <s v="LED TV 42in"/>
    <n v="6"/>
    <n v="32778.36"/>
    <n v="196670.16"/>
    <n v="0.05"/>
    <x v="5"/>
    <s v="T. Rana"/>
  </r>
  <r>
    <n v="101468"/>
    <d v="2024-12-22T00:00:00"/>
    <x v="2"/>
    <s v="Anika Gupta"/>
    <x v="1"/>
    <x v="9"/>
    <x v="6"/>
    <s v="Running Shoes"/>
    <n v="2"/>
    <n v="1242.56"/>
    <n v="2485.12"/>
    <n v="0"/>
    <x v="5"/>
    <s v="M. Ghosh"/>
  </r>
  <r>
    <n v="100100"/>
    <d v="2024-07-20T00:00:00"/>
    <x v="1"/>
    <s v="Arjun Nair"/>
    <x v="3"/>
    <x v="6"/>
    <x v="5"/>
    <s v="Microwave Oven"/>
    <n v="3"/>
    <n v="1790.77"/>
    <n v="5372.3099999999995"/>
    <n v="0"/>
    <x v="5"/>
    <s v="D. Chawla"/>
  </r>
  <r>
    <n v="101529"/>
    <d v="2024-07-18T00:00:00"/>
    <x v="1"/>
    <s v="Aarav Das"/>
    <x v="4"/>
    <x v="7"/>
    <x v="1"/>
    <s v="Women's Kurti"/>
    <n v="3"/>
    <n v="1039.47"/>
    <n v="3118.41"/>
    <n v="0.15"/>
    <x v="4"/>
    <s v="M. Ghosh"/>
  </r>
  <r>
    <n v="101516"/>
    <d v="2024-10-04T00:00:00"/>
    <x v="10"/>
    <s v="Nisha Chopra"/>
    <x v="4"/>
    <x v="4"/>
    <x v="5"/>
    <s v="Electric Kettle"/>
    <n v="1"/>
    <n v="9666.98"/>
    <n v="9666.98"/>
    <n v="0"/>
    <x v="2"/>
    <s v="S. Bhat"/>
  </r>
  <r>
    <n v="101966"/>
    <d v="2024-02-10T00:00:00"/>
    <x v="11"/>
    <s v="Riya Reddy"/>
    <x v="1"/>
    <x v="9"/>
    <x v="0"/>
    <s v="Study Desk"/>
    <n v="1"/>
    <n v="16488.099999999999"/>
    <n v="16488.099999999999"/>
    <n v="0.25"/>
    <x v="5"/>
    <s v="R. Kulkarni"/>
  </r>
  <r>
    <n v="100358"/>
    <d v="2024-02-04T00:00:00"/>
    <x v="11"/>
    <s v="Aadhya Bose"/>
    <x v="3"/>
    <x v="3"/>
    <x v="5"/>
    <s v="Electric Kettle"/>
    <n v="5"/>
    <n v="9600.1"/>
    <n v="48000.5"/>
    <n v="0.25"/>
    <x v="5"/>
    <s v="T. Rana"/>
  </r>
  <r>
    <n v="100858"/>
    <d v="2024-07-03T00:00:00"/>
    <x v="1"/>
    <s v="Krishna Das"/>
    <x v="4"/>
    <x v="4"/>
    <x v="4"/>
    <s v="Smartphone X200"/>
    <n v="11"/>
    <n v="35198.720000000001"/>
    <n v="387185.92000000004"/>
    <n v="0.1"/>
    <x v="5"/>
    <s v="A. Menon"/>
  </r>
  <r>
    <n v="100594"/>
    <d v="2024-04-02T00:00:00"/>
    <x v="6"/>
    <s v="Aarav Pillai"/>
    <x v="3"/>
    <x v="6"/>
    <x v="6"/>
    <s v="Leather Formal Shoes"/>
    <n v="12"/>
    <n v="3579.71"/>
    <n v="42956.520000000004"/>
    <n v="0"/>
    <x v="0"/>
    <s v="K. Iyer"/>
  </r>
  <r>
    <n v="101878"/>
    <d v="2024-01-09T00:00:00"/>
    <x v="9"/>
    <s v="Ira Nair"/>
    <x v="3"/>
    <x v="3"/>
    <x v="2"/>
    <s v="Geometry Box"/>
    <n v="3"/>
    <n v="597.69000000000005"/>
    <n v="1793.0700000000002"/>
    <n v="0"/>
    <x v="0"/>
    <s v="T. Rana"/>
  </r>
  <r>
    <n v="101160"/>
    <d v="2024-07-02T00:00:00"/>
    <x v="1"/>
    <s v="Riya Bansal"/>
    <x v="4"/>
    <x v="7"/>
    <x v="0"/>
    <s v="Wooden Dining Table"/>
    <n v="-2"/>
    <n v="14700.93"/>
    <n v="-29401.86"/>
    <n v="0"/>
    <x v="3"/>
    <s v="R. Kulkarni"/>
  </r>
  <r>
    <n v="101626"/>
    <d v="2024-03-09T00:00:00"/>
    <x v="3"/>
    <s v="Nisha Reddy"/>
    <x v="1"/>
    <x v="1"/>
    <x v="1"/>
    <s v="Kids T-Shirt"/>
    <n v="1"/>
    <n v="892.67"/>
    <n v="892.67"/>
    <n v="0"/>
    <x v="2"/>
    <s v="D. Chawla"/>
  </r>
  <r>
    <n v="100587"/>
    <d v="2024-01-29T00:00:00"/>
    <x v="9"/>
    <s v="Diya Kumar"/>
    <x v="3"/>
    <x v="6"/>
    <x v="1"/>
    <s v="Kids T-Shirt"/>
    <n v="8"/>
    <n v="1434.54"/>
    <n v="11476.32"/>
    <n v="0.2"/>
    <x v="3"/>
    <s v="P. Trivedi"/>
  </r>
  <r>
    <n v="101893"/>
    <d v="2024-05-15T00:00:00"/>
    <x v="8"/>
    <s v="Kiara Gupta"/>
    <x v="4"/>
    <x v="7"/>
    <x v="2"/>
    <s v="Notebook Pack"/>
    <n v="7"/>
    <n v="462.31"/>
    <n v="3236.17"/>
    <n v="0.2"/>
    <x v="5"/>
    <s v="M. Ghosh"/>
  </r>
  <r>
    <n v="101833"/>
    <d v="2024-12-24T00:00:00"/>
    <x v="2"/>
    <s v="Pooja Joshi"/>
    <x v="4"/>
    <x v="4"/>
    <x v="3"/>
    <s v="Cooking Oil 1L"/>
    <n v="2"/>
    <n v="145.19999999999999"/>
    <n v="290.39999999999998"/>
    <n v="0"/>
    <x v="0"/>
    <s v="M. Ghosh"/>
  </r>
  <r>
    <n v="100770"/>
    <d v="2024-04-13T00:00:00"/>
    <x v="6"/>
    <s v="Nisha Malhotra"/>
    <x v="3"/>
    <x v="6"/>
    <x v="6"/>
    <s v="Sandals"/>
    <n v="4"/>
    <n v="768.63"/>
    <n v="3074.52"/>
    <n v="0.15"/>
    <x v="3"/>
    <s v="D. Chawla"/>
  </r>
  <r>
    <n v="100271"/>
    <d v="2024-03-27T00:00:00"/>
    <x v="3"/>
    <s v="Vivaan Mehta"/>
    <x v="2"/>
    <x v="5"/>
    <x v="3"/>
    <s v="Wheat Flour 10kg"/>
    <n v="10"/>
    <n v="295.83"/>
    <n v="2958.2999999999997"/>
    <n v="0.1"/>
    <x v="5"/>
    <s v="D. Chawla"/>
  </r>
  <r>
    <n v="100119"/>
    <d v="2024-12-13T00:00:00"/>
    <x v="2"/>
    <s v="Priya Das"/>
    <x v="0"/>
    <x v="0"/>
    <x v="5"/>
    <s v="Mixer Grinder"/>
    <n v="9"/>
    <n v="1017.08"/>
    <n v="9153.7200000000012"/>
    <n v="0.05"/>
    <x v="1"/>
    <s v="S. Bhat"/>
  </r>
  <r>
    <n v="100118"/>
    <d v="2024-10-31T00:00:00"/>
    <x v="10"/>
    <s v="Vihaan Nair"/>
    <x v="2"/>
    <x v="5"/>
    <x v="6"/>
    <s v="Sneakers"/>
    <n v="7"/>
    <n v="2637.47"/>
    <n v="18462.289999999997"/>
    <n v="0.15"/>
    <x v="2"/>
    <s v="R. Kulkarni"/>
  </r>
  <r>
    <n v="101296"/>
    <d v="2024-06-25T00:00:00"/>
    <x v="0"/>
    <s v="Ira Patel"/>
    <x v="3"/>
    <x v="3"/>
    <x v="3"/>
    <s v="Wheat Flour 10kg"/>
    <n v="3"/>
    <n v="538.35"/>
    <n v="1615.0500000000002"/>
    <n v="0.05"/>
    <x v="1"/>
    <s v="M. Ghosh"/>
  </r>
  <r>
    <n v="101934"/>
    <d v="2024-08-31T00:00:00"/>
    <x v="5"/>
    <s v="Reyansh Chopra"/>
    <x v="2"/>
    <x v="2"/>
    <x v="6"/>
    <s v="Running Shoes"/>
    <n v="11"/>
    <n v="1457.41"/>
    <n v="16031.51"/>
    <n v="0"/>
    <x v="0"/>
    <s v="M. Ghosh"/>
  </r>
  <r>
    <n v="101941"/>
    <d v="2024-07-09T00:00:00"/>
    <x v="1"/>
    <s v="Neha Singh"/>
    <x v="1"/>
    <x v="1"/>
    <x v="4"/>
    <s v="Smartwatch S3"/>
    <n v="10"/>
    <n v="20237.580000000002"/>
    <n v="202375.80000000002"/>
    <n v="0"/>
    <x v="3"/>
    <s v="P. Trivedi"/>
  </r>
  <r>
    <n v="100699"/>
    <d v="2024-03-07T00:00:00"/>
    <x v="3"/>
    <s v="Vivaan Nair"/>
    <x v="2"/>
    <x v="5"/>
    <x v="5"/>
    <s v="Ceiling Fan"/>
    <n v="8"/>
    <n v="5299.6"/>
    <n v="42396.800000000003"/>
    <n v="0.25"/>
    <x v="3"/>
    <s v="M. Ghosh"/>
  </r>
  <r>
    <n v="101016"/>
    <d v="2024-08-30T00:00:00"/>
    <x v="5"/>
    <s v="Ira Rao"/>
    <x v="2"/>
    <x v="5"/>
    <x v="2"/>
    <s v="Geometry Box"/>
    <n v="1"/>
    <n v="369.82"/>
    <n v="369.82"/>
    <n v="0"/>
    <x v="5"/>
    <s v="A. Menon"/>
  </r>
  <r>
    <n v="101530"/>
    <d v="2024-04-06T00:00:00"/>
    <x v="6"/>
    <s v="Anika Iyer"/>
    <x v="0"/>
    <x v="8"/>
    <x v="3"/>
    <s v="Basmati Rice 5kg"/>
    <n v="-2"/>
    <n v="357.67"/>
    <n v="-715.34"/>
    <n v="0.05"/>
    <x v="5"/>
    <s v="P. Trivedi"/>
  </r>
  <r>
    <n v="101245"/>
    <d v="2024-11-13T00:00:00"/>
    <x v="7"/>
    <s v="Karan Singh"/>
    <x v="0"/>
    <x v="0"/>
    <x v="0"/>
    <s v="Office Chair"/>
    <n v="7"/>
    <n v="13277.65"/>
    <n v="92943.55"/>
    <n v="0"/>
    <x v="3"/>
    <s v="T. Rana"/>
  </r>
  <r>
    <n v="100165"/>
    <d v="2024-12-01T00:00:00"/>
    <x v="2"/>
    <s v="Ishaan Iyer"/>
    <x v="3"/>
    <x v="6"/>
    <x v="0"/>
    <s v="Study Desk"/>
    <n v="10"/>
    <n v="19605.91"/>
    <n v="196059.1"/>
    <n v="0"/>
    <x v="2"/>
    <s v="R. Kulkarni"/>
  </r>
  <r>
    <n v="100603"/>
    <d v="2024-05-23T00:00:00"/>
    <x v="8"/>
    <s v="Nisha Joshi"/>
    <x v="4"/>
    <x v="4"/>
    <x v="3"/>
    <s v="Cooking Oil 1L"/>
    <n v="8"/>
    <n v="584.41"/>
    <n v="4675.28"/>
    <n v="0.1"/>
    <x v="5"/>
    <s v="K. Iyer"/>
  </r>
  <r>
    <n v="101984"/>
    <d v="2024-12-02T00:00:00"/>
    <x v="2"/>
    <s v="Amit Gupta"/>
    <x v="4"/>
    <x v="7"/>
    <x v="1"/>
    <s v="Women's Kurti"/>
    <n v="1"/>
    <n v="588.57000000000005"/>
    <n v="588.57000000000005"/>
    <n v="0"/>
    <x v="0"/>
    <s v="R. Kulkarni"/>
  </r>
  <r>
    <n v="101897"/>
    <d v="2024-10-04T00:00:00"/>
    <x v="10"/>
    <s v="Rohan Verma"/>
    <x v="4"/>
    <x v="4"/>
    <x v="4"/>
    <s v="Wireless Earbuds"/>
    <n v="11"/>
    <n v="30515.08"/>
    <n v="335665.88"/>
    <n v="0.25"/>
    <x v="4"/>
    <s v="A. Menon"/>
  </r>
  <r>
    <n v="100466"/>
    <d v="2024-04-20T00:00:00"/>
    <x v="6"/>
    <s v="Reyansh Reddy"/>
    <x v="2"/>
    <x v="2"/>
    <x v="3"/>
    <s v="Tea Pack 500g"/>
    <n v="12"/>
    <n v="0"/>
    <n v="0"/>
    <n v="0"/>
    <x v="3"/>
    <s v="K. Iyer"/>
  </r>
  <r>
    <n v="101171"/>
    <d v="2024-02-07T00:00:00"/>
    <x v="11"/>
    <s v="Riya Patel"/>
    <x v="2"/>
    <x v="2"/>
    <x v="3"/>
    <s v="Cooking Oil 1L"/>
    <n v="2"/>
    <n v="0"/>
    <n v="0"/>
    <n v="0"/>
    <x v="0"/>
    <s v="D. Chawla"/>
  </r>
  <r>
    <n v="100502"/>
    <d v="2024-03-12T00:00:00"/>
    <x v="3"/>
    <s v="Vikram Rao"/>
    <x v="2"/>
    <x v="2"/>
    <x v="4"/>
    <s v="Laptop Air 14"/>
    <n v="1"/>
    <n v="6725.5"/>
    <n v="6725.5"/>
    <n v="0.25"/>
    <x v="5"/>
    <s v="P. Trivedi"/>
  </r>
  <r>
    <n v="100143"/>
    <d v="2024-06-16T00:00:00"/>
    <x v="0"/>
    <s v="Aditya Nair"/>
    <x v="0"/>
    <x v="8"/>
    <x v="3"/>
    <s v="Tea Pack 500g"/>
    <n v="11"/>
    <n v="275.26"/>
    <n v="3027.8599999999997"/>
    <n v="0"/>
    <x v="3"/>
    <s v="M. Ghosh"/>
  </r>
  <r>
    <n v="101200"/>
    <d v="2024-01-17T00:00:00"/>
    <x v="9"/>
    <s v="Saanvi Chopra"/>
    <x v="3"/>
    <x v="3"/>
    <x v="4"/>
    <s v="LED TV 42in"/>
    <n v="12"/>
    <n v="33917.14"/>
    <n v="407005.68"/>
    <n v="0"/>
    <x v="2"/>
    <s v="M. Ghosh"/>
  </r>
  <r>
    <n v="100114"/>
    <d v="2024-10-13T00:00:00"/>
    <x v="10"/>
    <s v="Riya Das"/>
    <x v="2"/>
    <x v="5"/>
    <x v="4"/>
    <s v="LED TV 42in"/>
    <m/>
    <n v="16895.27"/>
    <n v="0"/>
    <n v="0"/>
    <x v="0"/>
    <s v="M. Ghosh"/>
  </r>
  <r>
    <n v="101086"/>
    <d v="2024-06-16T00:00:00"/>
    <x v="0"/>
    <s v="Kiara Agarwal"/>
    <x v="1"/>
    <x v="9"/>
    <x v="3"/>
    <s v="Wheat Flour 10kg"/>
    <n v="1"/>
    <n v="409.76"/>
    <n v="409.76"/>
    <n v="0.1"/>
    <x v="5"/>
    <s v="K. Iyer"/>
  </r>
  <r>
    <n v="100829"/>
    <d v="2024-07-29T00:00:00"/>
    <x v="1"/>
    <s v="Vihaan Das"/>
    <x v="3"/>
    <x v="6"/>
    <x v="2"/>
    <s v="Geometry Box"/>
    <n v="12"/>
    <n v="94.63"/>
    <n v="1135.56"/>
    <n v="0.2"/>
    <x v="4"/>
    <s v="R. Kulkarni"/>
  </r>
  <r>
    <n v="100379"/>
    <d v="2024-07-10T00:00:00"/>
    <x v="1"/>
    <s v="Ira Kapoor"/>
    <x v="3"/>
    <x v="3"/>
    <x v="6"/>
    <s v="Sneakers"/>
    <n v="3"/>
    <n v="4013.55"/>
    <n v="12040.650000000001"/>
    <n v="0.05"/>
    <x v="3"/>
    <s v="P. Trivedi"/>
  </r>
  <r>
    <n v="100064"/>
    <d v="2024-05-26T00:00:00"/>
    <x v="8"/>
    <s v="Rohan Gupta"/>
    <x v="2"/>
    <x v="5"/>
    <x v="3"/>
    <s v="Wheat Flour 10kg"/>
    <n v="2"/>
    <n v="726.88"/>
    <n v="1453.76"/>
    <n v="0"/>
    <x v="1"/>
    <s v="R. Kulkarni"/>
  </r>
  <r>
    <n v="100508"/>
    <d v="2024-05-27T00:00:00"/>
    <x v="8"/>
    <s v="Navya Agarwal"/>
    <x v="4"/>
    <x v="4"/>
    <x v="0"/>
    <s v="Study Desk"/>
    <n v="5"/>
    <n v="14432.37"/>
    <n v="72161.850000000006"/>
    <n v="0.15"/>
    <x v="4"/>
    <s v="M. Ghosh"/>
  </r>
  <r>
    <n v="101796"/>
    <d v="2024-09-14T00:00:00"/>
    <x v="4"/>
    <s v="Priya Kapoor"/>
    <x v="2"/>
    <x v="2"/>
    <x v="1"/>
    <s v="Kids T-Shirt"/>
    <n v="8"/>
    <n v="3100.34"/>
    <n v="24802.720000000001"/>
    <n v="0.2"/>
    <x v="0"/>
    <s v="K. Iyer"/>
  </r>
  <r>
    <n v="100187"/>
    <d v="2024-10-01T00:00:00"/>
    <x v="10"/>
    <s v="Aditya Chopra"/>
    <x v="0"/>
    <x v="0"/>
    <x v="3"/>
    <s v="Sugar 1kg"/>
    <n v="4"/>
    <n v="354.37"/>
    <n v="1417.48"/>
    <n v="0"/>
    <x v="5"/>
    <s v="K. Iyer"/>
  </r>
  <r>
    <n v="101026"/>
    <d v="2024-03-08T00:00:00"/>
    <x v="3"/>
    <s v="(Unknown)"/>
    <x v="1"/>
    <x v="9"/>
    <x v="2"/>
    <s v="Gel Pen Set"/>
    <n v="5"/>
    <n v="460.38"/>
    <n v="2301.9"/>
    <n v="0"/>
    <x v="2"/>
    <s v="P. Trivedi"/>
  </r>
  <r>
    <n v="100507"/>
    <d v="2024-08-12T00:00:00"/>
    <x v="5"/>
    <s v="Rohan Malhotra"/>
    <x v="0"/>
    <x v="0"/>
    <x v="0"/>
    <s v="Study Desk"/>
    <n v="8"/>
    <n v="13412.04"/>
    <n v="107296.32000000001"/>
    <n v="0"/>
    <x v="0"/>
    <s v="M. Ghosh"/>
  </r>
  <r>
    <n v="101514"/>
    <d v="2024-02-29T00:00:00"/>
    <x v="11"/>
    <s v="Vivaan Nair"/>
    <x v="1"/>
    <x v="9"/>
    <x v="1"/>
    <s v="Kids T-Shirt"/>
    <n v="11"/>
    <n v="1824.62"/>
    <n v="20070.82"/>
    <n v="0"/>
    <x v="1"/>
    <s v="K. Iyer"/>
  </r>
  <r>
    <n v="101359"/>
    <d v="2024-11-11T00:00:00"/>
    <x v="7"/>
    <s v="Vihaan Joshi"/>
    <x v="2"/>
    <x v="2"/>
    <x v="5"/>
    <s v="Ceiling Fan"/>
    <n v="12"/>
    <n v="10927.95"/>
    <n v="131135.40000000002"/>
    <n v="0.1"/>
    <x v="5"/>
    <s v="K. Iyer"/>
  </r>
  <r>
    <n v="100295"/>
    <d v="2024-09-23T00:00:00"/>
    <x v="4"/>
    <s v="Ishaan Kapoor"/>
    <x v="1"/>
    <x v="1"/>
    <x v="4"/>
    <s v="Bluetooth Speaker"/>
    <n v="5"/>
    <n v="14044.21"/>
    <n v="70221.049999999988"/>
    <n v="0"/>
    <x v="0"/>
    <s v="D. Chawla"/>
  </r>
  <r>
    <n v="100994"/>
    <d v="2024-04-30T00:00:00"/>
    <x v="6"/>
    <s v="Navya Kapoor"/>
    <x v="2"/>
    <x v="2"/>
    <x v="6"/>
    <s v="Sandals"/>
    <n v="11"/>
    <n v="1446.39"/>
    <n v="15910.29"/>
    <n v="0.1"/>
    <x v="4"/>
    <s v="A. Menon"/>
  </r>
  <r>
    <n v="100316"/>
    <d v="2024-01-24T00:00:00"/>
    <x v="9"/>
    <s v="Rahul Chopra"/>
    <x v="0"/>
    <x v="0"/>
    <x v="6"/>
    <s v="Running Shoes"/>
    <n v="10"/>
    <n v="2065.54"/>
    <n v="20655.400000000001"/>
    <n v="0"/>
    <x v="3"/>
    <s v="K. Iyer"/>
  </r>
  <r>
    <n v="100131"/>
    <d v="2024-04-27T00:00:00"/>
    <x v="6"/>
    <s v="Aditya Singh"/>
    <x v="4"/>
    <x v="7"/>
    <x v="0"/>
    <s v="Office Chair"/>
    <n v="-2"/>
    <n v="5052.1000000000004"/>
    <n v="-10104.200000000001"/>
    <n v="0.2"/>
    <x v="5"/>
    <s v="A. Menon"/>
  </r>
  <r>
    <n v="101462"/>
    <d v="2024-02-12T00:00:00"/>
    <x v="11"/>
    <s v="Vihaan Mehta"/>
    <x v="3"/>
    <x v="6"/>
    <x v="6"/>
    <s v="Sandals"/>
    <n v="6"/>
    <n v="4405.05"/>
    <n v="26430.300000000003"/>
    <n v="0.2"/>
    <x v="5"/>
    <s v="S. Bhat"/>
  </r>
  <r>
    <n v="100190"/>
    <d v="2024-08-18T00:00:00"/>
    <x v="5"/>
    <s v="(Unknown)"/>
    <x v="4"/>
    <x v="7"/>
    <x v="3"/>
    <s v="Wheat Flour 10kg"/>
    <n v="3"/>
    <n v="82.2"/>
    <n v="246.60000000000002"/>
    <n v="0.05"/>
    <x v="4"/>
    <s v="R. Kulkarni"/>
  </r>
  <r>
    <n v="100028"/>
    <d v="2024-11-06T00:00:00"/>
    <x v="7"/>
    <s v="Pooja Patel"/>
    <x v="4"/>
    <x v="7"/>
    <x v="5"/>
    <s v="Air Cooler"/>
    <n v="10"/>
    <n v="2591.44"/>
    <n v="25914.400000000001"/>
    <n v="0.1"/>
    <x v="3"/>
    <s v="M. Ghosh"/>
  </r>
  <r>
    <n v="100862"/>
    <d v="2024-03-31T00:00:00"/>
    <x v="3"/>
    <s v="Vikram Gupta"/>
    <x v="3"/>
    <x v="6"/>
    <x v="4"/>
    <s v="Bluetooth Speaker"/>
    <n v="4"/>
    <n v="29072.3"/>
    <n v="116289.2"/>
    <n v="0"/>
    <x v="5"/>
    <s v="K. Iyer"/>
  </r>
  <r>
    <n v="100936"/>
    <d v="2024-02-25T00:00:00"/>
    <x v="11"/>
    <s v="Aditya Reddy"/>
    <x v="2"/>
    <x v="2"/>
    <x v="6"/>
    <s v="Running Shoes"/>
    <n v="7"/>
    <n v="4033.09"/>
    <n v="28231.63"/>
    <n v="0.05"/>
    <x v="0"/>
    <s v="P. Trivedi"/>
  </r>
  <r>
    <n v="101169"/>
    <d v="2024-07-07T00:00:00"/>
    <x v="1"/>
    <s v="Vivaan Nair"/>
    <x v="2"/>
    <x v="5"/>
    <x v="6"/>
    <s v="Sandals"/>
    <n v="1"/>
    <n v="2334.14"/>
    <n v="2334.14"/>
    <n v="0.2"/>
    <x v="2"/>
    <s v="A. Menon"/>
  </r>
  <r>
    <n v="101242"/>
    <d v="2024-02-10T00:00:00"/>
    <x v="11"/>
    <s v="Riya Patel"/>
    <x v="0"/>
    <x v="0"/>
    <x v="4"/>
    <s v="Laptop Air 14"/>
    <n v="1"/>
    <n v="25477.48"/>
    <n v="25477.48"/>
    <n v="0.05"/>
    <x v="2"/>
    <s v="S. Bhat"/>
  </r>
  <r>
    <n v="101794"/>
    <d v="2024-03-30T00:00:00"/>
    <x v="3"/>
    <s v="Arjun Das"/>
    <x v="2"/>
    <x v="2"/>
    <x v="3"/>
    <s v="Basmati Rice 5kg"/>
    <n v="10"/>
    <n v="535.17999999999995"/>
    <n v="5351.7999999999993"/>
    <n v="0.1"/>
    <x v="1"/>
    <s v="A. Menon"/>
  </r>
  <r>
    <n v="101471"/>
    <d v="2024-05-07T00:00:00"/>
    <x v="8"/>
    <s v="Amit Iyer"/>
    <x v="0"/>
    <x v="0"/>
    <x v="1"/>
    <s v="Kids T-Shirt"/>
    <n v="4"/>
    <n v="2920.74"/>
    <n v="11682.96"/>
    <n v="0"/>
    <x v="1"/>
    <s v="S. Bhat"/>
  </r>
  <r>
    <n v="101837"/>
    <d v="2024-12-27T00:00:00"/>
    <x v="2"/>
    <s v="Riya Das"/>
    <x v="0"/>
    <x v="0"/>
    <x v="4"/>
    <s v="Smartwatch S3"/>
    <n v="7"/>
    <n v="4766.26"/>
    <n v="33363.82"/>
    <n v="0.1"/>
    <x v="0"/>
    <s v="R. Kulkarni"/>
  </r>
  <r>
    <n v="101589"/>
    <d v="2024-12-29T00:00:00"/>
    <x v="2"/>
    <s v="Anika Bose"/>
    <x v="3"/>
    <x v="6"/>
    <x v="2"/>
    <s v="Gel Pen Set"/>
    <n v="1"/>
    <n v="157.56"/>
    <n v="157.56"/>
    <n v="0.05"/>
    <x v="0"/>
    <s v="A. Menon"/>
  </r>
  <r>
    <n v="101590"/>
    <d v="2024-09-08T00:00:00"/>
    <x v="4"/>
    <s v="Vivaan Chopra"/>
    <x v="2"/>
    <x v="5"/>
    <x v="0"/>
    <s v="Wooden Dining Table"/>
    <n v="1"/>
    <n v="14603.25"/>
    <n v="14603.25"/>
    <n v="0"/>
    <x v="4"/>
    <s v="M. Ghosh"/>
  </r>
  <r>
    <n v="100267"/>
    <d v="2024-04-18T00:00:00"/>
    <x v="6"/>
    <s v="Myra Kumar"/>
    <x v="4"/>
    <x v="7"/>
    <x v="4"/>
    <s v="LED TV 42in"/>
    <n v="12"/>
    <n v="38964.28"/>
    <n v="467571.36"/>
    <n v="0.2"/>
    <x v="5"/>
    <s v="T. Rana"/>
  </r>
  <r>
    <n v="100899"/>
    <d v="2024-12-02T00:00:00"/>
    <x v="2"/>
    <s v="Saanvi Gupta"/>
    <x v="0"/>
    <x v="8"/>
    <x v="4"/>
    <s v="Bluetooth Speaker"/>
    <n v="9"/>
    <n v="35202.42"/>
    <n v="316821.77999999997"/>
    <n v="0.05"/>
    <x v="1"/>
    <s v="R. Kulkarni"/>
  </r>
  <r>
    <n v="101743"/>
    <d v="2024-06-11T00:00:00"/>
    <x v="0"/>
    <s v="Pooja Iyer"/>
    <x v="2"/>
    <x v="2"/>
    <x v="3"/>
    <s v="Tea Pack 500g"/>
    <n v="1"/>
    <n v="63.49"/>
    <n v="63.49"/>
    <n v="0.1"/>
    <x v="3"/>
    <s v="P. Trivedi"/>
  </r>
  <r>
    <n v="100076"/>
    <d v="2024-11-04T00:00:00"/>
    <x v="7"/>
    <s v="Sai Rao"/>
    <x v="2"/>
    <x v="5"/>
    <x v="5"/>
    <s v="Microwave Oven"/>
    <n v="9"/>
    <n v="1776.09"/>
    <n v="15984.81"/>
    <n v="0.15"/>
    <x v="5"/>
    <s v="T. Rana"/>
  </r>
  <r>
    <n v="101458"/>
    <d v="2024-03-24T00:00:00"/>
    <x v="3"/>
    <s v="Navya Bansal"/>
    <x v="0"/>
    <x v="0"/>
    <x v="1"/>
    <s v="Kids T-Shirt"/>
    <n v="4"/>
    <n v="2713"/>
    <n v="10852"/>
    <n v="0"/>
    <x v="2"/>
    <s v="D. Chawla"/>
  </r>
  <r>
    <n v="101404"/>
    <d v="2024-04-14T00:00:00"/>
    <x v="6"/>
    <s v="Vihaan Kapoor"/>
    <x v="1"/>
    <x v="9"/>
    <x v="4"/>
    <s v="Smartwatch S3"/>
    <n v="4"/>
    <n v="29957.43"/>
    <n v="119829.72"/>
    <n v="0.1"/>
    <x v="4"/>
    <s v="R. Kulkarni"/>
  </r>
  <r>
    <n v="100856"/>
    <d v="2024-11-26T00:00:00"/>
    <x v="7"/>
    <s v="Amit Agarwal"/>
    <x v="2"/>
    <x v="2"/>
    <x v="4"/>
    <s v="Smartphone X200"/>
    <n v="9"/>
    <n v="40913.22"/>
    <n v="368218.98"/>
    <n v="0.15"/>
    <x v="4"/>
    <s v="P. Trivedi"/>
  </r>
  <r>
    <n v="101173"/>
    <d v="2024-04-04T00:00:00"/>
    <x v="6"/>
    <s v="Saanvi Iyer"/>
    <x v="1"/>
    <x v="1"/>
    <x v="3"/>
    <s v="Tea Pack 500g"/>
    <n v="1"/>
    <n v="122.04"/>
    <n v="122.04"/>
    <n v="0.15"/>
    <x v="2"/>
    <s v="K. Iyer"/>
  </r>
  <r>
    <n v="100749"/>
    <d v="2024-07-18T00:00:00"/>
    <x v="1"/>
    <s v="Rohan Malhotra"/>
    <x v="2"/>
    <x v="2"/>
    <x v="4"/>
    <s v="Laptop Air 14"/>
    <n v="9"/>
    <n v="34406.86"/>
    <n v="309661.74"/>
    <n v="0.1"/>
    <x v="5"/>
    <s v="M. Ghosh"/>
  </r>
  <r>
    <n v="100769"/>
    <d v="2024-09-08T00:00:00"/>
    <x v="4"/>
    <s v="Nisha Malhotra"/>
    <x v="0"/>
    <x v="0"/>
    <x v="0"/>
    <s v="Sofa 3-Seater"/>
    <n v="7"/>
    <n v="22365.02"/>
    <n v="156555.14000000001"/>
    <n v="0.15"/>
    <x v="4"/>
    <s v="S. Bhat"/>
  </r>
  <r>
    <n v="101909"/>
    <d v="2024-07-24T00:00:00"/>
    <x v="1"/>
    <s v="Diya Bansal"/>
    <x v="4"/>
    <x v="4"/>
    <x v="6"/>
    <s v="Leather Formal Shoes"/>
    <n v="8"/>
    <n v="2702.67"/>
    <n v="21621.360000000001"/>
    <n v="0.05"/>
    <x v="3"/>
    <s v="D. Chawla"/>
  </r>
  <r>
    <n v="101330"/>
    <d v="2024-02-29T00:00:00"/>
    <x v="11"/>
    <s v="Aditya Chopra"/>
    <x v="3"/>
    <x v="6"/>
    <x v="5"/>
    <s v="Mixer Grinder"/>
    <n v="9"/>
    <n v="9552.25"/>
    <n v="85970.25"/>
    <n v="0.25"/>
    <x v="5"/>
    <s v="A. Menon"/>
  </r>
  <r>
    <n v="100563"/>
    <d v="2024-01-21T00:00:00"/>
    <x v="9"/>
    <s v="Sneha Bose"/>
    <x v="1"/>
    <x v="9"/>
    <x v="5"/>
    <s v="Electric Kettle"/>
    <n v="5"/>
    <n v="977.22"/>
    <n v="4886.1000000000004"/>
    <n v="0.25"/>
    <x v="4"/>
    <s v="K. Iyer"/>
  </r>
  <r>
    <n v="101585"/>
    <d v="2024-09-20T00:00:00"/>
    <x v="4"/>
    <s v="Myra Mehta"/>
    <x v="3"/>
    <x v="6"/>
    <x v="0"/>
    <s v="Office Chair"/>
    <n v="9"/>
    <n v="7210.8"/>
    <n v="64897.200000000004"/>
    <n v="0"/>
    <x v="5"/>
    <s v="D. Chawla"/>
  </r>
  <r>
    <n v="100181"/>
    <d v="2024-09-17T00:00:00"/>
    <x v="4"/>
    <s v="Priya Agarwal"/>
    <x v="4"/>
    <x v="7"/>
    <x v="2"/>
    <s v="A4 Paper Ream"/>
    <n v="-3"/>
    <n v="290.70999999999998"/>
    <n v="-872.12999999999988"/>
    <n v="0.2"/>
    <x v="3"/>
    <s v="T. Rana"/>
  </r>
  <r>
    <n v="101844"/>
    <d v="2024-11-24T00:00:00"/>
    <x v="7"/>
    <s v="Priya Nair"/>
    <x v="2"/>
    <x v="5"/>
    <x v="1"/>
    <s v="Women's Kurti"/>
    <n v="5"/>
    <n v="2721.59"/>
    <n v="13607.95"/>
    <n v="0.05"/>
    <x v="0"/>
    <s v="A. Menon"/>
  </r>
  <r>
    <n v="100708"/>
    <d v="2024-12-24T00:00:00"/>
    <x v="2"/>
    <s v="Karan Agarwal"/>
    <x v="1"/>
    <x v="9"/>
    <x v="3"/>
    <s v="Cooking Oil 1L"/>
    <n v="3"/>
    <n v="893.06"/>
    <n v="2679.18"/>
    <n v="0.15"/>
    <x v="5"/>
    <s v="K. Iyer"/>
  </r>
  <r>
    <n v="100825"/>
    <d v="2024-05-14T00:00:00"/>
    <x v="8"/>
    <s v="Ira Singh"/>
    <x v="1"/>
    <x v="1"/>
    <x v="1"/>
    <s v="Winter Sweater"/>
    <n v="-1"/>
    <n v="1984.24"/>
    <n v="-1984.24"/>
    <n v="0.1"/>
    <x v="0"/>
    <s v="M. Ghosh"/>
  </r>
  <r>
    <n v="100377"/>
    <d v="2024-08-13T00:00:00"/>
    <x v="5"/>
    <s v="Rohan Agarwal"/>
    <x v="1"/>
    <x v="9"/>
    <x v="5"/>
    <s v="Electric Kettle"/>
    <n v="1"/>
    <n v="0"/>
    <n v="0"/>
    <n v="0"/>
    <x v="3"/>
    <s v="P. Trivedi"/>
  </r>
  <r>
    <n v="101346"/>
    <d v="2024-08-27T00:00:00"/>
    <x v="5"/>
    <s v="Riya Kapoor"/>
    <x v="4"/>
    <x v="7"/>
    <x v="4"/>
    <s v="Smartphone X200"/>
    <n v="2"/>
    <n v="37626.31"/>
    <n v="75252.62"/>
    <n v="0"/>
    <x v="4"/>
    <s v="S. Bhat"/>
  </r>
  <r>
    <n v="100024"/>
    <d v="2024-05-26T00:00:00"/>
    <x v="8"/>
    <s v="Krishna Joshi"/>
    <x v="2"/>
    <x v="5"/>
    <x v="0"/>
    <s v="Sofa 3-Seater"/>
    <n v="5"/>
    <n v="12351.6"/>
    <n v="61758"/>
    <n v="0"/>
    <x v="0"/>
    <s v="A. Menon"/>
  </r>
  <r>
    <n v="100347"/>
    <d v="2024-11-06T00:00:00"/>
    <x v="7"/>
    <s v="Vihaan Kapoor"/>
    <x v="3"/>
    <x v="6"/>
    <x v="5"/>
    <s v="Microwave Oven"/>
    <n v="5"/>
    <n v="9777.2800000000007"/>
    <n v="48886.400000000001"/>
    <n v="0.25"/>
    <x v="0"/>
    <s v="P. Trivedi"/>
  </r>
  <r>
    <n v="101664"/>
    <d v="2024-04-27T00:00:00"/>
    <x v="6"/>
    <s v="Reyansh Kumar"/>
    <x v="3"/>
    <x v="6"/>
    <x v="0"/>
    <s v="Wooden Dining Table"/>
    <n v="8"/>
    <n v="12174.13"/>
    <n v="97393.04"/>
    <n v="0.05"/>
    <x v="0"/>
    <s v="T. Rana"/>
  </r>
  <r>
    <n v="101420"/>
    <d v="2024-08-18T00:00:00"/>
    <x v="5"/>
    <s v="Krishna Bansal"/>
    <x v="4"/>
    <x v="7"/>
    <x v="4"/>
    <s v="Smartwatch S3"/>
    <n v="4"/>
    <n v="36350.58"/>
    <n v="145402.32"/>
    <n v="0.15"/>
    <x v="0"/>
    <s v="P. Trivedi"/>
  </r>
  <r>
    <n v="101744"/>
    <d v="2024-02-08T00:00:00"/>
    <x v="11"/>
    <s v="Diya Mehta"/>
    <x v="3"/>
    <x v="3"/>
    <x v="5"/>
    <s v="Air Cooler"/>
    <n v="11"/>
    <n v="4846.7700000000004"/>
    <n v="53314.47"/>
    <n v="0"/>
    <x v="1"/>
    <s v="R. Kulkarni"/>
  </r>
  <r>
    <n v="100009"/>
    <d v="2024-06-18T00:00:00"/>
    <x v="0"/>
    <s v="Anika Nair"/>
    <x v="2"/>
    <x v="2"/>
    <x v="0"/>
    <s v="Office Chair"/>
    <n v="-3"/>
    <n v="9775.9699999999993"/>
    <n v="-29327.909999999996"/>
    <n v="0"/>
    <x v="4"/>
    <s v="A. Menon"/>
  </r>
  <r>
    <n v="100229"/>
    <d v="2024-06-14T00:00:00"/>
    <x v="0"/>
    <s v="Rohan Joshi"/>
    <x v="1"/>
    <x v="9"/>
    <x v="5"/>
    <s v="Ceiling Fan"/>
    <n v="7"/>
    <n v="8903.14"/>
    <n v="62321.979999999996"/>
    <n v="0"/>
    <x v="3"/>
    <s v="R. Kulkarni"/>
  </r>
  <r>
    <n v="100490"/>
    <d v="2024-05-28T00:00:00"/>
    <x v="8"/>
    <s v="Anika Das"/>
    <x v="3"/>
    <x v="3"/>
    <x v="2"/>
    <s v="Geometry Box"/>
    <n v="4"/>
    <n v="582.64"/>
    <n v="2330.56"/>
    <n v="0"/>
    <x v="3"/>
    <s v="S. Bhat"/>
  </r>
  <r>
    <n v="100214"/>
    <d v="2024-04-30T00:00:00"/>
    <x v="6"/>
    <s v="Aadhya Malhotra"/>
    <x v="2"/>
    <x v="2"/>
    <x v="3"/>
    <s v="Wheat Flour 10kg"/>
    <n v="10"/>
    <n v="360.32"/>
    <n v="3603.2"/>
    <n v="0.05"/>
    <x v="2"/>
    <s v="A. Menon"/>
  </r>
  <r>
    <n v="101345"/>
    <d v="2024-11-19T00:00:00"/>
    <x v="7"/>
    <s v="Nisha Joshi"/>
    <x v="1"/>
    <x v="9"/>
    <x v="5"/>
    <s v="Ceiling Fan"/>
    <n v="10"/>
    <n v="7286.38"/>
    <n v="72863.8"/>
    <n v="0"/>
    <x v="0"/>
    <s v="D. Chawla"/>
  </r>
  <r>
    <n v="100450"/>
    <d v="2024-11-21T00:00:00"/>
    <x v="7"/>
    <s v="Arjun Nair"/>
    <x v="4"/>
    <x v="4"/>
    <x v="2"/>
    <s v="Gel Pen Set"/>
    <n v="7"/>
    <n v="81.55"/>
    <n v="570.85"/>
    <n v="0.25"/>
    <x v="4"/>
    <s v="D. Chawla"/>
  </r>
  <r>
    <n v="101207"/>
    <d v="2024-06-26T00:00:00"/>
    <x v="0"/>
    <s v="(Unknown)"/>
    <x v="0"/>
    <x v="8"/>
    <x v="0"/>
    <s v="Sofa 3-Seater"/>
    <n v="10"/>
    <n v="13957.99"/>
    <n v="139579.9"/>
    <n v="0.1"/>
    <x v="4"/>
    <s v="P. Trivedi"/>
  </r>
  <r>
    <n v="100016"/>
    <d v="2024-05-14T00:00:00"/>
    <x v="8"/>
    <s v="Neha Rao"/>
    <x v="3"/>
    <x v="6"/>
    <x v="6"/>
    <s v="Sandals"/>
    <n v="7"/>
    <n v="4121.3500000000004"/>
    <n v="28849.450000000004"/>
    <n v="0.15"/>
    <x v="3"/>
    <s v="S. Bhat"/>
  </r>
  <r>
    <n v="101497"/>
    <d v="2024-12-28T00:00:00"/>
    <x v="2"/>
    <s v="Reyansh Bose"/>
    <x v="2"/>
    <x v="2"/>
    <x v="2"/>
    <s v="Gel Pen Set"/>
    <n v="11"/>
    <n v="220.96"/>
    <n v="2430.56"/>
    <n v="0.25"/>
    <x v="3"/>
    <s v="R. Kulkarni"/>
  </r>
  <r>
    <n v="101803"/>
    <d v="2024-03-28T00:00:00"/>
    <x v="3"/>
    <s v="(Unknown)"/>
    <x v="1"/>
    <x v="1"/>
    <x v="1"/>
    <s v="Kids T-Shirt"/>
    <n v="2"/>
    <n v="3026.13"/>
    <n v="6052.26"/>
    <n v="0"/>
    <x v="2"/>
    <s v="R. Kulkarni"/>
  </r>
  <r>
    <n v="100670"/>
    <d v="2024-08-09T00:00:00"/>
    <x v="5"/>
    <s v="Ira Iyer"/>
    <x v="3"/>
    <x v="3"/>
    <x v="1"/>
    <s v="Kids T-Shirt"/>
    <n v="6"/>
    <n v="1661.71"/>
    <n v="9970.26"/>
    <n v="0.25"/>
    <x v="5"/>
    <s v="D. Chawla"/>
  </r>
  <r>
    <n v="101324"/>
    <d v="2024-06-23T00:00:00"/>
    <x v="0"/>
    <s v="Saanvi Sharma"/>
    <x v="2"/>
    <x v="5"/>
    <x v="1"/>
    <s v="Men's Denim Jacket"/>
    <n v="4"/>
    <n v="3378.25"/>
    <n v="13513"/>
    <n v="0"/>
    <x v="4"/>
    <s v="R. Kulkarni"/>
  </r>
  <r>
    <n v="101422"/>
    <d v="2024-03-16T00:00:00"/>
    <x v="3"/>
    <s v="Karan Sharma"/>
    <x v="2"/>
    <x v="5"/>
    <x v="5"/>
    <s v="Air Cooler"/>
    <n v="3"/>
    <n v="3942.45"/>
    <n v="11827.349999999999"/>
    <n v="0"/>
    <x v="1"/>
    <s v="T. Rana"/>
  </r>
  <r>
    <n v="101617"/>
    <d v="2024-11-14T00:00:00"/>
    <x v="7"/>
    <s v="Arjun Nair"/>
    <x v="1"/>
    <x v="1"/>
    <x v="1"/>
    <s v="Kids T-Shirt"/>
    <n v="3"/>
    <n v="0"/>
    <n v="0"/>
    <n v="0.15"/>
    <x v="3"/>
    <s v="D. Chawla"/>
  </r>
  <r>
    <n v="100547"/>
    <d v="2024-12-16T00:00:00"/>
    <x v="2"/>
    <s v="Navya Kapoor"/>
    <x v="3"/>
    <x v="6"/>
    <x v="6"/>
    <s v="Leather Formal Shoes"/>
    <n v="12"/>
    <n v="4321.4399999999996"/>
    <n v="51857.279999999999"/>
    <n v="0.25"/>
    <x v="5"/>
    <s v="D. Chawla"/>
  </r>
  <r>
    <n v="101962"/>
    <d v="2024-01-28T00:00:00"/>
    <x v="9"/>
    <s v="(Unknown)"/>
    <x v="1"/>
    <x v="1"/>
    <x v="1"/>
    <s v="Men's Denim Jacket"/>
    <n v="7"/>
    <n v="1603.41"/>
    <n v="11223.87"/>
    <n v="0.25"/>
    <x v="0"/>
    <s v="M. Ghosh"/>
  </r>
  <r>
    <n v="101595"/>
    <d v="2024-04-13T00:00:00"/>
    <x v="6"/>
    <s v="Ayaan Chopra"/>
    <x v="0"/>
    <x v="8"/>
    <x v="3"/>
    <s v="Basmati Rice 5kg"/>
    <n v="3"/>
    <n v="321.33"/>
    <n v="963.99"/>
    <n v="0.2"/>
    <x v="0"/>
    <s v="P. Trivedi"/>
  </r>
  <r>
    <n v="100355"/>
    <d v="2024-02-20T00:00:00"/>
    <x v="11"/>
    <s v="Priya Kapoor"/>
    <x v="0"/>
    <x v="0"/>
    <x v="1"/>
    <s v="Winter Sweater"/>
    <n v="4"/>
    <n v="2484.54"/>
    <n v="9938.16"/>
    <n v="0.05"/>
    <x v="3"/>
    <s v="T. Rana"/>
  </r>
  <r>
    <n v="101721"/>
    <d v="2024-02-19T00:00:00"/>
    <x v="11"/>
    <s v="Reyansh Das"/>
    <x v="4"/>
    <x v="4"/>
    <x v="3"/>
    <s v="Basmati Rice 5kg"/>
    <n v="12"/>
    <n v="146"/>
    <n v="1752"/>
    <n v="0"/>
    <x v="0"/>
    <s v="T. Rana"/>
  </r>
  <r>
    <n v="100208"/>
    <d v="2024-04-25T00:00:00"/>
    <x v="6"/>
    <s v="Reyansh Rao"/>
    <x v="3"/>
    <x v="6"/>
    <x v="6"/>
    <s v="Running Shoes"/>
    <n v="2"/>
    <n v="3447.7"/>
    <n v="6895.4"/>
    <n v="0.15"/>
    <x v="5"/>
    <s v="A. Menon"/>
  </r>
  <r>
    <n v="100604"/>
    <d v="2024-12-30T00:00:00"/>
    <x v="2"/>
    <s v="Arjun Chopra"/>
    <x v="2"/>
    <x v="2"/>
    <x v="2"/>
    <s v="Geometry Box"/>
    <n v="9"/>
    <n v="65.98"/>
    <n v="593.82000000000005"/>
    <n v="0.25"/>
    <x v="3"/>
    <s v="A. Menon"/>
  </r>
  <r>
    <n v="100755"/>
    <d v="2024-11-23T00:00:00"/>
    <x v="7"/>
    <s v="Ishaan Singh"/>
    <x v="3"/>
    <x v="6"/>
    <x v="4"/>
    <s v="Laptop Air 14"/>
    <n v="1"/>
    <n v="17503.86"/>
    <n v="17503.86"/>
    <n v="0"/>
    <x v="1"/>
    <s v="D. Chawla"/>
  </r>
  <r>
    <n v="101539"/>
    <d v="2024-09-25T00:00:00"/>
    <x v="4"/>
    <s v="Aditya Bose"/>
    <x v="4"/>
    <x v="7"/>
    <x v="5"/>
    <s v="Electric Kettle"/>
    <n v="12"/>
    <n v="4168.87"/>
    <n v="50026.44"/>
    <n v="0.2"/>
    <x v="2"/>
    <s v="A. Menon"/>
  </r>
  <r>
    <n v="100417"/>
    <d v="2024-10-21T00:00:00"/>
    <x v="10"/>
    <s v="Karan Kumar"/>
    <x v="3"/>
    <x v="3"/>
    <x v="6"/>
    <s v="Sneakers"/>
    <n v="4"/>
    <n v="3283.82"/>
    <n v="13135.28"/>
    <n v="0"/>
    <x v="2"/>
    <s v="A. Menon"/>
  </r>
  <r>
    <n v="101447"/>
    <d v="2024-05-04T00:00:00"/>
    <x v="8"/>
    <s v="Neha Chopra"/>
    <x v="2"/>
    <x v="2"/>
    <x v="2"/>
    <s v="Geometry Box"/>
    <n v="2"/>
    <n v="244.82"/>
    <n v="489.64"/>
    <n v="0.1"/>
    <x v="3"/>
    <s v="K. Iyer"/>
  </r>
  <r>
    <n v="101409"/>
    <d v="2024-12-26T00:00:00"/>
    <x v="2"/>
    <s v="Navya Pillai"/>
    <x v="0"/>
    <x v="8"/>
    <x v="5"/>
    <s v="Mixer Grinder"/>
    <n v="6"/>
    <n v="2185.5100000000002"/>
    <n v="13113.060000000001"/>
    <n v="0"/>
    <x v="3"/>
    <s v="D. Chawla"/>
  </r>
  <r>
    <n v="101190"/>
    <d v="2024-08-18T00:00:00"/>
    <x v="5"/>
    <s v="Krishna Verma"/>
    <x v="2"/>
    <x v="5"/>
    <x v="6"/>
    <s v="Leather Formal Shoes"/>
    <n v="7"/>
    <n v="668.25"/>
    <n v="4677.75"/>
    <n v="0.1"/>
    <x v="3"/>
    <s v="A. Menon"/>
  </r>
  <r>
    <n v="100716"/>
    <d v="2024-05-20T00:00:00"/>
    <x v="8"/>
    <s v="Rahul Pillai"/>
    <x v="1"/>
    <x v="9"/>
    <x v="3"/>
    <s v="Basmati Rice 5kg"/>
    <m/>
    <n v="501.13"/>
    <n v="0"/>
    <n v="0"/>
    <x v="2"/>
    <s v="M. Ghosh"/>
  </r>
  <r>
    <n v="101115"/>
    <d v="2024-10-24T00:00:00"/>
    <x v="10"/>
    <s v="(Unknown)"/>
    <x v="0"/>
    <x v="0"/>
    <x v="2"/>
    <s v="Notebook Pack"/>
    <n v="9"/>
    <n v="118.17"/>
    <n v="1063.53"/>
    <n v="0"/>
    <x v="2"/>
    <s v="R. Kulkarni"/>
  </r>
  <r>
    <n v="101538"/>
    <d v="2024-05-18T00:00:00"/>
    <x v="8"/>
    <s v="Sai Bansal"/>
    <x v="3"/>
    <x v="3"/>
    <x v="0"/>
    <s v="Study Desk"/>
    <n v="2"/>
    <n v="20301.02"/>
    <n v="40602.04"/>
    <n v="0.05"/>
    <x v="3"/>
    <s v="S. Bhat"/>
  </r>
  <r>
    <n v="100537"/>
    <d v="2024-01-22T00:00:00"/>
    <x v="9"/>
    <s v="Aditya Gupta"/>
    <x v="2"/>
    <x v="2"/>
    <x v="1"/>
    <s v="Men's Denim Jacket"/>
    <n v="5"/>
    <n v="1113.02"/>
    <n v="5565.1"/>
    <n v="0.2"/>
    <x v="2"/>
    <s v="T. Rana"/>
  </r>
  <r>
    <n v="100349"/>
    <d v="2024-02-11T00:00:00"/>
    <x v="11"/>
    <s v="Vihaan Patel"/>
    <x v="1"/>
    <x v="1"/>
    <x v="2"/>
    <s v="A4 Paper Ream"/>
    <n v="2"/>
    <n v="485.42"/>
    <n v="970.84"/>
    <n v="0"/>
    <x v="5"/>
    <s v="A. Menon"/>
  </r>
  <r>
    <n v="101052"/>
    <d v="2024-12-20T00:00:00"/>
    <x v="2"/>
    <s v="Aditya Bansal"/>
    <x v="0"/>
    <x v="8"/>
    <x v="2"/>
    <s v="Geometry Box"/>
    <n v="1"/>
    <n v="202.42"/>
    <n v="202.42"/>
    <n v="0.2"/>
    <x v="0"/>
    <s v="R. Kulkarni"/>
  </r>
  <r>
    <n v="100404"/>
    <d v="2024-11-10T00:00:00"/>
    <x v="7"/>
    <s v="Anika Pillai"/>
    <x v="0"/>
    <x v="8"/>
    <x v="4"/>
    <s v="Smartwatch S3"/>
    <n v="2"/>
    <n v="32455.01"/>
    <n v="64910.02"/>
    <n v="0.2"/>
    <x v="5"/>
    <s v="T. Rana"/>
  </r>
  <r>
    <n v="100363"/>
    <d v="2024-01-10T00:00:00"/>
    <x v="9"/>
    <s v="Ishaan Agarwal"/>
    <x v="4"/>
    <x v="7"/>
    <x v="1"/>
    <s v="Winter Sweater"/>
    <m/>
    <n v="1661.94"/>
    <n v="0"/>
    <n v="0"/>
    <x v="2"/>
    <s v="P. Trivedi"/>
  </r>
  <r>
    <n v="100027"/>
    <d v="2024-02-11T00:00:00"/>
    <x v="11"/>
    <s v="Vivaan Chopra"/>
    <x v="1"/>
    <x v="1"/>
    <x v="4"/>
    <s v="Laptop Air 14"/>
    <n v="7"/>
    <n v="15739.84"/>
    <n v="110178.88"/>
    <n v="0"/>
    <x v="2"/>
    <s v="R. Kulkarni"/>
  </r>
  <r>
    <n v="101734"/>
    <d v="2024-08-28T00:00:00"/>
    <x v="5"/>
    <s v="Navya Mehta"/>
    <x v="3"/>
    <x v="6"/>
    <x v="5"/>
    <s v="Electric Kettle"/>
    <n v="10"/>
    <n v="1832.99"/>
    <n v="18329.900000000001"/>
    <n v="0.15"/>
    <x v="5"/>
    <s v="T. Rana"/>
  </r>
  <r>
    <n v="101191"/>
    <d v="2024-06-10T00:00:00"/>
    <x v="0"/>
    <s v="Kiara Chopra"/>
    <x v="2"/>
    <x v="5"/>
    <x v="6"/>
    <s v="Leather Formal Shoes"/>
    <n v="6"/>
    <n v="2434.9299999999998"/>
    <n v="14609.579999999998"/>
    <n v="0.2"/>
    <x v="0"/>
    <s v="P. Trivedi"/>
  </r>
  <r>
    <n v="100178"/>
    <d v="2024-07-03T00:00:00"/>
    <x v="1"/>
    <s v="Myra Sharma"/>
    <x v="3"/>
    <x v="6"/>
    <x v="1"/>
    <s v="Winter Sweater"/>
    <n v="4"/>
    <n v="1090.3900000000001"/>
    <n v="4361.5600000000004"/>
    <n v="0.25"/>
    <x v="4"/>
    <s v="R. Kulkarni"/>
  </r>
  <r>
    <n v="101957"/>
    <d v="2024-11-23T00:00:00"/>
    <x v="7"/>
    <s v="Ishaan Iyer"/>
    <x v="2"/>
    <x v="5"/>
    <x v="4"/>
    <s v="Laptop Air 14"/>
    <n v="3"/>
    <n v="38295.360000000001"/>
    <n v="114886.08"/>
    <n v="0"/>
    <x v="4"/>
    <s v="K. Iyer"/>
  </r>
  <r>
    <n v="101615"/>
    <d v="2024-11-16T00:00:00"/>
    <x v="7"/>
    <s v="Aadhya Bansal"/>
    <x v="1"/>
    <x v="9"/>
    <x v="1"/>
    <s v="Women's Kurti"/>
    <n v="1"/>
    <n v="1481.3"/>
    <n v="1481.3"/>
    <n v="0"/>
    <x v="3"/>
    <s v="P. Trivedi"/>
  </r>
  <r>
    <n v="100636"/>
    <d v="2024-10-15T00:00:00"/>
    <x v="10"/>
    <s v="Reyansh Malhotra"/>
    <x v="3"/>
    <x v="6"/>
    <x v="1"/>
    <s v="Kids T-Shirt"/>
    <n v="1"/>
    <n v="2694.02"/>
    <n v="2694.02"/>
    <n v="0.05"/>
    <x v="2"/>
    <s v="D. Chawla"/>
  </r>
  <r>
    <n v="100692"/>
    <d v="2024-05-20T00:00:00"/>
    <x v="8"/>
    <s v="Rohan Gupta"/>
    <x v="0"/>
    <x v="8"/>
    <x v="5"/>
    <s v="Electric Kettle"/>
    <n v="12"/>
    <n v="3319"/>
    <n v="39828"/>
    <n v="0.25"/>
    <x v="1"/>
    <s v="K. Iyer"/>
  </r>
  <r>
    <n v="100253"/>
    <d v="2024-03-19T00:00:00"/>
    <x v="3"/>
    <s v="Anika Kapoor"/>
    <x v="2"/>
    <x v="2"/>
    <x v="4"/>
    <s v="Smartphone X200"/>
    <n v="7"/>
    <n v="17532.77"/>
    <n v="122729.39"/>
    <n v="0.25"/>
    <x v="4"/>
    <s v="R. Kulkarni"/>
  </r>
  <r>
    <n v="100415"/>
    <d v="2024-06-16T00:00:00"/>
    <x v="0"/>
    <s v="Sneha Nair"/>
    <x v="0"/>
    <x v="0"/>
    <x v="6"/>
    <s v="Running Shoes"/>
    <n v="11"/>
    <n v="1593.81"/>
    <n v="17531.91"/>
    <n v="0.2"/>
    <x v="0"/>
    <s v="D. Chawla"/>
  </r>
  <r>
    <n v="100559"/>
    <d v="2024-12-05T00:00:00"/>
    <x v="2"/>
    <s v="Rahul Kapoor"/>
    <x v="0"/>
    <x v="8"/>
    <x v="3"/>
    <s v="Tea Pack 500g"/>
    <n v="2"/>
    <n v="756.64"/>
    <n v="1513.28"/>
    <n v="0"/>
    <x v="5"/>
    <s v="D. Chawla"/>
  </r>
  <r>
    <n v="100554"/>
    <d v="2024-12-13T00:00:00"/>
    <x v="2"/>
    <s v="(Unknown)"/>
    <x v="0"/>
    <x v="8"/>
    <x v="6"/>
    <s v="Leather Formal Shoes"/>
    <n v="11"/>
    <n v="4475.0200000000004"/>
    <n v="49225.22"/>
    <n v="0.1"/>
    <x v="2"/>
    <s v="A. Menon"/>
  </r>
  <r>
    <n v="100194"/>
    <d v="2024-12-13T00:00:00"/>
    <x v="2"/>
    <s v="Vikram Bose"/>
    <x v="3"/>
    <x v="3"/>
    <x v="6"/>
    <s v="Sandals"/>
    <n v="6"/>
    <n v="3730.8"/>
    <n v="22384.800000000003"/>
    <n v="0.2"/>
    <x v="5"/>
    <s v="D. Chawla"/>
  </r>
  <r>
    <n v="101569"/>
    <d v="2024-04-06T00:00:00"/>
    <x v="6"/>
    <s v="Pooja Das"/>
    <x v="1"/>
    <x v="1"/>
    <x v="1"/>
    <s v="Kids T-Shirt"/>
    <n v="2"/>
    <n v="2378.06"/>
    <n v="4756.12"/>
    <n v="0"/>
    <x v="5"/>
    <s v="A. Menon"/>
  </r>
  <r>
    <n v="100719"/>
    <d v="2024-04-15T00:00:00"/>
    <x v="6"/>
    <s v="Krishna Sharma"/>
    <x v="4"/>
    <x v="4"/>
    <x v="4"/>
    <s v="Wireless Earbuds"/>
    <n v="2"/>
    <n v="6811.24"/>
    <n v="13622.48"/>
    <n v="0"/>
    <x v="3"/>
    <s v="S. Bhat"/>
  </r>
  <r>
    <n v="101048"/>
    <d v="2024-09-02T00:00:00"/>
    <x v="4"/>
    <s v="Aadhya Reddy"/>
    <x v="4"/>
    <x v="7"/>
    <x v="5"/>
    <s v="Air Cooler"/>
    <n v="6"/>
    <n v="8082.17"/>
    <n v="48493.020000000004"/>
    <n v="0"/>
    <x v="2"/>
    <s v="D. Chawla"/>
  </r>
  <r>
    <n v="100446"/>
    <d v="2024-07-17T00:00:00"/>
    <x v="1"/>
    <s v="Vikram Rao"/>
    <x v="1"/>
    <x v="1"/>
    <x v="1"/>
    <s v="Winter Sweater"/>
    <n v="2"/>
    <n v="441.84"/>
    <n v="883.68"/>
    <n v="0"/>
    <x v="1"/>
    <s v="A. Menon"/>
  </r>
  <r>
    <n v="100805"/>
    <d v="2024-05-27T00:00:00"/>
    <x v="8"/>
    <s v="Pooja Kumar"/>
    <x v="0"/>
    <x v="8"/>
    <x v="5"/>
    <s v="Mixer Grinder"/>
    <n v="3"/>
    <n v="9517.6299999999992"/>
    <n v="28552.89"/>
    <n v="0.15"/>
    <x v="3"/>
    <s v="A. Menon"/>
  </r>
  <r>
    <n v="100949"/>
    <d v="2024-03-13T00:00:00"/>
    <x v="3"/>
    <s v="Neha Chopra"/>
    <x v="0"/>
    <x v="0"/>
    <x v="1"/>
    <s v="Women's Kurti"/>
    <n v="4"/>
    <n v="2262.4299999999998"/>
    <n v="9049.7199999999993"/>
    <n v="0.25"/>
    <x v="4"/>
    <s v="R. Kulkarni"/>
  </r>
  <r>
    <n v="101011"/>
    <d v="2024-10-02T00:00:00"/>
    <x v="10"/>
    <s v="Diya Gupta"/>
    <x v="0"/>
    <x v="8"/>
    <x v="0"/>
    <s v="Sofa 3-Seater"/>
    <n v="12"/>
    <n v="2433.8000000000002"/>
    <n v="29205.600000000002"/>
    <n v="0.1"/>
    <x v="0"/>
    <s v="R. Kulkarni"/>
  </r>
  <r>
    <n v="101479"/>
    <d v="2024-12-05T00:00:00"/>
    <x v="2"/>
    <s v="Vihaan Singh"/>
    <x v="0"/>
    <x v="8"/>
    <x v="2"/>
    <s v="Geometry Box"/>
    <n v="2"/>
    <n v="485.57"/>
    <n v="971.14"/>
    <n v="0"/>
    <x v="0"/>
    <s v="T. Rana"/>
  </r>
  <r>
    <n v="100452"/>
    <d v="2024-07-06T00:00:00"/>
    <x v="1"/>
    <s v="Aditya Bose"/>
    <x v="2"/>
    <x v="5"/>
    <x v="0"/>
    <s v="Wooden Dining Table"/>
    <n v="12"/>
    <n v="3284.91"/>
    <n v="39418.92"/>
    <n v="0.2"/>
    <x v="3"/>
    <s v="A. Menon"/>
  </r>
  <r>
    <n v="101414"/>
    <d v="2024-06-11T00:00:00"/>
    <x v="0"/>
    <s v="Sneha Bansal"/>
    <x v="0"/>
    <x v="0"/>
    <x v="4"/>
    <s v="Smartwatch S3"/>
    <n v="4"/>
    <n v="18636.71"/>
    <n v="74546.84"/>
    <n v="0.15"/>
    <x v="3"/>
    <s v="M. Ghosh"/>
  </r>
  <r>
    <n v="100465"/>
    <d v="2024-07-20T00:00:00"/>
    <x v="1"/>
    <s v="Arjun Rao"/>
    <x v="2"/>
    <x v="5"/>
    <x v="1"/>
    <s v="Winter Sweater"/>
    <n v="10"/>
    <n v="1606.33"/>
    <n v="16063.3"/>
    <n v="0"/>
    <x v="5"/>
    <s v="S. Bhat"/>
  </r>
  <r>
    <n v="100702"/>
    <d v="2024-08-20T00:00:00"/>
    <x v="5"/>
    <s v="Vivaan Verma"/>
    <x v="0"/>
    <x v="8"/>
    <x v="5"/>
    <s v="Ceiling Fan"/>
    <n v="5"/>
    <n v="8232.84"/>
    <n v="41164.199999999997"/>
    <n v="0.05"/>
    <x v="0"/>
    <s v="T. Rana"/>
  </r>
  <r>
    <n v="100459"/>
    <d v="2024-11-14T00:00:00"/>
    <x v="7"/>
    <s v="Sai Mehta"/>
    <x v="1"/>
    <x v="1"/>
    <x v="0"/>
    <s v="Sofa 3-Seater"/>
    <n v="5"/>
    <n v="4240.34"/>
    <n v="21201.7"/>
    <n v="0"/>
    <x v="5"/>
    <s v="K. Iyer"/>
  </r>
  <r>
    <n v="101390"/>
    <d v="2024-01-07T00:00:00"/>
    <x v="9"/>
    <s v="(Unknown)"/>
    <x v="3"/>
    <x v="6"/>
    <x v="2"/>
    <s v="A4 Paper Ream"/>
    <n v="6"/>
    <n v="256.58999999999997"/>
    <n v="1539.54"/>
    <n v="0"/>
    <x v="3"/>
    <s v="R. Kulkarni"/>
  </r>
  <r>
    <n v="101117"/>
    <d v="2024-02-04T00:00:00"/>
    <x v="11"/>
    <s v="Kiara Nair"/>
    <x v="3"/>
    <x v="6"/>
    <x v="3"/>
    <s v="Tea Pack 500g"/>
    <n v="12"/>
    <n v="484.38"/>
    <n v="5812.5599999999995"/>
    <n v="0.05"/>
    <x v="2"/>
    <s v="P. Trivedi"/>
  </r>
  <r>
    <n v="100838"/>
    <d v="2024-08-22T00:00:00"/>
    <x v="5"/>
    <s v="Amit Malhotra"/>
    <x v="2"/>
    <x v="2"/>
    <x v="0"/>
    <s v="Study Desk"/>
    <m/>
    <n v="10728.66"/>
    <n v="0"/>
    <n v="0"/>
    <x v="5"/>
    <s v="K. Iyer"/>
  </r>
  <r>
    <n v="100763"/>
    <d v="2024-09-29T00:00:00"/>
    <x v="4"/>
    <s v="Vikram Sharma"/>
    <x v="1"/>
    <x v="1"/>
    <x v="5"/>
    <s v="Microwave Oven"/>
    <n v="10"/>
    <n v="7159.46"/>
    <n v="71594.600000000006"/>
    <n v="0.25"/>
    <x v="0"/>
    <s v="M. Ghosh"/>
  </r>
  <r>
    <n v="100370"/>
    <d v="2024-04-22T00:00:00"/>
    <x v="6"/>
    <s v="Ananya Sharma"/>
    <x v="4"/>
    <x v="4"/>
    <x v="5"/>
    <s v="Ceiling Fan"/>
    <n v="9"/>
    <n v="2251.0700000000002"/>
    <n v="20259.63"/>
    <n v="0.05"/>
    <x v="4"/>
    <s v="R. Kulkarni"/>
  </r>
  <r>
    <n v="100485"/>
    <d v="2024-08-05T00:00:00"/>
    <x v="5"/>
    <s v="Saanvi Rao"/>
    <x v="2"/>
    <x v="5"/>
    <x v="0"/>
    <s v="Study Desk"/>
    <n v="12"/>
    <n v="13820.33"/>
    <n v="165843.96"/>
    <n v="0"/>
    <x v="1"/>
    <s v="P. Trivedi"/>
  </r>
  <r>
    <n v="100722"/>
    <d v="2024-10-19T00:00:00"/>
    <x v="10"/>
    <s v="(Unknown)"/>
    <x v="4"/>
    <x v="7"/>
    <x v="6"/>
    <s v="Sneakers"/>
    <n v="6"/>
    <n v="2477.38"/>
    <n v="14864.28"/>
    <n v="0.15"/>
    <x v="0"/>
    <s v="M. Ghosh"/>
  </r>
  <r>
    <n v="101201"/>
    <d v="2024-05-09T00:00:00"/>
    <x v="8"/>
    <s v="Myra Agarwal"/>
    <x v="2"/>
    <x v="5"/>
    <x v="5"/>
    <s v="Electric Kettle"/>
    <n v="6"/>
    <n v="4436.95"/>
    <n v="26621.699999999997"/>
    <n v="0"/>
    <x v="0"/>
    <s v="T. Rana"/>
  </r>
  <r>
    <n v="100308"/>
    <d v="2024-03-17T00:00:00"/>
    <x v="3"/>
    <s v="Aditya Mehta"/>
    <x v="4"/>
    <x v="7"/>
    <x v="4"/>
    <s v="Laptop Air 14"/>
    <n v="2"/>
    <n v="34444.03"/>
    <n v="68888.06"/>
    <n v="0"/>
    <x v="3"/>
    <s v="P. Trivedi"/>
  </r>
  <r>
    <n v="100286"/>
    <d v="2024-01-04T00:00:00"/>
    <x v="9"/>
    <s v="Myra Patel"/>
    <x v="2"/>
    <x v="2"/>
    <x v="0"/>
    <s v="Study Desk"/>
    <n v="9"/>
    <n v="24466.2"/>
    <n v="220195.80000000002"/>
    <n v="0.05"/>
    <x v="3"/>
    <s v="K. Iyer"/>
  </r>
  <r>
    <n v="101919"/>
    <d v="2024-01-30T00:00:00"/>
    <x v="9"/>
    <s v="Rohan Gupta"/>
    <x v="0"/>
    <x v="0"/>
    <x v="3"/>
    <s v="Wheat Flour 10kg"/>
    <n v="9"/>
    <n v="313.73"/>
    <n v="2823.57"/>
    <n v="0"/>
    <x v="3"/>
    <s v="D. Chawla"/>
  </r>
  <r>
    <n v="101078"/>
    <d v="2024-06-07T00:00:00"/>
    <x v="0"/>
    <s v="Karan Kumar"/>
    <x v="2"/>
    <x v="2"/>
    <x v="4"/>
    <s v="Bluetooth Speaker"/>
    <n v="8"/>
    <n v="0"/>
    <n v="0"/>
    <n v="0.1"/>
    <x v="3"/>
    <s v="D. Chawla"/>
  </r>
  <r>
    <n v="100700"/>
    <d v="2024-05-11T00:00:00"/>
    <x v="8"/>
    <s v="Sai Sharma"/>
    <x v="3"/>
    <x v="6"/>
    <x v="3"/>
    <s v="Tea Pack 500g"/>
    <n v="9"/>
    <n v="116.4"/>
    <n v="1047.6000000000001"/>
    <n v="0.25"/>
    <x v="2"/>
    <s v="M. Ghosh"/>
  </r>
  <r>
    <n v="101304"/>
    <d v="2024-05-05T00:00:00"/>
    <x v="8"/>
    <s v="Ananya Reddy"/>
    <x v="2"/>
    <x v="2"/>
    <x v="2"/>
    <s v="Notebook Pack"/>
    <n v="10"/>
    <n v="289.97000000000003"/>
    <n v="2899.7000000000003"/>
    <n v="0"/>
    <x v="5"/>
    <s v="A. Menon"/>
  </r>
  <r>
    <n v="101268"/>
    <d v="2024-04-18T00:00:00"/>
    <x v="6"/>
    <s v="Vihaan Pillai"/>
    <x v="2"/>
    <x v="5"/>
    <x v="0"/>
    <s v="Wooden Dining Table"/>
    <n v="5"/>
    <n v="19189.23"/>
    <n v="95946.15"/>
    <n v="0.2"/>
    <x v="0"/>
    <s v="P. Trivedi"/>
  </r>
  <r>
    <n v="100758"/>
    <d v="2024-12-14T00:00:00"/>
    <x v="2"/>
    <s v="Sai Reddy"/>
    <x v="4"/>
    <x v="7"/>
    <x v="1"/>
    <s v="Formal Shirt"/>
    <n v="1"/>
    <n v="3142.07"/>
    <n v="3142.07"/>
    <n v="0"/>
    <x v="3"/>
    <s v="T. Rana"/>
  </r>
  <r>
    <n v="100888"/>
    <d v="2024-07-15T00:00:00"/>
    <x v="1"/>
    <s v="Aarav Pillai"/>
    <x v="1"/>
    <x v="9"/>
    <x v="5"/>
    <s v="Ceiling Fan"/>
    <n v="1"/>
    <n v="9521.94"/>
    <n v="9521.94"/>
    <n v="0.25"/>
    <x v="1"/>
    <s v="K. Iyer"/>
  </r>
  <r>
    <n v="100689"/>
    <d v="2024-12-18T00:00:00"/>
    <x v="2"/>
    <s v="(Unknown)"/>
    <x v="2"/>
    <x v="2"/>
    <x v="0"/>
    <s v="Study Desk"/>
    <n v="4"/>
    <n v="15124.19"/>
    <n v="60496.76"/>
    <n v="0.15"/>
    <x v="4"/>
    <s v="M. Ghosh"/>
  </r>
  <r>
    <n v="100685"/>
    <d v="2024-05-18T00:00:00"/>
    <x v="8"/>
    <s v="Reyansh Chopra"/>
    <x v="3"/>
    <x v="3"/>
    <x v="5"/>
    <s v="Air Cooler"/>
    <n v="11"/>
    <n v="8404.7099999999991"/>
    <n v="92451.81"/>
    <n v="0"/>
    <x v="0"/>
    <s v="D. Chawla"/>
  </r>
  <r>
    <n v="100972"/>
    <d v="2024-12-24T00:00:00"/>
    <x v="2"/>
    <s v="Pooja Nair"/>
    <x v="3"/>
    <x v="6"/>
    <x v="0"/>
    <s v="Bookshelf"/>
    <n v="1"/>
    <n v="19433.12"/>
    <n v="19433.12"/>
    <n v="0.1"/>
    <x v="3"/>
    <s v="D. Chawla"/>
  </r>
  <r>
    <n v="100839"/>
    <d v="2024-02-28T00:00:00"/>
    <x v="11"/>
    <s v="Anika Gupta"/>
    <x v="1"/>
    <x v="9"/>
    <x v="6"/>
    <s v="Sandals"/>
    <n v="10"/>
    <n v="3376.75"/>
    <n v="33767.5"/>
    <n v="0"/>
    <x v="1"/>
    <s v="M. Ghosh"/>
  </r>
  <r>
    <n v="101610"/>
    <d v="2024-03-16T00:00:00"/>
    <x v="3"/>
    <s v="Navya Patel"/>
    <x v="0"/>
    <x v="0"/>
    <x v="0"/>
    <s v="Bookshelf"/>
    <n v="1"/>
    <n v="21391.360000000001"/>
    <n v="21391.360000000001"/>
    <n v="0.25"/>
    <x v="4"/>
    <s v="P. Trivedi"/>
  </r>
  <r>
    <n v="100658"/>
    <d v="2024-10-15T00:00:00"/>
    <x v="10"/>
    <s v="Rohan Malhotra"/>
    <x v="4"/>
    <x v="4"/>
    <x v="0"/>
    <s v="Sofa 3-Seater"/>
    <n v="4"/>
    <n v="18114.86"/>
    <n v="72459.44"/>
    <n v="0.2"/>
    <x v="5"/>
    <s v="S. Bhat"/>
  </r>
  <r>
    <n v="101682"/>
    <d v="2024-01-29T00:00:00"/>
    <x v="9"/>
    <s v="Aarav Rao"/>
    <x v="3"/>
    <x v="3"/>
    <x v="2"/>
    <s v="Gel Pen Set"/>
    <n v="9"/>
    <n v="146.82"/>
    <n v="1321.3799999999999"/>
    <n v="0"/>
    <x v="0"/>
    <s v="R. Kulkarni"/>
  </r>
  <r>
    <n v="100098"/>
    <d v="2024-03-04T00:00:00"/>
    <x v="3"/>
    <s v="Arjun Das"/>
    <x v="4"/>
    <x v="7"/>
    <x v="4"/>
    <s v="Wireless Earbuds"/>
    <n v="8"/>
    <n v="24844.720000000001"/>
    <n v="198757.76000000001"/>
    <n v="0.25"/>
    <x v="4"/>
    <s v="D. Chawla"/>
  </r>
  <r>
    <n v="100807"/>
    <d v="2024-09-15T00:00:00"/>
    <x v="4"/>
    <s v="Ira Chopra"/>
    <x v="0"/>
    <x v="0"/>
    <x v="1"/>
    <s v="Women's Kurti"/>
    <n v="4"/>
    <n v="2966.08"/>
    <n v="11864.32"/>
    <n v="0"/>
    <x v="1"/>
    <s v="D. Chawla"/>
  </r>
  <r>
    <n v="101023"/>
    <d v="2024-06-15T00:00:00"/>
    <x v="0"/>
    <s v="Aadhya Mehta"/>
    <x v="2"/>
    <x v="5"/>
    <x v="5"/>
    <s v="Microwave Oven"/>
    <n v="4"/>
    <n v="10479.44"/>
    <n v="41917.760000000002"/>
    <n v="0.15"/>
    <x v="1"/>
    <s v="K. Iyer"/>
  </r>
  <r>
    <n v="101488"/>
    <d v="2024-01-01T00:00:00"/>
    <x v="9"/>
    <s v="Krishna Rao"/>
    <x v="1"/>
    <x v="1"/>
    <x v="2"/>
    <s v="Geometry Box"/>
    <n v="9"/>
    <n v="519.88"/>
    <n v="4678.92"/>
    <n v="0"/>
    <x v="3"/>
    <s v="K. Iyer"/>
  </r>
  <r>
    <n v="100140"/>
    <d v="2024-06-13T00:00:00"/>
    <x v="0"/>
    <s v="Sneha Mehta"/>
    <x v="2"/>
    <x v="5"/>
    <x v="5"/>
    <s v="Air Cooler"/>
    <n v="-3"/>
    <n v="0"/>
    <n v="0"/>
    <n v="0"/>
    <x v="0"/>
    <s v="T. Rana"/>
  </r>
  <r>
    <n v="101460"/>
    <d v="2024-10-11T00:00:00"/>
    <x v="10"/>
    <s v="(Unknown)"/>
    <x v="1"/>
    <x v="1"/>
    <x v="2"/>
    <s v="Gel Pen Set"/>
    <n v="7"/>
    <n v="441.16"/>
    <n v="3088.1200000000003"/>
    <n v="0.15"/>
    <x v="3"/>
    <s v="K. Iyer"/>
  </r>
  <r>
    <n v="100954"/>
    <d v="2024-08-09T00:00:00"/>
    <x v="5"/>
    <s v="Sai Joshi"/>
    <x v="2"/>
    <x v="5"/>
    <x v="6"/>
    <s v="Leather Formal Shoes"/>
    <n v="3"/>
    <n v="3748.34"/>
    <n v="11245.02"/>
    <n v="0"/>
    <x v="3"/>
    <s v="D. Chawla"/>
  </r>
  <r>
    <n v="100730"/>
    <d v="2024-10-23T00:00:00"/>
    <x v="10"/>
    <s v="Sai Verma"/>
    <x v="1"/>
    <x v="1"/>
    <x v="3"/>
    <s v="Cooking Oil 1L"/>
    <n v="8"/>
    <n v="789.46"/>
    <n v="6315.68"/>
    <n v="0"/>
    <x v="2"/>
    <s v="D. Chawla"/>
  </r>
  <r>
    <n v="101474"/>
    <d v="2024-03-02T00:00:00"/>
    <x v="3"/>
    <s v="Sneha Gupta"/>
    <x v="0"/>
    <x v="8"/>
    <x v="5"/>
    <s v="Electric Kettle"/>
    <n v="8"/>
    <n v="8559.24"/>
    <n v="68473.919999999998"/>
    <n v="0"/>
    <x v="1"/>
    <s v="P. Trivedi"/>
  </r>
  <r>
    <n v="101344"/>
    <d v="2024-03-29T00:00:00"/>
    <x v="3"/>
    <s v="Arjun Pillai"/>
    <x v="4"/>
    <x v="7"/>
    <x v="2"/>
    <s v="A4 Paper Ream"/>
    <n v="11"/>
    <n v="312.92"/>
    <n v="3442.1200000000003"/>
    <n v="0.15"/>
    <x v="0"/>
    <s v="P. Trivedi"/>
  </r>
  <r>
    <n v="100968"/>
    <d v="2024-04-24T00:00:00"/>
    <x v="6"/>
    <s v="Navya Iyer"/>
    <x v="2"/>
    <x v="2"/>
    <x v="6"/>
    <s v="Leather Formal Shoes"/>
    <n v="1"/>
    <n v="4206.26"/>
    <n v="4206.26"/>
    <n v="0"/>
    <x v="5"/>
    <s v="K. Iyer"/>
  </r>
  <r>
    <n v="101195"/>
    <d v="2024-11-12T00:00:00"/>
    <x v="7"/>
    <s v="Sneha Patel"/>
    <x v="4"/>
    <x v="7"/>
    <x v="5"/>
    <s v="Electric Kettle"/>
    <n v="10"/>
    <n v="11349.28"/>
    <n v="113492.8"/>
    <n v="0"/>
    <x v="1"/>
    <s v="D. Chawla"/>
  </r>
  <r>
    <n v="101226"/>
    <d v="2024-01-25T00:00:00"/>
    <x v="9"/>
    <s v="Ananya Gupta"/>
    <x v="0"/>
    <x v="0"/>
    <x v="3"/>
    <s v="Basmati Rice 5kg"/>
    <n v="4"/>
    <n v="550.78"/>
    <n v="2203.12"/>
    <n v="0.05"/>
    <x v="3"/>
    <s v="M. Ghosh"/>
  </r>
  <r>
    <n v="100129"/>
    <d v="2024-09-08T00:00:00"/>
    <x v="4"/>
    <s v="(Unknown)"/>
    <x v="4"/>
    <x v="4"/>
    <x v="0"/>
    <s v="Wooden Dining Table"/>
    <n v="9"/>
    <n v="13378.44"/>
    <n v="120405.96"/>
    <n v="0.25"/>
    <x v="0"/>
    <s v="D. Chawla"/>
  </r>
  <r>
    <n v="100706"/>
    <d v="2024-11-05T00:00:00"/>
    <x v="7"/>
    <s v="Aadhya Bose"/>
    <x v="2"/>
    <x v="5"/>
    <x v="6"/>
    <s v="Sandals"/>
    <n v="11"/>
    <n v="824.52"/>
    <n v="9069.7199999999993"/>
    <n v="0"/>
    <x v="5"/>
    <s v="S. Bhat"/>
  </r>
  <r>
    <n v="101170"/>
    <d v="2024-01-21T00:00:00"/>
    <x v="9"/>
    <s v="Saanvi Patel"/>
    <x v="0"/>
    <x v="0"/>
    <x v="1"/>
    <s v="Women's Kurti"/>
    <n v="3"/>
    <n v="3029.8"/>
    <n v="9089.4000000000015"/>
    <n v="0.1"/>
    <x v="4"/>
    <s v="S. Bhat"/>
  </r>
  <r>
    <n v="101947"/>
    <d v="2024-11-11T00:00:00"/>
    <x v="7"/>
    <s v="Vivaan Sharma"/>
    <x v="0"/>
    <x v="0"/>
    <x v="2"/>
    <s v="Notebook Pack"/>
    <n v="5"/>
    <n v="355.42"/>
    <n v="1777.1000000000001"/>
    <n v="0"/>
    <x v="5"/>
    <s v="M. Ghosh"/>
  </r>
  <r>
    <n v="101376"/>
    <d v="2024-03-05T00:00:00"/>
    <x v="3"/>
    <s v="Neha Joshi"/>
    <x v="0"/>
    <x v="8"/>
    <x v="3"/>
    <s v="Basmati Rice 5kg"/>
    <n v="9"/>
    <n v="274.14"/>
    <n v="2467.2599999999998"/>
    <n v="0"/>
    <x v="2"/>
    <s v="A. Menon"/>
  </r>
  <r>
    <n v="100523"/>
    <d v="2024-02-01T00:00:00"/>
    <x v="11"/>
    <s v="Ayaan Kapoor"/>
    <x v="3"/>
    <x v="3"/>
    <x v="3"/>
    <s v="Tea Pack 500g"/>
    <n v="6"/>
    <n v="357.6"/>
    <n v="2145.6000000000004"/>
    <n v="0.25"/>
    <x v="4"/>
    <s v="M. Ghosh"/>
  </r>
  <r>
    <n v="100265"/>
    <d v="2024-10-06T00:00:00"/>
    <x v="10"/>
    <s v="Reyansh Kumar"/>
    <x v="1"/>
    <x v="9"/>
    <x v="4"/>
    <s v="Smartphone X200"/>
    <n v="7"/>
    <n v="25646.32"/>
    <n v="179524.24"/>
    <n v="0.2"/>
    <x v="2"/>
    <s v="R. Kulkarni"/>
  </r>
  <r>
    <n v="101019"/>
    <d v="2024-10-07T00:00:00"/>
    <x v="10"/>
    <s v="Sneha Gupta"/>
    <x v="1"/>
    <x v="1"/>
    <x v="2"/>
    <s v="Notebook Pack"/>
    <n v="11"/>
    <n v="84.52"/>
    <n v="929.71999999999991"/>
    <n v="0"/>
    <x v="3"/>
    <s v="P. Trivedi"/>
  </r>
  <r>
    <n v="100947"/>
    <d v="2024-01-06T00:00:00"/>
    <x v="9"/>
    <s v="Ishaan Verma"/>
    <x v="4"/>
    <x v="4"/>
    <x v="1"/>
    <s v="Kids T-Shirt"/>
    <n v="8"/>
    <n v="0"/>
    <n v="0"/>
    <n v="0.2"/>
    <x v="0"/>
    <s v="S. Bhat"/>
  </r>
  <r>
    <n v="100664"/>
    <d v="2024-01-23T00:00:00"/>
    <x v="9"/>
    <s v="Vikram Agarwal"/>
    <x v="2"/>
    <x v="5"/>
    <x v="6"/>
    <s v="Sneakers"/>
    <n v="2"/>
    <n v="1318.36"/>
    <n v="2636.72"/>
    <n v="0.05"/>
    <x v="3"/>
    <s v="P. Trivedi"/>
  </r>
  <r>
    <n v="100632"/>
    <d v="2024-11-15T00:00:00"/>
    <x v="7"/>
    <s v="Aarav Kumar"/>
    <x v="4"/>
    <x v="7"/>
    <x v="3"/>
    <s v="Wheat Flour 10kg"/>
    <n v="1"/>
    <n v="422.39"/>
    <n v="422.39"/>
    <n v="0.05"/>
    <x v="0"/>
    <s v="K. Iyer"/>
  </r>
  <r>
    <n v="100499"/>
    <d v="2024-04-02T00:00:00"/>
    <x v="6"/>
    <s v="(Unknown)"/>
    <x v="1"/>
    <x v="1"/>
    <x v="6"/>
    <s v="Sneakers"/>
    <n v="3"/>
    <n v="1045.6099999999999"/>
    <n v="3136.83"/>
    <n v="0"/>
    <x v="3"/>
    <s v="S. Bhat"/>
  </r>
  <r>
    <n v="101772"/>
    <d v="2024-07-01T00:00:00"/>
    <x v="1"/>
    <s v="Priya Malhotra"/>
    <x v="2"/>
    <x v="2"/>
    <x v="6"/>
    <s v="Sandals"/>
    <n v="4"/>
    <n v="689.74"/>
    <n v="2758.96"/>
    <n v="0.25"/>
    <x v="4"/>
    <s v="M. Ghosh"/>
  </r>
  <r>
    <n v="101964"/>
    <d v="2024-08-15T00:00:00"/>
    <x v="5"/>
    <s v="Diya Singh"/>
    <x v="4"/>
    <x v="4"/>
    <x v="3"/>
    <s v="Basmati Rice 5kg"/>
    <n v="9"/>
    <n v="260.19"/>
    <n v="2341.71"/>
    <n v="0"/>
    <x v="3"/>
    <s v="P. Trivedi"/>
  </r>
  <r>
    <n v="101679"/>
    <d v="2024-07-23T00:00:00"/>
    <x v="1"/>
    <s v="Vivaan Iyer"/>
    <x v="0"/>
    <x v="0"/>
    <x v="5"/>
    <s v="Microwave Oven"/>
    <n v="5"/>
    <n v="0"/>
    <n v="0"/>
    <n v="0.1"/>
    <x v="2"/>
    <s v="D. Chawla"/>
  </r>
  <r>
    <n v="100931"/>
    <d v="2024-07-23T00:00:00"/>
    <x v="1"/>
    <s v="Pooja Singh"/>
    <x v="4"/>
    <x v="7"/>
    <x v="6"/>
    <s v="Sneakers"/>
    <n v="6"/>
    <n v="2268.98"/>
    <n v="13613.880000000001"/>
    <n v="0.2"/>
    <x v="0"/>
    <s v="M. Ghosh"/>
  </r>
  <r>
    <n v="100433"/>
    <d v="2024-08-02T00:00:00"/>
    <x v="5"/>
    <s v="Neha Malhotra"/>
    <x v="2"/>
    <x v="2"/>
    <x v="0"/>
    <s v="Wooden Dining Table"/>
    <n v="2"/>
    <n v="23812.639999999999"/>
    <n v="47625.279999999999"/>
    <n v="0"/>
    <x v="3"/>
    <s v="A. Menon"/>
  </r>
  <r>
    <n v="101172"/>
    <d v="2024-07-23T00:00:00"/>
    <x v="1"/>
    <s v="(Unknown)"/>
    <x v="4"/>
    <x v="7"/>
    <x v="0"/>
    <s v="Office Chair"/>
    <n v="3"/>
    <n v="24337.06"/>
    <n v="73011.180000000008"/>
    <n v="0.15"/>
    <x v="2"/>
    <s v="P. Trivedi"/>
  </r>
  <r>
    <n v="100818"/>
    <d v="2024-12-13T00:00:00"/>
    <x v="2"/>
    <s v="Ishaan Pillai"/>
    <x v="1"/>
    <x v="1"/>
    <x v="3"/>
    <s v="Sugar 1kg"/>
    <n v="11"/>
    <n v="478.1"/>
    <n v="5259.1"/>
    <n v="0"/>
    <x v="1"/>
    <s v="K. Iyer"/>
  </r>
  <r>
    <n v="100069"/>
    <d v="2024-09-21T00:00:00"/>
    <x v="4"/>
    <s v="Kiara Rao"/>
    <x v="2"/>
    <x v="5"/>
    <x v="1"/>
    <s v="Women's Kurti"/>
    <n v="8"/>
    <n v="3405.72"/>
    <n v="27245.759999999998"/>
    <n v="0.25"/>
    <x v="4"/>
    <s v="T. Rana"/>
  </r>
  <r>
    <n v="100809"/>
    <d v="2024-10-17T00:00:00"/>
    <x v="10"/>
    <s v="Amit Chopra"/>
    <x v="0"/>
    <x v="8"/>
    <x v="0"/>
    <s v="Sofa 3-Seater"/>
    <n v="2"/>
    <n v="14738.4"/>
    <n v="29476.799999999999"/>
    <n v="0"/>
    <x v="3"/>
    <s v="S. Bhat"/>
  </r>
  <r>
    <n v="100688"/>
    <d v="2024-09-20T00:00:00"/>
    <x v="4"/>
    <s v="Aarav Singh"/>
    <x v="1"/>
    <x v="9"/>
    <x v="5"/>
    <s v="Mixer Grinder"/>
    <n v="5"/>
    <n v="10303.64"/>
    <n v="51518.2"/>
    <n v="0.2"/>
    <x v="5"/>
    <s v="M. Ghosh"/>
  </r>
  <r>
    <n v="101282"/>
    <d v="2024-02-16T00:00:00"/>
    <x v="11"/>
    <s v="Arjun Bose"/>
    <x v="3"/>
    <x v="3"/>
    <x v="2"/>
    <s v="A4 Paper Ream"/>
    <n v="1"/>
    <n v="454.4"/>
    <n v="454.4"/>
    <n v="0"/>
    <x v="3"/>
    <s v="M. Ghosh"/>
  </r>
  <r>
    <n v="101861"/>
    <d v="2024-08-24T00:00:00"/>
    <x v="5"/>
    <s v="Neha Chopra"/>
    <x v="3"/>
    <x v="6"/>
    <x v="1"/>
    <s v="Formal Shirt"/>
    <n v="12"/>
    <n v="1982.29"/>
    <n v="23787.48"/>
    <n v="0.1"/>
    <x v="0"/>
    <s v="D. Chawla"/>
  </r>
  <r>
    <n v="100574"/>
    <d v="2024-02-17T00:00:00"/>
    <x v="11"/>
    <s v="Ayaan Bansal"/>
    <x v="0"/>
    <x v="8"/>
    <x v="3"/>
    <s v="Cooking Oil 1L"/>
    <n v="6"/>
    <n v="198.93"/>
    <n v="1193.58"/>
    <n v="0"/>
    <x v="0"/>
    <s v="D. Chawla"/>
  </r>
  <r>
    <n v="100335"/>
    <d v="2024-08-06T00:00:00"/>
    <x v="5"/>
    <s v="Sneha Mehta"/>
    <x v="3"/>
    <x v="6"/>
    <x v="3"/>
    <s v="Tea Pack 500g"/>
    <n v="8"/>
    <n v="84.67"/>
    <n v="677.36"/>
    <n v="0"/>
    <x v="4"/>
    <s v="M. Ghosh"/>
  </r>
  <r>
    <n v="100339"/>
    <d v="2024-07-08T00:00:00"/>
    <x v="1"/>
    <s v="Vivaan Das"/>
    <x v="3"/>
    <x v="6"/>
    <x v="6"/>
    <s v="Sneakers"/>
    <n v="10"/>
    <n v="2281.77"/>
    <n v="22817.7"/>
    <n v="0.15"/>
    <x v="0"/>
    <s v="A. Menon"/>
  </r>
  <r>
    <n v="101187"/>
    <d v="2024-03-25T00:00:00"/>
    <x v="3"/>
    <s v="Krishna Agarwal"/>
    <x v="2"/>
    <x v="2"/>
    <x v="3"/>
    <s v="Wheat Flour 10kg"/>
    <n v="7"/>
    <n v="594.1"/>
    <n v="4158.7"/>
    <n v="0"/>
    <x v="0"/>
    <s v="A. Menon"/>
  </r>
  <r>
    <n v="100665"/>
    <d v="2024-04-26T00:00:00"/>
    <x v="6"/>
    <s v="Myra Pillai"/>
    <x v="0"/>
    <x v="8"/>
    <x v="6"/>
    <s v="Sandals"/>
    <n v="4"/>
    <n v="549.44000000000005"/>
    <n v="2197.7600000000002"/>
    <n v="0.15"/>
    <x v="2"/>
    <s v="P. Trivedi"/>
  </r>
  <r>
    <n v="100384"/>
    <d v="2024-05-17T00:00:00"/>
    <x v="8"/>
    <s v="Neha Reddy"/>
    <x v="4"/>
    <x v="4"/>
    <x v="5"/>
    <s v="Microwave Oven"/>
    <n v="1"/>
    <n v="11398.55"/>
    <n v="11398.55"/>
    <n v="0"/>
    <x v="4"/>
    <s v="D. Chawla"/>
  </r>
  <r>
    <n v="101343"/>
    <d v="2024-10-27T00:00:00"/>
    <x v="10"/>
    <s v="Ananya Das"/>
    <x v="1"/>
    <x v="1"/>
    <x v="3"/>
    <s v="Basmati Rice 5kg"/>
    <n v="6"/>
    <n v="412.31"/>
    <n v="2473.86"/>
    <n v="0.05"/>
    <x v="1"/>
    <s v="R. Kulkarni"/>
  </r>
  <r>
    <n v="100056"/>
    <d v="2024-03-28T00:00:00"/>
    <x v="3"/>
    <s v="Navya Joshi"/>
    <x v="3"/>
    <x v="6"/>
    <x v="0"/>
    <s v="Sofa 3-Seater"/>
    <n v="2"/>
    <n v="3544.07"/>
    <n v="7088.14"/>
    <n v="0"/>
    <x v="2"/>
    <s v="T. Rana"/>
  </r>
  <r>
    <n v="101286"/>
    <d v="2024-09-28T00:00:00"/>
    <x v="4"/>
    <s v="Rahul Bansal"/>
    <x v="1"/>
    <x v="1"/>
    <x v="5"/>
    <s v="Microwave Oven"/>
    <n v="3"/>
    <n v="6844.57"/>
    <n v="20533.71"/>
    <n v="0.25"/>
    <x v="0"/>
    <s v="R. Kulkarni"/>
  </r>
  <r>
    <n v="101309"/>
    <d v="2024-04-25T00:00:00"/>
    <x v="6"/>
    <s v="Rohan Singh"/>
    <x v="3"/>
    <x v="3"/>
    <x v="5"/>
    <s v="Microwave Oven"/>
    <n v="9"/>
    <n v="9189.89"/>
    <n v="82709.009999999995"/>
    <n v="0"/>
    <x v="0"/>
    <s v="P. Trivedi"/>
  </r>
  <r>
    <n v="101850"/>
    <d v="2024-06-28T00:00:00"/>
    <x v="0"/>
    <s v="Ananya Bansal"/>
    <x v="0"/>
    <x v="0"/>
    <x v="2"/>
    <s v="A4 Paper Ream"/>
    <n v="10"/>
    <n v="329.44"/>
    <n v="3294.4"/>
    <n v="0"/>
    <x v="5"/>
    <s v="A. Menon"/>
  </r>
  <r>
    <n v="101553"/>
    <d v="2024-10-10T00:00:00"/>
    <x v="10"/>
    <s v="Saanvi Iyer"/>
    <x v="2"/>
    <x v="2"/>
    <x v="2"/>
    <s v="A4 Paper Ream"/>
    <n v="7"/>
    <n v="186.07"/>
    <n v="1302.49"/>
    <n v="0.25"/>
    <x v="2"/>
    <s v="T. Rana"/>
  </r>
  <r>
    <n v="100798"/>
    <d v="2024-04-21T00:00:00"/>
    <x v="6"/>
    <s v="Ira Rao"/>
    <x v="1"/>
    <x v="1"/>
    <x v="5"/>
    <s v="Electric Kettle"/>
    <n v="1"/>
    <n v="9704.89"/>
    <n v="9704.89"/>
    <n v="0"/>
    <x v="4"/>
    <s v="D. Chawla"/>
  </r>
  <r>
    <n v="101702"/>
    <d v="2024-10-31T00:00:00"/>
    <x v="10"/>
    <s v="Navya Chopra"/>
    <x v="0"/>
    <x v="0"/>
    <x v="0"/>
    <s v="Study Desk"/>
    <n v="8"/>
    <n v="3080.02"/>
    <n v="24640.16"/>
    <n v="0.25"/>
    <x v="4"/>
    <s v="R. Kulkarni"/>
  </r>
  <r>
    <n v="100171"/>
    <d v="2024-05-28T00:00:00"/>
    <x v="8"/>
    <s v="Karan Singh"/>
    <x v="1"/>
    <x v="1"/>
    <x v="0"/>
    <s v="Office Chair"/>
    <n v="11"/>
    <n v="15562.94"/>
    <n v="171192.34"/>
    <n v="0.1"/>
    <x v="2"/>
    <s v="S. Bhat"/>
  </r>
  <r>
    <n v="100174"/>
    <d v="2024-08-24T00:00:00"/>
    <x v="5"/>
    <s v="Amit Joshi"/>
    <x v="1"/>
    <x v="1"/>
    <x v="2"/>
    <s v="Geometry Box"/>
    <n v="5"/>
    <n v="397.27"/>
    <n v="1986.35"/>
    <n v="0"/>
    <x v="3"/>
    <s v="R. Kulkarni"/>
  </r>
  <r>
    <n v="100976"/>
    <d v="2024-09-16T00:00:00"/>
    <x v="4"/>
    <s v="Ira Rao"/>
    <x v="4"/>
    <x v="4"/>
    <x v="3"/>
    <s v="Wheat Flour 10kg"/>
    <n v="6"/>
    <n v="75.52"/>
    <n v="453.12"/>
    <n v="0"/>
    <x v="3"/>
    <s v="D. Chawla"/>
  </r>
  <r>
    <n v="100327"/>
    <d v="2024-12-13T00:00:00"/>
    <x v="2"/>
    <s v="Diya Kapoor"/>
    <x v="4"/>
    <x v="7"/>
    <x v="5"/>
    <s v="Microwave Oven"/>
    <n v="7"/>
    <n v="9080.06"/>
    <n v="63560.42"/>
    <n v="0"/>
    <x v="2"/>
    <s v="K. Iyer"/>
  </r>
  <r>
    <n v="100504"/>
    <d v="2024-12-18T00:00:00"/>
    <x v="2"/>
    <s v="Ananya Nair"/>
    <x v="1"/>
    <x v="9"/>
    <x v="6"/>
    <s v="Sneakers"/>
    <n v="12"/>
    <n v="770.28"/>
    <n v="9243.36"/>
    <n v="0"/>
    <x v="2"/>
    <s v="P. Trivedi"/>
  </r>
  <r>
    <n v="101672"/>
    <d v="2024-05-30T00:00:00"/>
    <x v="8"/>
    <s v="Nisha Malhotra"/>
    <x v="0"/>
    <x v="0"/>
    <x v="5"/>
    <s v="Mixer Grinder"/>
    <n v="9"/>
    <n v="4323.96"/>
    <n v="38915.64"/>
    <n v="0"/>
    <x v="1"/>
    <s v="M. Ghosh"/>
  </r>
  <r>
    <n v="100410"/>
    <d v="2024-07-19T00:00:00"/>
    <x v="1"/>
    <s v="Reyansh Kumar"/>
    <x v="2"/>
    <x v="5"/>
    <x v="3"/>
    <s v="Sugar 1kg"/>
    <n v="8"/>
    <n v="724.87"/>
    <n v="5798.96"/>
    <n v="0"/>
    <x v="2"/>
    <s v="R. Kulkarni"/>
  </r>
  <r>
    <n v="101805"/>
    <d v="2024-03-24T00:00:00"/>
    <x v="3"/>
    <s v="Aarav Singh"/>
    <x v="3"/>
    <x v="3"/>
    <x v="4"/>
    <s v="Wireless Earbuds"/>
    <n v="11"/>
    <n v="43182.02"/>
    <n v="475002.22"/>
    <n v="0.15"/>
    <x v="4"/>
    <s v="T. Rana"/>
  </r>
  <r>
    <n v="100298"/>
    <d v="2024-11-09T00:00:00"/>
    <x v="7"/>
    <s v="Ishaan Singh"/>
    <x v="1"/>
    <x v="1"/>
    <x v="4"/>
    <s v="Wireless Earbuds"/>
    <n v="9"/>
    <n v="7001.6"/>
    <n v="63014.400000000001"/>
    <n v="0.15"/>
    <x v="1"/>
    <s v="A. Menon"/>
  </r>
  <r>
    <n v="101339"/>
    <d v="2024-12-18T00:00:00"/>
    <x v="2"/>
    <s v="Rahul Gupta"/>
    <x v="4"/>
    <x v="4"/>
    <x v="6"/>
    <s v="Sneakers"/>
    <n v="11"/>
    <n v="4190.01"/>
    <n v="46090.11"/>
    <n v="0.25"/>
    <x v="5"/>
    <s v="K. Iyer"/>
  </r>
  <r>
    <n v="100846"/>
    <d v="2024-08-18T00:00:00"/>
    <x v="5"/>
    <s v="Aadhya Kapoor"/>
    <x v="4"/>
    <x v="7"/>
    <x v="3"/>
    <s v="Cooking Oil 1L"/>
    <n v="6"/>
    <n v="52.98"/>
    <n v="317.88"/>
    <n v="0.25"/>
    <x v="1"/>
    <s v="M. Ghosh"/>
  </r>
  <r>
    <n v="101318"/>
    <d v="2024-04-13T00:00:00"/>
    <x v="6"/>
    <s v="Anika Sharma"/>
    <x v="3"/>
    <x v="6"/>
    <x v="1"/>
    <s v="Men's Denim Jacket"/>
    <n v="11"/>
    <n v="2014.39"/>
    <n v="22158.29"/>
    <n v="0.15"/>
    <x v="0"/>
    <s v="S. Bhat"/>
  </r>
  <r>
    <n v="100857"/>
    <d v="2024-05-19T00:00:00"/>
    <x v="8"/>
    <s v="Amit Pillai"/>
    <x v="2"/>
    <x v="2"/>
    <x v="6"/>
    <s v="Sandals"/>
    <n v="12"/>
    <n v="4326.2"/>
    <n v="51914.399999999994"/>
    <n v="0"/>
    <x v="2"/>
    <s v="S. Bhat"/>
  </r>
  <r>
    <n v="101820"/>
    <d v="2024-10-09T00:00:00"/>
    <x v="10"/>
    <s v="Amit Rao"/>
    <x v="2"/>
    <x v="5"/>
    <x v="5"/>
    <s v="Microwave Oven"/>
    <n v="12"/>
    <n v="9240.27"/>
    <n v="110883.24"/>
    <n v="0"/>
    <x v="0"/>
    <s v="S. Bhat"/>
  </r>
  <r>
    <n v="101287"/>
    <d v="2024-07-27T00:00:00"/>
    <x v="1"/>
    <s v="Vivaan Reddy"/>
    <x v="0"/>
    <x v="0"/>
    <x v="3"/>
    <s v="Basmati Rice 5kg"/>
    <n v="10"/>
    <n v="683.89"/>
    <n v="6838.9"/>
    <n v="0.15"/>
    <x v="2"/>
    <s v="D. Chawla"/>
  </r>
  <r>
    <n v="100672"/>
    <d v="2024-10-30T00:00:00"/>
    <x v="10"/>
    <s v="Ayaan Rao"/>
    <x v="0"/>
    <x v="8"/>
    <x v="2"/>
    <s v="A4 Paper Ream"/>
    <n v="9"/>
    <n v="96.65"/>
    <n v="869.85"/>
    <n v="0.2"/>
    <x v="0"/>
    <s v="R. Kulkarni"/>
  </r>
  <r>
    <n v="100649"/>
    <d v="2024-02-03T00:00:00"/>
    <x v="11"/>
    <s v="Ira Kapoor"/>
    <x v="1"/>
    <x v="1"/>
    <x v="6"/>
    <s v="Leather Formal Shoes"/>
    <n v="3"/>
    <n v="3299.87"/>
    <n v="9899.61"/>
    <n v="0.05"/>
    <x v="1"/>
    <s v="M. Ghosh"/>
  </r>
  <r>
    <n v="101704"/>
    <d v="2024-04-05T00:00:00"/>
    <x v="6"/>
    <s v="Ishaan Kapoor"/>
    <x v="1"/>
    <x v="9"/>
    <x v="5"/>
    <s v="Electric Kettle"/>
    <n v="6"/>
    <n v="3344.43"/>
    <n v="20066.579999999998"/>
    <n v="0.2"/>
    <x v="1"/>
    <s v="K. Iyer"/>
  </r>
  <r>
    <n v="101560"/>
    <d v="2024-08-12T00:00:00"/>
    <x v="5"/>
    <s v="Aarav Malhotra"/>
    <x v="3"/>
    <x v="6"/>
    <x v="6"/>
    <s v="Leather Formal Shoes"/>
    <n v="6"/>
    <n v="3920.05"/>
    <n v="23520.300000000003"/>
    <n v="0"/>
    <x v="1"/>
    <s v="D. Chawla"/>
  </r>
  <r>
    <n v="101991"/>
    <d v="2024-07-08T00:00:00"/>
    <x v="1"/>
    <s v="Anika Bose"/>
    <x v="4"/>
    <x v="7"/>
    <x v="6"/>
    <s v="Running Shoes"/>
    <n v="4"/>
    <n v="1778.41"/>
    <n v="7113.64"/>
    <n v="0"/>
    <x v="5"/>
    <s v="R. Kulkarni"/>
  </r>
  <r>
    <n v="100732"/>
    <d v="2024-07-19T00:00:00"/>
    <x v="1"/>
    <s v="Krishna Singh"/>
    <x v="2"/>
    <x v="2"/>
    <x v="3"/>
    <s v="Tea Pack 500g"/>
    <n v="4"/>
    <n v="819.09"/>
    <n v="3276.36"/>
    <n v="0"/>
    <x v="5"/>
    <s v="T. Rana"/>
  </r>
  <r>
    <n v="101741"/>
    <d v="2024-02-12T00:00:00"/>
    <x v="11"/>
    <s v="Rohan Bose"/>
    <x v="0"/>
    <x v="0"/>
    <x v="6"/>
    <s v="Sneakers"/>
    <n v="1"/>
    <n v="0"/>
    <n v="0"/>
    <n v="0.1"/>
    <x v="0"/>
    <s v="T. Rana"/>
  </r>
  <r>
    <n v="100532"/>
    <d v="2024-07-01T00:00:00"/>
    <x v="1"/>
    <s v="Vikram Mehta"/>
    <x v="4"/>
    <x v="7"/>
    <x v="3"/>
    <s v="Sugar 1kg"/>
    <n v="5"/>
    <n v="227.26"/>
    <n v="1136.3"/>
    <n v="0.05"/>
    <x v="2"/>
    <s v="D. Chawla"/>
  </r>
  <r>
    <n v="100408"/>
    <d v="2024-03-16T00:00:00"/>
    <x v="3"/>
    <s v="(Unknown)"/>
    <x v="2"/>
    <x v="5"/>
    <x v="3"/>
    <s v="Sugar 1kg"/>
    <n v="6"/>
    <n v="415.04"/>
    <n v="2490.2400000000002"/>
    <n v="0"/>
    <x v="1"/>
    <s v="A. Menon"/>
  </r>
  <r>
    <n v="100200"/>
    <d v="2024-06-01T00:00:00"/>
    <x v="0"/>
    <s v="Sai Iyer"/>
    <x v="2"/>
    <x v="2"/>
    <x v="6"/>
    <s v="Sneakers"/>
    <n v="10"/>
    <n v="589.78"/>
    <n v="5897.7999999999993"/>
    <n v="0"/>
    <x v="1"/>
    <s v="R. Kulkarni"/>
  </r>
  <r>
    <n v="100474"/>
    <d v="2024-04-11T00:00:00"/>
    <x v="6"/>
    <s v="Karan Agarwal"/>
    <x v="4"/>
    <x v="7"/>
    <x v="3"/>
    <s v="Tea Pack 500g"/>
    <n v="11"/>
    <n v="865.33"/>
    <n v="9518.630000000001"/>
    <n v="0.25"/>
    <x v="3"/>
    <s v="K. Iyer"/>
  </r>
  <r>
    <n v="100906"/>
    <d v="2024-04-26T00:00:00"/>
    <x v="6"/>
    <s v="Riya Malhotra"/>
    <x v="4"/>
    <x v="7"/>
    <x v="3"/>
    <s v="Tea Pack 500g"/>
    <n v="6"/>
    <n v="637.03"/>
    <n v="3822.18"/>
    <n v="0.15"/>
    <x v="4"/>
    <s v="A. Menon"/>
  </r>
  <r>
    <n v="101122"/>
    <d v="2024-11-12T00:00:00"/>
    <x v="7"/>
    <s v="Sai Mehta"/>
    <x v="1"/>
    <x v="9"/>
    <x v="6"/>
    <s v="Leather Formal Shoes"/>
    <n v="6"/>
    <n v="3342.68"/>
    <n v="20056.079999999998"/>
    <n v="0.1"/>
    <x v="2"/>
    <s v="K. Iyer"/>
  </r>
  <r>
    <n v="100748"/>
    <d v="2024-05-03T00:00:00"/>
    <x v="8"/>
    <s v="Neha Patel"/>
    <x v="2"/>
    <x v="2"/>
    <x v="3"/>
    <s v="Cooking Oil 1L"/>
    <n v="5"/>
    <n v="499.07"/>
    <n v="2495.35"/>
    <n v="0"/>
    <x v="2"/>
    <s v="M. Ghosh"/>
  </r>
  <r>
    <n v="101316"/>
    <d v="2024-06-24T00:00:00"/>
    <x v="0"/>
    <s v="Reyansh Patel"/>
    <x v="1"/>
    <x v="1"/>
    <x v="2"/>
    <s v="Geometry Box"/>
    <n v="9"/>
    <n v="433.3"/>
    <n v="3899.7000000000003"/>
    <n v="0.2"/>
    <x v="0"/>
    <s v="K. Iyer"/>
  </r>
  <r>
    <n v="100217"/>
    <d v="2024-09-11T00:00:00"/>
    <x v="4"/>
    <s v="Ananya Joshi"/>
    <x v="4"/>
    <x v="4"/>
    <x v="3"/>
    <s v="Cooking Oil 1L"/>
    <n v="7"/>
    <n v="788.02"/>
    <n v="5516.1399999999994"/>
    <n v="0"/>
    <x v="4"/>
    <s v="T. Rana"/>
  </r>
  <r>
    <n v="100254"/>
    <d v="2024-02-17T00:00:00"/>
    <x v="11"/>
    <s v="Neha Bose"/>
    <x v="4"/>
    <x v="7"/>
    <x v="3"/>
    <s v="Sugar 1kg"/>
    <n v="10"/>
    <n v="843.81"/>
    <n v="8438.0999999999985"/>
    <n v="0.15"/>
    <x v="4"/>
    <s v="P. Trivedi"/>
  </r>
  <r>
    <n v="100153"/>
    <d v="2024-01-14T00:00:00"/>
    <x v="9"/>
    <s v="Ira Bansal"/>
    <x v="1"/>
    <x v="1"/>
    <x v="5"/>
    <s v="Ceiling Fan"/>
    <n v="6"/>
    <n v="1122.8699999999999"/>
    <n v="6737.2199999999993"/>
    <n v="0"/>
    <x v="1"/>
    <s v="A. Menon"/>
  </r>
  <r>
    <n v="101652"/>
    <d v="2024-02-24T00:00:00"/>
    <x v="11"/>
    <s v="(Unknown)"/>
    <x v="1"/>
    <x v="1"/>
    <x v="1"/>
    <s v="Women's Kurti"/>
    <n v="6"/>
    <n v="1037.07"/>
    <n v="6222.42"/>
    <n v="0"/>
    <x v="2"/>
    <s v="T. Rana"/>
  </r>
  <r>
    <n v="100944"/>
    <d v="2024-12-03T00:00:00"/>
    <x v="2"/>
    <s v="Diya Kapoor"/>
    <x v="0"/>
    <x v="8"/>
    <x v="4"/>
    <s v="Smartwatch S3"/>
    <n v="9"/>
    <n v="36495.660000000003"/>
    <n v="328460.94000000006"/>
    <n v="0.25"/>
    <x v="0"/>
    <s v="D. Chawla"/>
  </r>
  <r>
    <n v="100948"/>
    <d v="2024-12-30T00:00:00"/>
    <x v="2"/>
    <s v="Kiara Sharma"/>
    <x v="3"/>
    <x v="6"/>
    <x v="5"/>
    <s v="Electric Kettle"/>
    <m/>
    <n v="4401.2299999999996"/>
    <n v="0"/>
    <n v="0.05"/>
    <x v="1"/>
    <s v="M. Ghosh"/>
  </r>
  <r>
    <n v="101270"/>
    <d v="2024-01-13T00:00:00"/>
    <x v="9"/>
    <s v="Arjun Agarwal"/>
    <x v="0"/>
    <x v="8"/>
    <x v="6"/>
    <s v="Sneakers"/>
    <n v="6"/>
    <n v="3754.87"/>
    <n v="22529.22"/>
    <n v="0.05"/>
    <x v="2"/>
    <s v="D. Chawla"/>
  </r>
  <r>
    <n v="101459"/>
    <d v="2024-03-27T00:00:00"/>
    <x v="3"/>
    <s v="Ira Joshi"/>
    <x v="4"/>
    <x v="4"/>
    <x v="0"/>
    <s v="Study Desk"/>
    <n v="11"/>
    <n v="8020.72"/>
    <n v="88227.92"/>
    <n v="0.2"/>
    <x v="2"/>
    <s v="R. Kulkarni"/>
  </r>
  <r>
    <n v="101622"/>
    <d v="2024-01-23T00:00:00"/>
    <x v="9"/>
    <s v="(Unknown)"/>
    <x v="3"/>
    <x v="6"/>
    <x v="4"/>
    <s v="Bluetooth Speaker"/>
    <n v="7"/>
    <n v="36977.18"/>
    <n v="258840.26"/>
    <n v="0"/>
    <x v="0"/>
    <s v="R. Kulkarni"/>
  </r>
  <r>
    <n v="100735"/>
    <d v="2024-07-29T00:00:00"/>
    <x v="1"/>
    <s v="Kiara Kapoor"/>
    <x v="3"/>
    <x v="6"/>
    <x v="1"/>
    <s v="Women's Kurti"/>
    <n v="-1"/>
    <n v="2050.71"/>
    <n v="-2050.71"/>
    <n v="0"/>
    <x v="3"/>
    <s v="D. Chawla"/>
  </r>
  <r>
    <n v="101633"/>
    <d v="2024-11-26T00:00:00"/>
    <x v="7"/>
    <s v="Ishaan Joshi"/>
    <x v="4"/>
    <x v="7"/>
    <x v="1"/>
    <s v="Men's Denim Jacket"/>
    <n v="2"/>
    <n v="2203.69"/>
    <n v="4407.38"/>
    <n v="0"/>
    <x v="1"/>
    <s v="P. Trivedi"/>
  </r>
  <r>
    <n v="101253"/>
    <d v="2024-05-24T00:00:00"/>
    <x v="8"/>
    <s v="Neha Iyer"/>
    <x v="2"/>
    <x v="5"/>
    <x v="2"/>
    <s v="Notebook Pack"/>
    <n v="1"/>
    <n v="302.93"/>
    <n v="302.93"/>
    <n v="0"/>
    <x v="2"/>
    <s v="P. Trivedi"/>
  </r>
  <r>
    <n v="100531"/>
    <d v="2024-11-22T00:00:00"/>
    <x v="7"/>
    <s v="Reyansh Gupta"/>
    <x v="0"/>
    <x v="8"/>
    <x v="0"/>
    <s v="Study Desk"/>
    <n v="5"/>
    <n v="10652.81"/>
    <n v="53264.049999999996"/>
    <n v="0"/>
    <x v="2"/>
    <s v="P. Trivedi"/>
  </r>
  <r>
    <n v="101937"/>
    <d v="2024-12-28T00:00:00"/>
    <x v="2"/>
    <s v="Rohan Rao"/>
    <x v="4"/>
    <x v="7"/>
    <x v="6"/>
    <s v="Running Shoes"/>
    <n v="12"/>
    <n v="4201.63"/>
    <n v="50419.56"/>
    <n v="0.05"/>
    <x v="4"/>
    <s v="S. Bhat"/>
  </r>
  <r>
    <n v="101267"/>
    <d v="2024-02-15T00:00:00"/>
    <x v="11"/>
    <s v="Kiara Chopra"/>
    <x v="4"/>
    <x v="4"/>
    <x v="6"/>
    <s v="Sneakers"/>
    <n v="11"/>
    <n v="2904.33"/>
    <n v="31947.629999999997"/>
    <n v="0.15"/>
    <x v="3"/>
    <s v="P. Trivedi"/>
  </r>
  <r>
    <n v="100241"/>
    <d v="2024-05-05T00:00:00"/>
    <x v="8"/>
    <s v="Reyansh Das"/>
    <x v="2"/>
    <x v="5"/>
    <x v="5"/>
    <s v="Mixer Grinder"/>
    <n v="7"/>
    <n v="4146.7"/>
    <n v="29026.899999999998"/>
    <n v="0.15"/>
    <x v="2"/>
    <s v="R. Kulkarni"/>
  </r>
  <r>
    <n v="101997"/>
    <d v="2024-07-15T00:00:00"/>
    <x v="1"/>
    <s v="Nisha Kapoor"/>
    <x v="1"/>
    <x v="1"/>
    <x v="4"/>
    <s v="LED TV 42in"/>
    <n v="12"/>
    <n v="34930.46"/>
    <n v="419165.52"/>
    <n v="0.1"/>
    <x v="5"/>
    <s v="D. Chawla"/>
  </r>
  <r>
    <n v="101912"/>
    <d v="2024-06-13T00:00:00"/>
    <x v="0"/>
    <s v="Karan Agarwal"/>
    <x v="4"/>
    <x v="7"/>
    <x v="1"/>
    <s v="Men's Denim Jacket"/>
    <m/>
    <n v="680.97"/>
    <n v="0"/>
    <n v="0.2"/>
    <x v="2"/>
    <s v="M. Ghosh"/>
  </r>
  <r>
    <n v="100188"/>
    <d v="2024-08-19T00:00:00"/>
    <x v="5"/>
    <s v="Nisha Singh"/>
    <x v="3"/>
    <x v="3"/>
    <x v="5"/>
    <s v="Air Cooler"/>
    <n v="11"/>
    <n v="0"/>
    <n v="0"/>
    <n v="0.05"/>
    <x v="5"/>
    <s v="R. Kulkarni"/>
  </r>
  <r>
    <n v="100247"/>
    <d v="2024-02-17T00:00:00"/>
    <x v="11"/>
    <s v="Rahul Verma"/>
    <x v="1"/>
    <x v="9"/>
    <x v="5"/>
    <s v="Air Cooler"/>
    <n v="10"/>
    <n v="9062.18"/>
    <n v="90621.8"/>
    <n v="0"/>
    <x v="4"/>
    <s v="T. Rana"/>
  </r>
  <r>
    <n v="101184"/>
    <d v="2024-01-23T00:00:00"/>
    <x v="9"/>
    <s v="Kiara Pillai"/>
    <x v="3"/>
    <x v="6"/>
    <x v="2"/>
    <s v="Gel Pen Set"/>
    <n v="11"/>
    <n v="242.94"/>
    <n v="2672.34"/>
    <n v="0.05"/>
    <x v="0"/>
    <s v="P. Trivedi"/>
  </r>
  <r>
    <n v="101593"/>
    <d v="2024-11-21T00:00:00"/>
    <x v="7"/>
    <s v="Ayaan Reddy"/>
    <x v="3"/>
    <x v="3"/>
    <x v="5"/>
    <s v="Mixer Grinder"/>
    <n v="5"/>
    <n v="4045.95"/>
    <n v="20229.75"/>
    <n v="0.2"/>
    <x v="5"/>
    <s v="K. Iyer"/>
  </r>
  <r>
    <n v="101057"/>
    <d v="2024-03-24T00:00:00"/>
    <x v="3"/>
    <s v="Nisha Kapoor"/>
    <x v="4"/>
    <x v="4"/>
    <x v="3"/>
    <s v="Cooking Oil 1L"/>
    <n v="3"/>
    <n v="63.22"/>
    <n v="189.66"/>
    <n v="0"/>
    <x v="5"/>
    <s v="M. Ghosh"/>
  </r>
  <r>
    <n v="100919"/>
    <d v="2024-10-26T00:00:00"/>
    <x v="10"/>
    <s v="Karan Kumar"/>
    <x v="1"/>
    <x v="1"/>
    <x v="1"/>
    <s v="Women's Kurti"/>
    <n v="10"/>
    <n v="544.66999999999996"/>
    <n v="5446.7"/>
    <n v="0"/>
    <x v="3"/>
    <s v="D. Chawla"/>
  </r>
  <r>
    <n v="100693"/>
    <d v="2024-05-27T00:00:00"/>
    <x v="8"/>
    <s v="Ira Das"/>
    <x v="3"/>
    <x v="3"/>
    <x v="3"/>
    <s v="Tea Pack 500g"/>
    <n v="4"/>
    <n v="822.81"/>
    <n v="3291.24"/>
    <n v="0.1"/>
    <x v="1"/>
    <s v="K. Iyer"/>
  </r>
  <r>
    <n v="100303"/>
    <d v="2024-11-19T00:00:00"/>
    <x v="7"/>
    <s v="Sai Bose"/>
    <x v="3"/>
    <x v="6"/>
    <x v="6"/>
    <s v="Sneakers"/>
    <n v="5"/>
    <n v="1398.08"/>
    <n v="6990.4"/>
    <n v="0.25"/>
    <x v="3"/>
    <s v="S. Bhat"/>
  </r>
  <r>
    <n v="100284"/>
    <d v="2024-08-17T00:00:00"/>
    <x v="5"/>
    <s v="(Unknown)"/>
    <x v="3"/>
    <x v="3"/>
    <x v="1"/>
    <s v="Formal Shirt"/>
    <n v="4"/>
    <n v="920.96"/>
    <n v="3683.84"/>
    <n v="0"/>
    <x v="3"/>
    <s v="R. Kulkarni"/>
  </r>
  <r>
    <n v="100916"/>
    <d v="2024-12-08T00:00:00"/>
    <x v="2"/>
    <s v="Neha Patel"/>
    <x v="1"/>
    <x v="9"/>
    <x v="0"/>
    <s v="Office Chair"/>
    <n v="6"/>
    <n v="5568.81"/>
    <n v="33412.86"/>
    <n v="0.1"/>
    <x v="0"/>
    <s v="P. Trivedi"/>
  </r>
  <r>
    <n v="100506"/>
    <d v="2024-11-25T00:00:00"/>
    <x v="7"/>
    <s v="Reyansh Verma"/>
    <x v="1"/>
    <x v="9"/>
    <x v="3"/>
    <s v="Wheat Flour 10kg"/>
    <n v="9"/>
    <n v="241.67"/>
    <n v="2175.0299999999997"/>
    <n v="0"/>
    <x v="5"/>
    <s v="T. Rana"/>
  </r>
  <r>
    <n v="101951"/>
    <d v="2024-05-19T00:00:00"/>
    <x v="8"/>
    <s v="Ira Patel"/>
    <x v="0"/>
    <x v="0"/>
    <x v="3"/>
    <s v="Cooking Oil 1L"/>
    <n v="9"/>
    <n v="357.89"/>
    <n v="3221.0099999999998"/>
    <n v="0.2"/>
    <x v="2"/>
    <s v="P. Trivedi"/>
  </r>
  <r>
    <n v="100322"/>
    <d v="2024-09-12T00:00:00"/>
    <x v="4"/>
    <s v="Aarav Iyer"/>
    <x v="2"/>
    <x v="2"/>
    <x v="0"/>
    <s v="Office Chair"/>
    <n v="9"/>
    <n v="7648.49"/>
    <n v="68836.41"/>
    <n v="0"/>
    <x v="4"/>
    <s v="A. Menon"/>
  </r>
  <r>
    <n v="101868"/>
    <d v="2024-08-24T00:00:00"/>
    <x v="5"/>
    <s v="Aditya Agarwal"/>
    <x v="3"/>
    <x v="3"/>
    <x v="1"/>
    <s v="Men's Denim Jacket"/>
    <n v="11"/>
    <n v="737.5"/>
    <n v="8112.5"/>
    <n v="0.25"/>
    <x v="2"/>
    <s v="T. Rana"/>
  </r>
  <r>
    <n v="101275"/>
    <d v="2024-07-11T00:00:00"/>
    <x v="1"/>
    <s v="Aadhya Malhotra"/>
    <x v="2"/>
    <x v="2"/>
    <x v="1"/>
    <s v="Kids T-Shirt"/>
    <n v="11"/>
    <n v="1858.19"/>
    <n v="20440.09"/>
    <n v="0.25"/>
    <x v="1"/>
    <s v="A. Menon"/>
  </r>
  <r>
    <n v="101059"/>
    <d v="2024-10-12T00:00:00"/>
    <x v="10"/>
    <s v="Aarav Kumar"/>
    <x v="0"/>
    <x v="8"/>
    <x v="0"/>
    <s v="Bookshelf"/>
    <n v="10"/>
    <n v="7718.81"/>
    <n v="77188.100000000006"/>
    <n v="0"/>
    <x v="1"/>
    <s v="K. Iyer"/>
  </r>
  <r>
    <n v="100622"/>
    <d v="2024-04-06T00:00:00"/>
    <x v="6"/>
    <s v="Karan Chopra"/>
    <x v="3"/>
    <x v="3"/>
    <x v="0"/>
    <s v="Sofa 3-Seater"/>
    <n v="2"/>
    <n v="6613.97"/>
    <n v="13227.94"/>
    <n v="0.1"/>
    <x v="4"/>
    <s v="R. Kulkarni"/>
  </r>
  <r>
    <n v="101126"/>
    <d v="2024-10-01T00:00:00"/>
    <x v="10"/>
    <s v="Saanvi Rao"/>
    <x v="1"/>
    <x v="1"/>
    <x v="3"/>
    <s v="Wheat Flour 10kg"/>
    <n v="11"/>
    <n v="873.86"/>
    <n v="9612.4600000000009"/>
    <n v="0"/>
    <x v="1"/>
    <s v="T. Rana"/>
  </r>
  <r>
    <n v="101119"/>
    <d v="2024-02-10T00:00:00"/>
    <x v="11"/>
    <s v="Vihaan Joshi"/>
    <x v="4"/>
    <x v="4"/>
    <x v="4"/>
    <s v="Laptop Air 14"/>
    <n v="3"/>
    <n v="42867.360000000001"/>
    <n v="128602.08"/>
    <n v="0.15"/>
    <x v="4"/>
    <s v="S. Bhat"/>
  </r>
  <r>
    <n v="100123"/>
    <d v="2024-07-24T00:00:00"/>
    <x v="1"/>
    <s v="Navya Patel"/>
    <x v="0"/>
    <x v="8"/>
    <x v="1"/>
    <s v="Women's Kurti"/>
    <n v="9"/>
    <n v="1346.68"/>
    <n v="12120.12"/>
    <n v="0.2"/>
    <x v="5"/>
    <s v="D. Chawla"/>
  </r>
  <r>
    <n v="101322"/>
    <d v="2024-01-30T00:00:00"/>
    <x v="9"/>
    <s v="Ananya Nair"/>
    <x v="0"/>
    <x v="8"/>
    <x v="4"/>
    <s v="Smartwatch S3"/>
    <n v="7"/>
    <n v="8539.83"/>
    <n v="59778.81"/>
    <n v="0.1"/>
    <x v="5"/>
    <s v="R. Kulkarni"/>
  </r>
  <r>
    <n v="100511"/>
    <d v="2024-08-18T00:00:00"/>
    <x v="5"/>
    <s v="Ayaan Gupta"/>
    <x v="4"/>
    <x v="4"/>
    <x v="4"/>
    <s v="Laptop Air 14"/>
    <n v="3"/>
    <n v="31751.66"/>
    <n v="95254.98"/>
    <n v="0.15"/>
    <x v="2"/>
    <s v="R. Kulkarni"/>
  </r>
  <r>
    <n v="100281"/>
    <d v="2024-08-24T00:00:00"/>
    <x v="5"/>
    <s v="(Unknown)"/>
    <x v="4"/>
    <x v="7"/>
    <x v="0"/>
    <s v="Wooden Dining Table"/>
    <n v="7"/>
    <n v="2583.39"/>
    <n v="18083.73"/>
    <n v="0.1"/>
    <x v="3"/>
    <s v="T. Rana"/>
  </r>
  <r>
    <n v="101269"/>
    <d v="2024-03-29T00:00:00"/>
    <x v="3"/>
    <s v="Sai Kapoor"/>
    <x v="3"/>
    <x v="6"/>
    <x v="4"/>
    <s v="Smartwatch S3"/>
    <n v="4"/>
    <n v="38136.230000000003"/>
    <n v="152544.92000000001"/>
    <n v="0.1"/>
    <x v="1"/>
    <s v="D. Chawla"/>
  </r>
  <r>
    <n v="101864"/>
    <d v="2024-09-01T00:00:00"/>
    <x v="4"/>
    <s v="Aditya Agarwal"/>
    <x v="4"/>
    <x v="7"/>
    <x v="0"/>
    <s v="Study Desk"/>
    <n v="8"/>
    <n v="21419.05"/>
    <n v="171352.4"/>
    <n v="0"/>
    <x v="3"/>
    <s v="D. Chawla"/>
  </r>
  <r>
    <n v="101466"/>
    <d v="2024-06-16T00:00:00"/>
    <x v="0"/>
    <s v="Nisha Iyer"/>
    <x v="4"/>
    <x v="7"/>
    <x v="5"/>
    <s v="Ceiling Fan"/>
    <n v="10"/>
    <n v="8874.57"/>
    <n v="88745.7"/>
    <n v="0"/>
    <x v="2"/>
    <s v="P. Trivedi"/>
  </r>
  <r>
    <n v="101582"/>
    <d v="2024-08-03T00:00:00"/>
    <x v="5"/>
    <s v="Aditya Pillai"/>
    <x v="3"/>
    <x v="6"/>
    <x v="3"/>
    <s v="Sugar 1kg"/>
    <n v="8"/>
    <n v="215.01"/>
    <n v="1720.08"/>
    <n v="0.05"/>
    <x v="5"/>
    <s v="M. Ghosh"/>
  </r>
  <r>
    <n v="101790"/>
    <d v="2024-03-08T00:00:00"/>
    <x v="3"/>
    <s v="Vivaan Chopra"/>
    <x v="4"/>
    <x v="4"/>
    <x v="4"/>
    <s v="LED TV 42in"/>
    <n v="4"/>
    <n v="15188.33"/>
    <n v="60753.32"/>
    <n v="0.15"/>
    <x v="4"/>
    <s v="R. Kulkarni"/>
  </r>
  <r>
    <n v="101811"/>
    <d v="2024-02-19T00:00:00"/>
    <x v="11"/>
    <s v="Karan Agarwal"/>
    <x v="2"/>
    <x v="2"/>
    <x v="5"/>
    <s v="Microwave Oven"/>
    <n v="-2"/>
    <n v="3822.81"/>
    <n v="-7645.62"/>
    <n v="0.05"/>
    <x v="0"/>
    <s v="P. Trivedi"/>
  </r>
  <r>
    <n v="100757"/>
    <d v="2024-12-21T00:00:00"/>
    <x v="2"/>
    <s v="Neha Kumar"/>
    <x v="1"/>
    <x v="9"/>
    <x v="2"/>
    <s v="Geometry Box"/>
    <n v="8"/>
    <n v="389.37"/>
    <n v="3114.96"/>
    <n v="0"/>
    <x v="3"/>
    <s v="P. Trivedi"/>
  </r>
  <r>
    <n v="100678"/>
    <d v="2024-06-29T00:00:00"/>
    <x v="0"/>
    <s v="Rohan Pillai"/>
    <x v="1"/>
    <x v="1"/>
    <x v="4"/>
    <s v="Bluetooth Speaker"/>
    <n v="1"/>
    <n v="7241.96"/>
    <n v="7241.96"/>
    <n v="0.2"/>
    <x v="5"/>
    <s v="T. Rana"/>
  </r>
  <r>
    <n v="100519"/>
    <d v="2024-06-15T00:00:00"/>
    <x v="0"/>
    <s v="Priya Verma"/>
    <x v="1"/>
    <x v="1"/>
    <x v="0"/>
    <s v="Study Desk"/>
    <n v="12"/>
    <n v="0"/>
    <n v="0"/>
    <n v="0"/>
    <x v="3"/>
    <s v="D. Chawla"/>
  </r>
  <r>
    <n v="101588"/>
    <d v="2024-07-17T00:00:00"/>
    <x v="1"/>
    <s v="Rohan Agarwal"/>
    <x v="1"/>
    <x v="1"/>
    <x v="1"/>
    <s v="Men's Denim Jacket"/>
    <n v="8"/>
    <n v="3440.12"/>
    <n v="27520.959999999999"/>
    <n v="0"/>
    <x v="5"/>
    <s v="R. Kulkarni"/>
  </r>
  <r>
    <n v="101527"/>
    <d v="2024-12-11T00:00:00"/>
    <x v="2"/>
    <s v="Vihaan Malhotra"/>
    <x v="1"/>
    <x v="9"/>
    <x v="4"/>
    <s v="Smartphone X200"/>
    <n v="10"/>
    <n v="30744.880000000001"/>
    <n v="307448.8"/>
    <n v="0.2"/>
    <x v="4"/>
    <s v="T. Rana"/>
  </r>
  <r>
    <n v="100068"/>
    <d v="2024-06-11T00:00:00"/>
    <x v="0"/>
    <s v="Ira Malhotra"/>
    <x v="2"/>
    <x v="2"/>
    <x v="0"/>
    <s v="Office Chair"/>
    <n v="9"/>
    <n v="8803.2199999999993"/>
    <n v="79228.98"/>
    <n v="0"/>
    <x v="2"/>
    <s v="A. Menon"/>
  </r>
  <r>
    <n v="100333"/>
    <d v="2024-10-14T00:00:00"/>
    <x v="10"/>
    <s v="Aadhya Kumar"/>
    <x v="4"/>
    <x v="4"/>
    <x v="1"/>
    <s v="Kids T-Shirt"/>
    <n v="3"/>
    <n v="0"/>
    <n v="0"/>
    <n v="0.15"/>
    <x v="0"/>
    <s v="D. Chawla"/>
  </r>
  <r>
    <n v="100569"/>
    <d v="2024-01-04T00:00:00"/>
    <x v="9"/>
    <s v="Aditya Reddy"/>
    <x v="3"/>
    <x v="3"/>
    <x v="3"/>
    <s v="Tea Pack 500g"/>
    <n v="5"/>
    <n v="229.04"/>
    <n v="1145.2"/>
    <n v="0"/>
    <x v="5"/>
    <s v="M. Ghosh"/>
  </r>
  <r>
    <n v="101237"/>
    <d v="2024-05-06T00:00:00"/>
    <x v="8"/>
    <s v="Diya Gupta"/>
    <x v="2"/>
    <x v="5"/>
    <x v="4"/>
    <s v="Bluetooth Speaker"/>
    <n v="11"/>
    <n v="13201.25"/>
    <n v="145213.75"/>
    <n v="0.15"/>
    <x v="4"/>
    <s v="S. Bhat"/>
  </r>
  <r>
    <n v="101480"/>
    <d v="2024-04-28T00:00:00"/>
    <x v="6"/>
    <s v="Anika Iyer"/>
    <x v="4"/>
    <x v="7"/>
    <x v="3"/>
    <s v="Basmati Rice 5kg"/>
    <n v="5"/>
    <n v="715.29"/>
    <n v="3576.45"/>
    <n v="0.1"/>
    <x v="0"/>
    <s v="D. Chawla"/>
  </r>
  <r>
    <n v="101448"/>
    <d v="2024-09-21T00:00:00"/>
    <x v="4"/>
    <s v="Saanvi Verma"/>
    <x v="2"/>
    <x v="2"/>
    <x v="2"/>
    <s v="Gel Pen Set"/>
    <n v="-2"/>
    <n v="524.65"/>
    <n v="-1049.3"/>
    <n v="0.1"/>
    <x v="2"/>
    <s v="M. Ghosh"/>
  </r>
  <r>
    <n v="101045"/>
    <d v="2024-04-02T00:00:00"/>
    <x v="6"/>
    <s v="Riya Verma"/>
    <x v="3"/>
    <x v="6"/>
    <x v="0"/>
    <s v="Sofa 3-Seater"/>
    <n v="2"/>
    <n v="19365.419999999998"/>
    <n v="38730.839999999997"/>
    <n v="0"/>
    <x v="1"/>
    <s v="A. Menon"/>
  </r>
  <r>
    <n v="100473"/>
    <d v="2024-05-14T00:00:00"/>
    <x v="8"/>
    <s v="Aditya Bose"/>
    <x v="4"/>
    <x v="7"/>
    <x v="0"/>
    <s v="Office Chair"/>
    <n v="8"/>
    <n v="16682.89"/>
    <n v="133463.12"/>
    <n v="0"/>
    <x v="0"/>
    <s v="T. Rana"/>
  </r>
  <r>
    <n v="101289"/>
    <d v="2024-12-02T00:00:00"/>
    <x v="2"/>
    <s v="Amit Malhotra"/>
    <x v="0"/>
    <x v="8"/>
    <x v="5"/>
    <s v="Mixer Grinder"/>
    <n v="3"/>
    <n v="4097.2"/>
    <n v="12291.599999999999"/>
    <n v="0.15"/>
    <x v="5"/>
    <s v="R. Kulkarni"/>
  </r>
  <r>
    <n v="100512"/>
    <d v="2024-01-06T00:00:00"/>
    <x v="9"/>
    <s v="Karan Gupta"/>
    <x v="4"/>
    <x v="7"/>
    <x v="4"/>
    <s v="Bluetooth Speaker"/>
    <n v="10"/>
    <n v="20577.18"/>
    <n v="205771.8"/>
    <n v="0.1"/>
    <x v="0"/>
    <s v="D. Chawla"/>
  </r>
  <r>
    <n v="100478"/>
    <d v="2024-10-10T00:00:00"/>
    <x v="10"/>
    <s v="Reyansh Rao"/>
    <x v="2"/>
    <x v="2"/>
    <x v="0"/>
    <s v="Sofa 3-Seater"/>
    <n v="11"/>
    <n v="20190.62"/>
    <n v="222096.81999999998"/>
    <n v="0.15"/>
    <x v="0"/>
    <s v="S. Bhat"/>
  </r>
  <r>
    <n v="100922"/>
    <d v="2024-12-22T00:00:00"/>
    <x v="2"/>
    <s v="(Unknown)"/>
    <x v="2"/>
    <x v="2"/>
    <x v="4"/>
    <s v="LED TV 42in"/>
    <n v="9"/>
    <n v="5238.9399999999996"/>
    <n v="47150.46"/>
    <n v="0.05"/>
    <x v="3"/>
    <s v="D. Chawla"/>
  </r>
  <r>
    <n v="101963"/>
    <d v="2024-10-23T00:00:00"/>
    <x v="10"/>
    <s v="Karan Agarwal"/>
    <x v="0"/>
    <x v="8"/>
    <x v="0"/>
    <s v="Bookshelf"/>
    <n v="12"/>
    <n v="7329.06"/>
    <n v="87948.72"/>
    <n v="0"/>
    <x v="4"/>
    <s v="S. Bhat"/>
  </r>
  <r>
    <n v="100319"/>
    <d v="2024-07-13T00:00:00"/>
    <x v="1"/>
    <s v="Riya Joshi"/>
    <x v="3"/>
    <x v="3"/>
    <x v="3"/>
    <s v="Basmati Rice 5kg"/>
    <n v="1"/>
    <n v="764.32"/>
    <n v="764.32"/>
    <n v="0.05"/>
    <x v="4"/>
    <s v="D. Chawla"/>
  </r>
  <r>
    <n v="101211"/>
    <d v="2024-06-12T00:00:00"/>
    <x v="0"/>
    <s v="Aarav Pillai"/>
    <x v="2"/>
    <x v="2"/>
    <x v="5"/>
    <s v="Air Cooler"/>
    <n v="8"/>
    <n v="6843.61"/>
    <n v="54748.88"/>
    <n v="0.15"/>
    <x v="5"/>
    <s v="R. Kulkarni"/>
  </r>
  <r>
    <n v="101739"/>
    <d v="2024-03-13T00:00:00"/>
    <x v="3"/>
    <s v="Arjun Reddy"/>
    <x v="0"/>
    <x v="8"/>
    <x v="3"/>
    <s v="Basmati Rice 5kg"/>
    <m/>
    <n v="411.03"/>
    <n v="0"/>
    <n v="0"/>
    <x v="5"/>
    <s v="R. Kulkarni"/>
  </r>
  <r>
    <n v="101029"/>
    <d v="2024-01-02T00:00:00"/>
    <x v="9"/>
    <s v="Vikram Bansal"/>
    <x v="2"/>
    <x v="2"/>
    <x v="2"/>
    <s v="Gel Pen Set"/>
    <n v="6"/>
    <n v="568.16999999999996"/>
    <n v="3409.0199999999995"/>
    <n v="0.2"/>
    <x v="0"/>
    <s v="R. Kulkarni"/>
  </r>
  <r>
    <n v="100582"/>
    <d v="2024-07-19T00:00:00"/>
    <x v="1"/>
    <s v="Ayaan Nair"/>
    <x v="1"/>
    <x v="9"/>
    <x v="0"/>
    <s v="Study Desk"/>
    <n v="12"/>
    <n v="8112.56"/>
    <n v="97350.720000000001"/>
    <n v="0"/>
    <x v="1"/>
    <s v="S. Bhat"/>
  </r>
  <r>
    <n v="100133"/>
    <d v="2024-03-07T00:00:00"/>
    <x v="3"/>
    <s v="Rohan Verma"/>
    <x v="1"/>
    <x v="9"/>
    <x v="2"/>
    <s v="Gel Pen Set"/>
    <n v="-3"/>
    <n v="345.44"/>
    <n v="-1036.32"/>
    <n v="0.05"/>
    <x v="0"/>
    <s v="D. Chawla"/>
  </r>
  <r>
    <n v="101745"/>
    <d v="2024-12-17T00:00:00"/>
    <x v="2"/>
    <s v="Diya Agarwal"/>
    <x v="2"/>
    <x v="2"/>
    <x v="5"/>
    <s v="Mixer Grinder"/>
    <n v="3"/>
    <n v="1532.04"/>
    <n v="4596.12"/>
    <n v="0.1"/>
    <x v="4"/>
    <s v="P. Trivedi"/>
  </r>
  <r>
    <n v="100863"/>
    <d v="2024-12-02T00:00:00"/>
    <x v="2"/>
    <s v="Krishna Rao"/>
    <x v="4"/>
    <x v="7"/>
    <x v="5"/>
    <s v="Mixer Grinder"/>
    <n v="12"/>
    <n v="1776.23"/>
    <n v="21314.760000000002"/>
    <n v="0.15"/>
    <x v="3"/>
    <s v="D. Chawla"/>
  </r>
  <r>
    <n v="101110"/>
    <d v="2024-11-30T00:00:00"/>
    <x v="7"/>
    <s v="Diya Gupta"/>
    <x v="1"/>
    <x v="9"/>
    <x v="5"/>
    <s v="Ceiling Fan"/>
    <m/>
    <n v="11201.82"/>
    <n v="0"/>
    <n v="0.2"/>
    <x v="3"/>
    <s v="D. Chawla"/>
  </r>
  <r>
    <n v="101415"/>
    <d v="2024-02-12T00:00:00"/>
    <x v="11"/>
    <s v="Amit Iyer"/>
    <x v="1"/>
    <x v="9"/>
    <x v="3"/>
    <s v="Cooking Oil 1L"/>
    <n v="-1"/>
    <n v="93.48"/>
    <n v="-93.48"/>
    <n v="0.1"/>
    <x v="2"/>
    <s v="M. Ghosh"/>
  </r>
  <r>
    <n v="101972"/>
    <d v="2024-12-20T00:00:00"/>
    <x v="2"/>
    <s v="Vihaan Mehta"/>
    <x v="2"/>
    <x v="5"/>
    <x v="0"/>
    <s v="Wooden Dining Table"/>
    <n v="8"/>
    <n v="23705.56"/>
    <n v="189644.48"/>
    <n v="0.25"/>
    <x v="3"/>
    <s v="A. Menon"/>
  </r>
  <r>
    <n v="100369"/>
    <d v="2024-09-27T00:00:00"/>
    <x v="4"/>
    <s v="Ira Iyer"/>
    <x v="0"/>
    <x v="8"/>
    <x v="6"/>
    <s v="Running Shoes"/>
    <n v="9"/>
    <n v="1009.72"/>
    <n v="9087.48"/>
    <n v="0"/>
    <x v="3"/>
    <s v="T. Rana"/>
  </r>
  <r>
    <n v="100733"/>
    <d v="2024-05-20T00:00:00"/>
    <x v="8"/>
    <s v="Arjun Sharma"/>
    <x v="4"/>
    <x v="7"/>
    <x v="0"/>
    <s v="Bookshelf"/>
    <n v="9"/>
    <n v="20623.330000000002"/>
    <n v="185609.97000000003"/>
    <n v="0"/>
    <x v="4"/>
    <s v="T. Rana"/>
  </r>
  <r>
    <n v="101378"/>
    <d v="2024-07-08T00:00:00"/>
    <x v="1"/>
    <s v="Amit Malhotra"/>
    <x v="1"/>
    <x v="9"/>
    <x v="2"/>
    <s v="A4 Paper Ream"/>
    <n v="8"/>
    <n v="528.11"/>
    <n v="4224.88"/>
    <n v="0"/>
    <x v="4"/>
    <s v="D. Chawla"/>
  </r>
  <r>
    <n v="100126"/>
    <d v="2024-08-09T00:00:00"/>
    <x v="5"/>
    <s v="Ira Kumar"/>
    <x v="4"/>
    <x v="4"/>
    <x v="1"/>
    <s v="Formal Shirt"/>
    <n v="4"/>
    <n v="3082.4"/>
    <n v="12329.6"/>
    <n v="0.15"/>
    <x v="3"/>
    <s v="K. Iyer"/>
  </r>
  <r>
    <n v="101262"/>
    <d v="2024-04-17T00:00:00"/>
    <x v="6"/>
    <s v="Vivaan Gupta"/>
    <x v="3"/>
    <x v="6"/>
    <x v="6"/>
    <s v="Sneakers"/>
    <n v="-3"/>
    <n v="2299.9"/>
    <n v="-6899.7000000000007"/>
    <n v="0"/>
    <x v="3"/>
    <s v="S. Bhat"/>
  </r>
  <r>
    <n v="101089"/>
    <d v="2024-01-16T00:00:00"/>
    <x v="9"/>
    <s v="Sneha Malhotra"/>
    <x v="0"/>
    <x v="8"/>
    <x v="4"/>
    <s v="Laptop Air 14"/>
    <n v="3"/>
    <n v="22765.8"/>
    <n v="68297.399999999994"/>
    <n v="0.25"/>
    <x v="4"/>
    <s v="A. Menon"/>
  </r>
  <r>
    <n v="100257"/>
    <d v="2024-08-05T00:00:00"/>
    <x v="5"/>
    <s v="Saanvi Pillai"/>
    <x v="2"/>
    <x v="2"/>
    <x v="5"/>
    <s v="Air Cooler"/>
    <n v="4"/>
    <n v="8947.1"/>
    <n v="35788.400000000001"/>
    <n v="0.15"/>
    <x v="1"/>
    <s v="A. Menon"/>
  </r>
  <r>
    <n v="101989"/>
    <d v="2024-02-18T00:00:00"/>
    <x v="11"/>
    <s v="Diya Singh"/>
    <x v="0"/>
    <x v="0"/>
    <x v="2"/>
    <s v="Notebook Pack"/>
    <n v="8"/>
    <n v="179.8"/>
    <n v="1438.4"/>
    <n v="0"/>
    <x v="3"/>
    <s v="K. Iyer"/>
  </r>
  <r>
    <n v="101124"/>
    <d v="2024-04-23T00:00:00"/>
    <x v="6"/>
    <s v="Riya Pillai"/>
    <x v="4"/>
    <x v="4"/>
    <x v="2"/>
    <s v="A4 Paper Ream"/>
    <n v="1"/>
    <n v="66.28"/>
    <n v="66.28"/>
    <n v="0"/>
    <x v="5"/>
    <s v="S. Bhat"/>
  </r>
  <r>
    <n v="100290"/>
    <d v="2024-11-29T00:00:00"/>
    <x v="7"/>
    <s v="Arjun Agarwal"/>
    <x v="0"/>
    <x v="8"/>
    <x v="3"/>
    <s v="Tea Pack 500g"/>
    <n v="8"/>
    <n v="782.87"/>
    <n v="6262.96"/>
    <n v="0.05"/>
    <x v="3"/>
    <s v="R. Kulkarni"/>
  </r>
  <r>
    <n v="101297"/>
    <d v="2024-01-19T00:00:00"/>
    <x v="9"/>
    <s v="Amit Bansal"/>
    <x v="0"/>
    <x v="0"/>
    <x v="4"/>
    <s v="Smartwatch S3"/>
    <n v="3"/>
    <n v="29170.94"/>
    <n v="87512.819999999992"/>
    <n v="0"/>
    <x v="5"/>
    <s v="P. Trivedi"/>
  </r>
  <r>
    <n v="100778"/>
    <d v="2024-11-15T00:00:00"/>
    <x v="7"/>
    <s v="Aditya Chopra"/>
    <x v="0"/>
    <x v="8"/>
    <x v="1"/>
    <s v="Kids T-Shirt"/>
    <n v="2"/>
    <n v="3023.02"/>
    <n v="6046.04"/>
    <n v="0.25"/>
    <x v="4"/>
    <s v="T. Rana"/>
  </r>
  <r>
    <n v="100082"/>
    <d v="2024-06-13T00:00:00"/>
    <x v="0"/>
    <s v="(Unknown)"/>
    <x v="3"/>
    <x v="3"/>
    <x v="1"/>
    <s v="Winter Sweater"/>
    <n v="2"/>
    <n v="1250.8"/>
    <n v="2501.6"/>
    <n v="0"/>
    <x v="3"/>
    <s v="R. Kulkarni"/>
  </r>
  <r>
    <n v="100054"/>
    <d v="2024-01-17T00:00:00"/>
    <x v="9"/>
    <s v="Arjun Gupta"/>
    <x v="0"/>
    <x v="0"/>
    <x v="2"/>
    <s v="Notebook Pack"/>
    <n v="2"/>
    <n v="599.19000000000005"/>
    <n v="1198.3800000000001"/>
    <n v="0"/>
    <x v="4"/>
    <s v="K. Iyer"/>
  </r>
  <r>
    <n v="101555"/>
    <d v="2024-01-11T00:00:00"/>
    <x v="9"/>
    <s v="Anika Sharma"/>
    <x v="0"/>
    <x v="0"/>
    <x v="2"/>
    <s v="Geometry Box"/>
    <n v="1"/>
    <n v="530.74"/>
    <n v="530.74"/>
    <n v="0.15"/>
    <x v="0"/>
    <s v="K. Iyer"/>
  </r>
  <r>
    <n v="101808"/>
    <d v="2024-03-19T00:00:00"/>
    <x v="3"/>
    <s v="Vivaan Iyer"/>
    <x v="1"/>
    <x v="1"/>
    <x v="6"/>
    <s v="Sandals"/>
    <n v="4"/>
    <n v="3784.52"/>
    <n v="15138.08"/>
    <n v="0"/>
    <x v="1"/>
    <s v="S. Bhat"/>
  </r>
  <r>
    <n v="100558"/>
    <d v="2024-05-21T00:00:00"/>
    <x v="8"/>
    <s v="(Unknown)"/>
    <x v="1"/>
    <x v="9"/>
    <x v="3"/>
    <s v="Tea Pack 500g"/>
    <n v="5"/>
    <n v="50.72"/>
    <n v="253.6"/>
    <n v="0.05"/>
    <x v="3"/>
    <s v="D. Chawla"/>
  </r>
  <r>
    <n v="100041"/>
    <d v="2024-12-25T00:00:00"/>
    <x v="2"/>
    <s v="Ananya Das"/>
    <x v="4"/>
    <x v="4"/>
    <x v="2"/>
    <s v="Geometry Box"/>
    <n v="8"/>
    <n v="266.83"/>
    <n v="2134.64"/>
    <n v="0"/>
    <x v="2"/>
    <s v="M. Ghosh"/>
  </r>
  <r>
    <n v="101518"/>
    <d v="2024-12-23T00:00:00"/>
    <x v="2"/>
    <s v="Ira Kapoor"/>
    <x v="4"/>
    <x v="7"/>
    <x v="2"/>
    <s v="Gel Pen Set"/>
    <n v="9"/>
    <n v="370.54"/>
    <n v="3334.86"/>
    <n v="0.15"/>
    <x v="0"/>
    <s v="P. Trivedi"/>
  </r>
  <r>
    <n v="100262"/>
    <d v="2024-04-26T00:00:00"/>
    <x v="6"/>
    <s v="Vihaan Rao"/>
    <x v="1"/>
    <x v="9"/>
    <x v="6"/>
    <s v="Sandals"/>
    <n v="9"/>
    <n v="1829.33"/>
    <n v="16463.97"/>
    <n v="0"/>
    <x v="1"/>
    <s v="D. Chawla"/>
  </r>
  <r>
    <n v="101012"/>
    <d v="2024-06-10T00:00:00"/>
    <x v="0"/>
    <s v="Aarav Patel"/>
    <x v="0"/>
    <x v="8"/>
    <x v="1"/>
    <s v="Kids T-Shirt"/>
    <n v="4"/>
    <n v="2739.57"/>
    <n v="10958.28"/>
    <n v="0.05"/>
    <x v="3"/>
    <s v="M. Ghosh"/>
  </r>
  <r>
    <n v="101451"/>
    <d v="2024-06-05T00:00:00"/>
    <x v="0"/>
    <s v="Krishna Malhotra"/>
    <x v="3"/>
    <x v="3"/>
    <x v="0"/>
    <s v="Study Desk"/>
    <n v="3"/>
    <n v="17655.23"/>
    <n v="52965.69"/>
    <n v="0"/>
    <x v="4"/>
    <s v="M. Ghosh"/>
  </r>
  <r>
    <n v="100084"/>
    <d v="2024-12-19T00:00:00"/>
    <x v="2"/>
    <s v="Vihaan Verma"/>
    <x v="3"/>
    <x v="6"/>
    <x v="5"/>
    <s v="Ceiling Fan"/>
    <n v="9"/>
    <n v="11726.65"/>
    <n v="105539.84999999999"/>
    <n v="0"/>
    <x v="4"/>
    <s v="T. Rana"/>
  </r>
  <r>
    <n v="101135"/>
    <d v="2024-05-01T00:00:00"/>
    <x v="8"/>
    <s v="Nisha Sharma"/>
    <x v="3"/>
    <x v="3"/>
    <x v="2"/>
    <s v="Notebook Pack"/>
    <n v="4"/>
    <n v="260.42"/>
    <n v="1041.68"/>
    <n v="0.2"/>
    <x v="0"/>
    <s v="A. Menon"/>
  </r>
  <r>
    <n v="101228"/>
    <d v="2024-03-02T00:00:00"/>
    <x v="3"/>
    <s v="Ayaan Iyer"/>
    <x v="3"/>
    <x v="3"/>
    <x v="2"/>
    <s v="Gel Pen Set"/>
    <n v="7"/>
    <n v="62.6"/>
    <n v="438.2"/>
    <n v="0"/>
    <x v="5"/>
    <s v="D. Chawla"/>
  </r>
  <r>
    <n v="101703"/>
    <d v="2024-03-20T00:00:00"/>
    <x v="3"/>
    <s v="Sai Pillai"/>
    <x v="4"/>
    <x v="7"/>
    <x v="2"/>
    <s v="Geometry Box"/>
    <n v="8"/>
    <n v="323.25"/>
    <n v="2586"/>
    <n v="0.1"/>
    <x v="2"/>
    <s v="R. Kulkarni"/>
  </r>
  <r>
    <n v="100841"/>
    <d v="2024-05-21T00:00:00"/>
    <x v="8"/>
    <s v="Vivaan Mehta"/>
    <x v="4"/>
    <x v="7"/>
    <x v="2"/>
    <s v="Gel Pen Set"/>
    <n v="5"/>
    <n v="335.88"/>
    <n v="1679.4"/>
    <n v="0.2"/>
    <x v="4"/>
    <s v="A. Menon"/>
  </r>
  <r>
    <n v="100031"/>
    <d v="2024-10-28T00:00:00"/>
    <x v="10"/>
    <s v="Aarav Das"/>
    <x v="2"/>
    <x v="5"/>
    <x v="6"/>
    <s v="Sneakers"/>
    <n v="8"/>
    <n v="1845.59"/>
    <n v="14764.72"/>
    <n v="0.15"/>
    <x v="2"/>
    <s v="T. Rana"/>
  </r>
  <r>
    <n v="100514"/>
    <d v="2024-07-06T00:00:00"/>
    <x v="1"/>
    <s v="(Unknown)"/>
    <x v="3"/>
    <x v="3"/>
    <x v="1"/>
    <s v="Women's Kurti"/>
    <n v="8"/>
    <n v="511.19"/>
    <n v="4089.52"/>
    <n v="0"/>
    <x v="1"/>
    <s v="D. Chawla"/>
  </r>
  <r>
    <n v="101467"/>
    <d v="2024-10-24T00:00:00"/>
    <x v="10"/>
    <s v="Aditya Reddy"/>
    <x v="1"/>
    <x v="9"/>
    <x v="3"/>
    <s v="Basmati Rice 5kg"/>
    <n v="2"/>
    <n v="520.63"/>
    <n v="1041.26"/>
    <n v="0.05"/>
    <x v="4"/>
    <s v="T. Rana"/>
  </r>
  <r>
    <n v="101370"/>
    <d v="2024-04-05T00:00:00"/>
    <x v="6"/>
    <s v="Ishaan Nair"/>
    <x v="1"/>
    <x v="9"/>
    <x v="0"/>
    <s v="Sofa 3-Seater"/>
    <n v="5"/>
    <n v="4240.12"/>
    <n v="21200.6"/>
    <n v="0"/>
    <x v="4"/>
    <s v="P. Trivedi"/>
  </r>
  <r>
    <n v="101840"/>
    <d v="2024-10-18T00:00:00"/>
    <x v="10"/>
    <s v="Vihaan Reddy"/>
    <x v="1"/>
    <x v="1"/>
    <x v="5"/>
    <s v="Mixer Grinder"/>
    <n v="12"/>
    <n v="6136.58"/>
    <n v="73638.959999999992"/>
    <n v="0"/>
    <x v="5"/>
    <s v="D. Chawla"/>
  </r>
  <r>
    <n v="101035"/>
    <d v="2024-03-20T00:00:00"/>
    <x v="3"/>
    <s v="(Unknown)"/>
    <x v="1"/>
    <x v="9"/>
    <x v="0"/>
    <s v="Sofa 3-Seater"/>
    <n v="-1"/>
    <n v="6340.17"/>
    <n v="-6340.17"/>
    <n v="0"/>
    <x v="2"/>
    <s v="T. Rana"/>
  </r>
  <r>
    <n v="101771"/>
    <d v="2024-01-15T00:00:00"/>
    <x v="9"/>
    <s v="Neha Joshi"/>
    <x v="0"/>
    <x v="8"/>
    <x v="2"/>
    <s v="Notebook Pack"/>
    <n v="11"/>
    <n v="504.58"/>
    <n v="5550.38"/>
    <n v="0"/>
    <x v="2"/>
    <s v="K. Iyer"/>
  </r>
  <r>
    <n v="101319"/>
    <d v="2024-05-05T00:00:00"/>
    <x v="8"/>
    <s v="Krishna Das"/>
    <x v="0"/>
    <x v="0"/>
    <x v="5"/>
    <s v="Air Cooler"/>
    <n v="5"/>
    <n v="4240.08"/>
    <n v="21200.400000000001"/>
    <n v="0.1"/>
    <x v="5"/>
    <s v="R. Kulkarni"/>
  </r>
  <r>
    <n v="101611"/>
    <d v="2024-09-01T00:00:00"/>
    <x v="4"/>
    <s v="Rohan Iyer"/>
    <x v="3"/>
    <x v="3"/>
    <x v="3"/>
    <s v="Sugar 1kg"/>
    <n v="4"/>
    <n v="877.52"/>
    <n v="3510.08"/>
    <n v="0.2"/>
    <x v="1"/>
    <s v="K. Iyer"/>
  </r>
  <r>
    <n v="101352"/>
    <d v="2024-05-21T00:00:00"/>
    <x v="8"/>
    <s v="Diya Nair"/>
    <x v="2"/>
    <x v="2"/>
    <x v="0"/>
    <s v="Study Desk"/>
    <n v="11"/>
    <n v="16659.54"/>
    <n v="183254.94"/>
    <n v="0.2"/>
    <x v="0"/>
    <s v="A. Menon"/>
  </r>
  <r>
    <n v="101216"/>
    <d v="2024-11-13T00:00:00"/>
    <x v="7"/>
    <s v="Saanvi Bansal"/>
    <x v="1"/>
    <x v="9"/>
    <x v="1"/>
    <s v="Formal Shirt"/>
    <n v="1"/>
    <n v="3330.09"/>
    <n v="3330.09"/>
    <n v="0"/>
    <x v="1"/>
    <s v="M. Ghosh"/>
  </r>
  <r>
    <n v="101854"/>
    <d v="2024-07-07T00:00:00"/>
    <x v="1"/>
    <s v="Rahul Das"/>
    <x v="3"/>
    <x v="3"/>
    <x v="1"/>
    <s v="Women's Kurti"/>
    <n v="12"/>
    <n v="1899.69"/>
    <n v="22796.28"/>
    <n v="0.2"/>
    <x v="5"/>
    <s v="S. Bhat"/>
  </r>
  <r>
    <n v="101894"/>
    <d v="2024-10-26T00:00:00"/>
    <x v="10"/>
    <s v="Aditya Agarwal"/>
    <x v="4"/>
    <x v="7"/>
    <x v="3"/>
    <s v="Wheat Flour 10kg"/>
    <n v="11"/>
    <n v="873.26"/>
    <n v="9605.86"/>
    <n v="0.2"/>
    <x v="0"/>
    <s v="D. Chawla"/>
  </r>
  <r>
    <n v="100049"/>
    <d v="2024-12-03T00:00:00"/>
    <x v="2"/>
    <s v="Rahul Chopra"/>
    <x v="2"/>
    <x v="2"/>
    <x v="5"/>
    <s v="Microwave Oven"/>
    <n v="-3"/>
    <n v="11636.69"/>
    <n v="-34910.07"/>
    <n v="0.15"/>
    <x v="3"/>
    <s v="K. Iyer"/>
  </r>
  <r>
    <n v="101341"/>
    <d v="2024-03-05T00:00:00"/>
    <x v="3"/>
    <s v="Vivaan Iyer"/>
    <x v="1"/>
    <x v="1"/>
    <x v="2"/>
    <s v="Notebook Pack"/>
    <n v="6"/>
    <n v="76.89"/>
    <n v="461.34000000000003"/>
    <n v="0.1"/>
    <x v="1"/>
    <s v="K. Iyer"/>
  </r>
  <r>
    <n v="101875"/>
    <d v="2024-09-14T00:00:00"/>
    <x v="4"/>
    <s v="Vihaan Kumar"/>
    <x v="2"/>
    <x v="5"/>
    <x v="1"/>
    <s v="Kids T-Shirt"/>
    <n v="10"/>
    <n v="1281.5899999999999"/>
    <n v="12815.9"/>
    <n v="0"/>
    <x v="3"/>
    <s v="T. Rana"/>
  </r>
  <r>
    <n v="100468"/>
    <d v="2024-07-20T00:00:00"/>
    <x v="1"/>
    <s v="Amit Verma"/>
    <x v="2"/>
    <x v="5"/>
    <x v="2"/>
    <s v="Notebook Pack"/>
    <n v="-2"/>
    <n v="597.36"/>
    <n v="-1194.72"/>
    <n v="0"/>
    <x v="0"/>
    <s v="P. Trivedi"/>
  </r>
  <r>
    <n v="100154"/>
    <d v="2024-07-07T00:00:00"/>
    <x v="1"/>
    <s v="Navya Bose"/>
    <x v="0"/>
    <x v="8"/>
    <x v="4"/>
    <s v="Smartphone X200"/>
    <n v="12"/>
    <n v="10441.450000000001"/>
    <n v="125297.40000000001"/>
    <n v="0"/>
    <x v="1"/>
    <s v="S. Bhat"/>
  </r>
  <r>
    <n v="101587"/>
    <d v="2024-08-06T00:00:00"/>
    <x v="5"/>
    <s v="Vihaan Iyer"/>
    <x v="4"/>
    <x v="4"/>
    <x v="2"/>
    <s v="A4 Paper Ream"/>
    <n v="4"/>
    <n v="178.85"/>
    <n v="715.4"/>
    <n v="0"/>
    <x v="5"/>
    <s v="M. Ghosh"/>
  </r>
  <r>
    <n v="101895"/>
    <d v="2024-12-02T00:00:00"/>
    <x v="2"/>
    <s v="Rahul Bose"/>
    <x v="0"/>
    <x v="0"/>
    <x v="6"/>
    <s v="Sneakers"/>
    <n v="9"/>
    <n v="3813.96"/>
    <n v="34325.64"/>
    <n v="0.2"/>
    <x v="1"/>
    <s v="M. Ghosh"/>
  </r>
  <r>
    <n v="100395"/>
    <d v="2024-03-26T00:00:00"/>
    <x v="3"/>
    <s v="Rohan Bansal"/>
    <x v="0"/>
    <x v="8"/>
    <x v="6"/>
    <s v="Sneakers"/>
    <n v="-3"/>
    <n v="983.22"/>
    <n v="-2949.66"/>
    <n v="0.2"/>
    <x v="0"/>
    <s v="T. Rana"/>
  </r>
  <r>
    <n v="100124"/>
    <d v="2024-09-07T00:00:00"/>
    <x v="4"/>
    <s v="Riya Sharma"/>
    <x v="0"/>
    <x v="0"/>
    <x v="4"/>
    <s v="Bluetooth Speaker"/>
    <n v="11"/>
    <n v="9988.09"/>
    <n v="109868.99"/>
    <n v="0.2"/>
    <x v="3"/>
    <s v="M. Ghosh"/>
  </r>
  <r>
    <n v="100356"/>
    <d v="2024-06-16T00:00:00"/>
    <x v="0"/>
    <s v="Rahul Patel"/>
    <x v="1"/>
    <x v="1"/>
    <x v="3"/>
    <s v="Wheat Flour 10kg"/>
    <n v="7"/>
    <n v="625.29999999999995"/>
    <n v="4377.0999999999995"/>
    <n v="0.2"/>
    <x v="2"/>
    <s v="D. Chawla"/>
  </r>
  <r>
    <n v="100135"/>
    <d v="2024-07-06T00:00:00"/>
    <x v="1"/>
    <s v="Riya Gupta"/>
    <x v="2"/>
    <x v="5"/>
    <x v="3"/>
    <s v="Tea Pack 500g"/>
    <n v="5"/>
    <n v="120.06"/>
    <n v="600.29999999999995"/>
    <n v="0.05"/>
    <x v="0"/>
    <s v="R. Kulkarni"/>
  </r>
  <r>
    <n v="100269"/>
    <d v="2024-11-07T00:00:00"/>
    <x v="7"/>
    <s v="Vivaan Agarwal"/>
    <x v="0"/>
    <x v="0"/>
    <x v="1"/>
    <s v="Women's Kurti"/>
    <n v="8"/>
    <n v="1716.79"/>
    <n v="13734.32"/>
    <n v="0.1"/>
    <x v="4"/>
    <s v="D. Chawla"/>
  </r>
  <r>
    <n v="100386"/>
    <d v="2024-12-31T00:00:00"/>
    <x v="2"/>
    <s v="Sneha Malhotra"/>
    <x v="1"/>
    <x v="9"/>
    <x v="2"/>
    <s v="Geometry Box"/>
    <n v="1"/>
    <n v="215.87"/>
    <n v="215.87"/>
    <n v="0.15"/>
    <x v="1"/>
    <s v="S. Bhat"/>
  </r>
  <r>
    <n v="100610"/>
    <d v="2024-10-07T00:00:00"/>
    <x v="10"/>
    <s v="Ayaan Agarwal"/>
    <x v="2"/>
    <x v="2"/>
    <x v="5"/>
    <s v="Ceiling Fan"/>
    <n v="11"/>
    <n v="10942.52"/>
    <n v="120367.72"/>
    <n v="0"/>
    <x v="2"/>
    <s v="M. Ghosh"/>
  </r>
  <r>
    <n v="100221"/>
    <d v="2024-07-29T00:00:00"/>
    <x v="1"/>
    <s v="Reyansh Kapoor"/>
    <x v="4"/>
    <x v="7"/>
    <x v="1"/>
    <s v="Formal Shirt"/>
    <n v="8"/>
    <n v="2058.81"/>
    <n v="16470.48"/>
    <n v="0.1"/>
    <x v="0"/>
    <s v="A. Menon"/>
  </r>
  <r>
    <n v="100042"/>
    <d v="2024-04-26T00:00:00"/>
    <x v="6"/>
    <s v="Ananya Bose"/>
    <x v="0"/>
    <x v="8"/>
    <x v="3"/>
    <s v="Tea Pack 500g"/>
    <n v="8"/>
    <n v="343.36"/>
    <n v="2746.88"/>
    <n v="0.05"/>
    <x v="1"/>
    <s v="A. Menon"/>
  </r>
  <r>
    <n v="100220"/>
    <d v="2024-04-17T00:00:00"/>
    <x v="6"/>
    <s v="Kiara Mehta"/>
    <x v="0"/>
    <x v="0"/>
    <x v="0"/>
    <s v="Study Desk"/>
    <n v="11"/>
    <n v="6071.84"/>
    <n v="66790.240000000005"/>
    <n v="0.1"/>
    <x v="5"/>
    <s v="R. Kulkarni"/>
  </r>
  <r>
    <n v="100598"/>
    <d v="2024-05-28T00:00:00"/>
    <x v="8"/>
    <s v="Diya Bansal"/>
    <x v="2"/>
    <x v="5"/>
    <x v="2"/>
    <s v="Notebook Pack"/>
    <n v="3"/>
    <n v="110.22"/>
    <n v="330.65999999999997"/>
    <n v="0"/>
    <x v="0"/>
    <s v="A. Menon"/>
  </r>
  <r>
    <n v="101272"/>
    <d v="2024-10-28T00:00:00"/>
    <x v="10"/>
    <s v="Ananya Nair"/>
    <x v="4"/>
    <x v="7"/>
    <x v="5"/>
    <s v="Mixer Grinder"/>
    <n v="7"/>
    <n v="0"/>
    <n v="0"/>
    <n v="0"/>
    <x v="5"/>
    <s v="T. Rana"/>
  </r>
  <r>
    <n v="101261"/>
    <d v="2024-03-06T00:00:00"/>
    <x v="3"/>
    <s v="Krishna Kumar"/>
    <x v="3"/>
    <x v="6"/>
    <x v="6"/>
    <s v="Sneakers"/>
    <n v="8"/>
    <n v="2119.4299999999998"/>
    <n v="16955.439999999999"/>
    <n v="0.05"/>
    <x v="0"/>
    <s v="M. Ghosh"/>
  </r>
  <r>
    <n v="100681"/>
    <d v="2024-12-28T00:00:00"/>
    <x v="2"/>
    <s v="Arjun Gupta"/>
    <x v="1"/>
    <x v="1"/>
    <x v="0"/>
    <s v="Sofa 3-Seater"/>
    <n v="9"/>
    <n v="13000.34"/>
    <n v="117003.06"/>
    <n v="0"/>
    <x v="3"/>
    <s v="A. Menon"/>
  </r>
  <r>
    <n v="101096"/>
    <d v="2024-11-21T00:00:00"/>
    <x v="7"/>
    <s v="Rahul Bansal"/>
    <x v="2"/>
    <x v="5"/>
    <x v="6"/>
    <s v="Sandals"/>
    <n v="2"/>
    <n v="1760.25"/>
    <n v="3520.5"/>
    <n v="0.25"/>
    <x v="2"/>
    <s v="T. Rana"/>
  </r>
  <r>
    <n v="101928"/>
    <d v="2024-02-03T00:00:00"/>
    <x v="11"/>
    <s v="Ishaan Gupta"/>
    <x v="0"/>
    <x v="0"/>
    <x v="6"/>
    <s v="Running Shoes"/>
    <n v="7"/>
    <n v="2622.55"/>
    <n v="18357.850000000002"/>
    <n v="0.05"/>
    <x v="3"/>
    <s v="K. Iyer"/>
  </r>
  <r>
    <n v="101133"/>
    <d v="2024-08-10T00:00:00"/>
    <x v="5"/>
    <s v="Ayaan Kapoor"/>
    <x v="2"/>
    <x v="2"/>
    <x v="4"/>
    <s v="Wireless Earbuds"/>
    <n v="8"/>
    <n v="3744.53"/>
    <n v="29956.240000000002"/>
    <n v="0.05"/>
    <x v="2"/>
    <s v="S. Bhat"/>
  </r>
  <r>
    <n v="100542"/>
    <d v="2024-09-01T00:00:00"/>
    <x v="4"/>
    <s v="Neha Iyer"/>
    <x v="1"/>
    <x v="9"/>
    <x v="5"/>
    <s v="Mixer Grinder"/>
    <n v="9"/>
    <n v="10729.08"/>
    <n v="96561.72"/>
    <n v="0.2"/>
    <x v="5"/>
    <s v="A. Menon"/>
  </r>
  <r>
    <n v="101063"/>
    <d v="2024-01-17T00:00:00"/>
    <x v="9"/>
    <s v="Navya Das"/>
    <x v="0"/>
    <x v="8"/>
    <x v="0"/>
    <s v="Sofa 3-Seater"/>
    <n v="10"/>
    <n v="16036.27"/>
    <n v="160362.70000000001"/>
    <n v="0.05"/>
    <x v="4"/>
    <s v="A. Menon"/>
  </r>
  <r>
    <n v="100869"/>
    <d v="2024-10-14T00:00:00"/>
    <x v="10"/>
    <s v="Vivaan Kapoor"/>
    <x v="2"/>
    <x v="2"/>
    <x v="6"/>
    <s v="Leather Formal Shoes"/>
    <n v="4"/>
    <n v="3145.97"/>
    <n v="12583.88"/>
    <n v="0"/>
    <x v="0"/>
    <s v="R. Kulkarni"/>
  </r>
  <r>
    <n v="101382"/>
    <d v="2024-04-23T00:00:00"/>
    <x v="6"/>
    <s v="Pooja Agarwal"/>
    <x v="3"/>
    <x v="6"/>
    <x v="5"/>
    <s v="Electric Kettle"/>
    <n v="-2"/>
    <n v="4475.5200000000004"/>
    <n v="-8951.0400000000009"/>
    <n v="0.2"/>
    <x v="4"/>
    <s v="M. Ghosh"/>
  </r>
  <r>
    <n v="101902"/>
    <d v="2024-09-11T00:00:00"/>
    <x v="4"/>
    <s v="Anika Bansal"/>
    <x v="4"/>
    <x v="7"/>
    <x v="4"/>
    <s v="Laptop Air 14"/>
    <n v="7"/>
    <n v="13660.32"/>
    <n v="95622.239999999991"/>
    <n v="0"/>
    <x v="0"/>
    <s v="S. Bhat"/>
  </r>
  <r>
    <n v="101490"/>
    <d v="2024-09-03T00:00:00"/>
    <x v="4"/>
    <s v="Ishaan Pillai"/>
    <x v="4"/>
    <x v="7"/>
    <x v="4"/>
    <s v="Smartphone X200"/>
    <n v="8"/>
    <n v="36310.629999999997"/>
    <n v="290485.03999999998"/>
    <n v="0.15"/>
    <x v="1"/>
    <s v="D. Chawla"/>
  </r>
  <r>
    <n v="100937"/>
    <d v="2024-12-21T00:00:00"/>
    <x v="2"/>
    <s v="Saanvi Singh"/>
    <x v="1"/>
    <x v="1"/>
    <x v="4"/>
    <s v="Smartphone X200"/>
    <n v="2"/>
    <n v="40550.449999999997"/>
    <n v="81100.899999999994"/>
    <n v="0"/>
    <x v="2"/>
    <s v="K. Iyer"/>
  </r>
  <r>
    <n v="101306"/>
    <d v="2024-03-30T00:00:00"/>
    <x v="3"/>
    <s v="Ishaan Singh"/>
    <x v="2"/>
    <x v="5"/>
    <x v="5"/>
    <s v="Air Cooler"/>
    <n v="10"/>
    <n v="0"/>
    <n v="0"/>
    <n v="0"/>
    <x v="1"/>
    <s v="D. Chawla"/>
  </r>
  <r>
    <n v="101017"/>
    <d v="2024-10-21T00:00:00"/>
    <x v="10"/>
    <s v="Myra Singh"/>
    <x v="2"/>
    <x v="2"/>
    <x v="0"/>
    <s v="Bookshelf"/>
    <n v="7"/>
    <n v="5384.74"/>
    <n v="37693.18"/>
    <n v="0.05"/>
    <x v="1"/>
    <s v="K. Iyer"/>
  </r>
  <r>
    <n v="101105"/>
    <d v="2024-12-27T00:00:00"/>
    <x v="2"/>
    <s v="Arjun Iyer"/>
    <x v="0"/>
    <x v="8"/>
    <x v="6"/>
    <s v="Running Shoes"/>
    <n v="7"/>
    <n v="0"/>
    <n v="0"/>
    <n v="0.25"/>
    <x v="5"/>
    <s v="S. Bhat"/>
  </r>
  <r>
    <n v="101596"/>
    <d v="2024-03-09T00:00:00"/>
    <x v="3"/>
    <s v="Ayaan Verma"/>
    <x v="4"/>
    <x v="4"/>
    <x v="6"/>
    <s v="Sandals"/>
    <n v="8"/>
    <n v="4373.2700000000004"/>
    <n v="34986.160000000003"/>
    <n v="0.1"/>
    <x v="2"/>
    <s v="M. Ghosh"/>
  </r>
  <r>
    <n v="101843"/>
    <d v="2024-10-26T00:00:00"/>
    <x v="10"/>
    <s v="Aarav Gupta"/>
    <x v="3"/>
    <x v="6"/>
    <x v="4"/>
    <s v="Wireless Earbuds"/>
    <n v="6"/>
    <n v="33669.550000000003"/>
    <n v="202017.30000000002"/>
    <n v="0"/>
    <x v="2"/>
    <s v="R. Kulkarni"/>
  </r>
  <r>
    <n v="101807"/>
    <d v="2024-02-22T00:00:00"/>
    <x v="11"/>
    <s v="Krishna Kumar"/>
    <x v="3"/>
    <x v="3"/>
    <x v="5"/>
    <s v="Air Cooler"/>
    <n v="11"/>
    <n v="3456.93"/>
    <n v="38026.229999999996"/>
    <n v="0.2"/>
    <x v="5"/>
    <s v="R. Kulkarni"/>
  </r>
  <r>
    <n v="101372"/>
    <d v="2024-11-08T00:00:00"/>
    <x v="7"/>
    <s v="Diya Gupta"/>
    <x v="2"/>
    <x v="2"/>
    <x v="0"/>
    <s v="Wooden Dining Table"/>
    <n v="1"/>
    <n v="2859.16"/>
    <n v="2859.16"/>
    <n v="0.25"/>
    <x v="2"/>
    <s v="R. Kulkarni"/>
  </r>
  <r>
    <n v="101842"/>
    <d v="2024-08-28T00:00:00"/>
    <x v="5"/>
    <s v="Arjun Nair"/>
    <x v="0"/>
    <x v="8"/>
    <x v="3"/>
    <s v="Tea Pack 500g"/>
    <n v="11"/>
    <n v="366.96"/>
    <n v="4036.56"/>
    <n v="0"/>
    <x v="0"/>
    <s v="D. Chawla"/>
  </r>
  <r>
    <n v="101856"/>
    <d v="2024-04-22T00:00:00"/>
    <x v="6"/>
    <s v="Aditya Patel"/>
    <x v="2"/>
    <x v="5"/>
    <x v="1"/>
    <s v="Women's Kurti"/>
    <n v="12"/>
    <n v="2463.41"/>
    <n v="29560.92"/>
    <n v="0"/>
    <x v="1"/>
    <s v="S. Bhat"/>
  </r>
  <r>
    <n v="101676"/>
    <d v="2024-09-28T00:00:00"/>
    <x v="4"/>
    <s v="Myra Reddy"/>
    <x v="4"/>
    <x v="7"/>
    <x v="3"/>
    <s v="Basmati Rice 5kg"/>
    <n v="10"/>
    <n v="731.53"/>
    <n v="7315.2999999999993"/>
    <n v="0"/>
    <x v="3"/>
    <s v="A. Menon"/>
  </r>
  <r>
    <n v="100934"/>
    <d v="2024-10-18T00:00:00"/>
    <x v="10"/>
    <s v="Navya Sharma"/>
    <x v="4"/>
    <x v="7"/>
    <x v="1"/>
    <s v="Women's Kurti"/>
    <n v="-3"/>
    <n v="2071.65"/>
    <n v="-6214.9500000000007"/>
    <n v="0"/>
    <x v="0"/>
    <s v="T. Rana"/>
  </r>
  <r>
    <n v="100337"/>
    <d v="2024-05-25T00:00:00"/>
    <x v="8"/>
    <s v="Reyansh Verma"/>
    <x v="4"/>
    <x v="4"/>
    <x v="5"/>
    <s v="Microwave Oven"/>
    <n v="6"/>
    <n v="7874.76"/>
    <n v="47248.56"/>
    <n v="0.25"/>
    <x v="3"/>
    <s v="S. Bhat"/>
  </r>
  <r>
    <n v="100233"/>
    <d v="2024-04-14T00:00:00"/>
    <x v="6"/>
    <s v="Aarav Das"/>
    <x v="2"/>
    <x v="5"/>
    <x v="6"/>
    <s v="Leather Formal Shoes"/>
    <n v="6"/>
    <n v="2000.25"/>
    <n v="12001.5"/>
    <n v="0"/>
    <x v="3"/>
    <s v="M. Ghosh"/>
  </r>
  <r>
    <n v="101918"/>
    <d v="2024-01-03T00:00:00"/>
    <x v="9"/>
    <s v="Aditya Bose"/>
    <x v="3"/>
    <x v="6"/>
    <x v="4"/>
    <s v="Smartphone X200"/>
    <n v="5"/>
    <n v="32024.77"/>
    <n v="160123.85"/>
    <n v="0"/>
    <x v="5"/>
    <s v="S. Bhat"/>
  </r>
  <r>
    <n v="101900"/>
    <d v="2024-03-14T00:00:00"/>
    <x v="3"/>
    <s v="Ayaan Malhotra"/>
    <x v="3"/>
    <x v="3"/>
    <x v="0"/>
    <s v="Sofa 3-Seater"/>
    <n v="12"/>
    <n v="9971.2900000000009"/>
    <n v="119655.48000000001"/>
    <n v="0.1"/>
    <x v="2"/>
    <s v="P. Trivedi"/>
  </r>
  <r>
    <n v="100159"/>
    <d v="2024-04-24T00:00:00"/>
    <x v="6"/>
    <s v="(Unknown)"/>
    <x v="0"/>
    <x v="8"/>
    <x v="6"/>
    <s v="Sandals"/>
    <n v="5"/>
    <n v="3969.9"/>
    <n v="19849.5"/>
    <n v="0.25"/>
    <x v="5"/>
    <s v="P. Trivedi"/>
  </r>
  <r>
    <n v="100469"/>
    <d v="2024-12-10T00:00:00"/>
    <x v="2"/>
    <s v="Ishaan Iyer"/>
    <x v="2"/>
    <x v="2"/>
    <x v="0"/>
    <s v="Office Chair"/>
    <n v="11"/>
    <n v="10064.11"/>
    <n v="110705.21"/>
    <n v="0"/>
    <x v="1"/>
    <s v="P. Trivedi"/>
  </r>
  <r>
    <n v="100900"/>
    <d v="2024-06-09T00:00:00"/>
    <x v="0"/>
    <s v="Ananya Kapoor"/>
    <x v="3"/>
    <x v="6"/>
    <x v="6"/>
    <s v="Leather Formal Shoes"/>
    <n v="7"/>
    <n v="4247.13"/>
    <n v="29729.91"/>
    <n v="0"/>
    <x v="2"/>
    <s v="S. Bhat"/>
  </r>
  <r>
    <n v="100873"/>
    <d v="2024-10-17T00:00:00"/>
    <x v="10"/>
    <s v="Neha Rao"/>
    <x v="0"/>
    <x v="8"/>
    <x v="2"/>
    <s v="Notebook Pack"/>
    <n v="4"/>
    <n v="277.23"/>
    <n v="1108.92"/>
    <n v="0"/>
    <x v="2"/>
    <s v="S. Bhat"/>
  </r>
  <r>
    <n v="101638"/>
    <d v="2024-10-03T00:00:00"/>
    <x v="10"/>
    <s v="Riya Bose"/>
    <x v="0"/>
    <x v="0"/>
    <x v="4"/>
    <s v="Wireless Earbuds"/>
    <n v="9"/>
    <n v="12887.89"/>
    <n v="115991.01"/>
    <n v="0"/>
    <x v="0"/>
    <s v="A. Menon"/>
  </r>
  <r>
    <n v="101047"/>
    <d v="2024-05-06T00:00:00"/>
    <x v="8"/>
    <s v="Neha Patel"/>
    <x v="0"/>
    <x v="8"/>
    <x v="4"/>
    <s v="Laptop Air 14"/>
    <n v="7"/>
    <n v="0"/>
    <n v="0"/>
    <n v="0"/>
    <x v="1"/>
    <s v="M. Ghosh"/>
  </r>
  <r>
    <n v="101065"/>
    <d v="2024-02-03T00:00:00"/>
    <x v="11"/>
    <s v="Sneha Verma"/>
    <x v="2"/>
    <x v="2"/>
    <x v="4"/>
    <s v="Smartphone X200"/>
    <n v="8"/>
    <n v="14440.85"/>
    <n v="115526.8"/>
    <n v="0"/>
    <x v="4"/>
    <s v="S. Bhat"/>
  </r>
  <r>
    <n v="101140"/>
    <d v="2024-09-21T00:00:00"/>
    <x v="4"/>
    <s v="Myra Malhotra"/>
    <x v="3"/>
    <x v="3"/>
    <x v="6"/>
    <s v="Leather Formal Shoes"/>
    <n v="12"/>
    <n v="1924.85"/>
    <n v="23098.199999999997"/>
    <n v="0.2"/>
    <x v="0"/>
    <s v="R. Kulkarni"/>
  </r>
  <r>
    <n v="100586"/>
    <d v="2024-07-24T00:00:00"/>
    <x v="1"/>
    <s v="Rohan Bansal"/>
    <x v="4"/>
    <x v="7"/>
    <x v="6"/>
    <s v="Leather Formal Shoes"/>
    <n v="3"/>
    <n v="1795.06"/>
    <n v="5385.18"/>
    <n v="0"/>
    <x v="5"/>
    <s v="P. Trivedi"/>
  </r>
  <r>
    <n v="100206"/>
    <d v="2024-01-17T00:00:00"/>
    <x v="9"/>
    <s v="Rohan Das"/>
    <x v="1"/>
    <x v="1"/>
    <x v="5"/>
    <s v="Electric Kettle"/>
    <n v="5"/>
    <n v="6135.52"/>
    <n v="30677.600000000002"/>
    <n v="0"/>
    <x v="3"/>
    <s v="A. Menon"/>
  </r>
  <r>
    <n v="100004"/>
    <d v="2024-07-01T00:00:00"/>
    <x v="1"/>
    <s v="Saanvi Iyer"/>
    <x v="0"/>
    <x v="8"/>
    <x v="3"/>
    <s v="Wheat Flour 10kg"/>
    <n v="11"/>
    <n v="891.09"/>
    <n v="9801.99"/>
    <n v="0"/>
    <x v="4"/>
    <s v="K. Iyer"/>
  </r>
  <r>
    <n v="101442"/>
    <d v="2024-10-29T00:00:00"/>
    <x v="10"/>
    <s v="Aadhya Singh"/>
    <x v="0"/>
    <x v="8"/>
    <x v="6"/>
    <s v="Sneakers"/>
    <n v="11"/>
    <n v="3209.71"/>
    <n v="35306.81"/>
    <n v="0"/>
    <x v="2"/>
    <s v="D. Chawla"/>
  </r>
  <r>
    <n v="101956"/>
    <d v="2024-08-29T00:00:00"/>
    <x v="5"/>
    <s v="Myra Verma"/>
    <x v="2"/>
    <x v="2"/>
    <x v="6"/>
    <s v="Sneakers"/>
    <n v="1"/>
    <n v="3508.1"/>
    <n v="3508.1"/>
    <n v="0.2"/>
    <x v="1"/>
    <s v="D. Chawla"/>
  </r>
  <r>
    <n v="101519"/>
    <d v="2024-11-08T00:00:00"/>
    <x v="7"/>
    <s v="Diya Das"/>
    <x v="1"/>
    <x v="1"/>
    <x v="1"/>
    <s v="Kids T-Shirt"/>
    <n v="5"/>
    <n v="905.9"/>
    <n v="4529.5"/>
    <n v="0.05"/>
    <x v="2"/>
    <s v="D. Chawla"/>
  </r>
  <r>
    <n v="101865"/>
    <d v="2024-02-06T00:00:00"/>
    <x v="11"/>
    <s v="Aarav Kumar"/>
    <x v="2"/>
    <x v="5"/>
    <x v="6"/>
    <s v="Leather Formal Shoes"/>
    <n v="3"/>
    <n v="1120.55"/>
    <n v="3361.6499999999996"/>
    <n v="0.25"/>
    <x v="2"/>
    <s v="A. Menon"/>
  </r>
  <r>
    <n v="101234"/>
    <d v="2024-05-11T00:00:00"/>
    <x v="8"/>
    <s v="Sneha Joshi"/>
    <x v="2"/>
    <x v="5"/>
    <x v="2"/>
    <s v="Gel Pen Set"/>
    <n v="1"/>
    <n v="166.85"/>
    <n v="166.85"/>
    <n v="0"/>
    <x v="1"/>
    <s v="R. Kulkarni"/>
  </r>
  <r>
    <n v="101430"/>
    <d v="2024-05-04T00:00:00"/>
    <x v="8"/>
    <s v="Sai Chopra"/>
    <x v="3"/>
    <x v="3"/>
    <x v="2"/>
    <s v="A4 Paper Ream"/>
    <n v="12"/>
    <n v="262.76"/>
    <n v="3153.12"/>
    <n v="0.1"/>
    <x v="1"/>
    <s v="M. Ghosh"/>
  </r>
  <r>
    <n v="100694"/>
    <d v="2024-07-19T00:00:00"/>
    <x v="1"/>
    <s v="Aadhya Mehta"/>
    <x v="4"/>
    <x v="7"/>
    <x v="2"/>
    <s v="Notebook Pack"/>
    <n v="9"/>
    <n v="380.81"/>
    <n v="3427.29"/>
    <n v="0.1"/>
    <x v="3"/>
    <s v="R. Kulkarni"/>
  </r>
  <r>
    <n v="101693"/>
    <d v="2024-11-04T00:00:00"/>
    <x v="7"/>
    <s v="Aadhya Kapoor"/>
    <x v="4"/>
    <x v="7"/>
    <x v="2"/>
    <s v="Geometry Box"/>
    <n v="12"/>
    <n v="446.68"/>
    <n v="5360.16"/>
    <n v="0"/>
    <x v="4"/>
    <s v="P. Trivedi"/>
  </r>
  <r>
    <n v="101896"/>
    <d v="2024-04-28T00:00:00"/>
    <x v="6"/>
    <s v="Rahul Kapoor"/>
    <x v="4"/>
    <x v="4"/>
    <x v="1"/>
    <s v="Men's Denim Jacket"/>
    <n v="6"/>
    <n v="2869.95"/>
    <n v="17219.699999999997"/>
    <n v="0"/>
    <x v="0"/>
    <s v="M. Ghosh"/>
  </r>
  <r>
    <n v="100715"/>
    <d v="2024-12-05T00:00:00"/>
    <x v="2"/>
    <s v="Rahul Agarwal"/>
    <x v="0"/>
    <x v="0"/>
    <x v="4"/>
    <s v="Smartphone X200"/>
    <n v="2"/>
    <n v="2279.3000000000002"/>
    <n v="4558.6000000000004"/>
    <n v="0.25"/>
    <x v="2"/>
    <s v="R. Kulkarni"/>
  </r>
  <r>
    <n v="101932"/>
    <d v="2024-04-18T00:00:00"/>
    <x v="6"/>
    <s v="Riya Kumar"/>
    <x v="0"/>
    <x v="8"/>
    <x v="4"/>
    <s v="Wireless Earbuds"/>
    <n v="11"/>
    <n v="11873"/>
    <n v="130603"/>
    <n v="0"/>
    <x v="5"/>
    <s v="P. Trivedi"/>
  </r>
  <r>
    <n v="101612"/>
    <d v="2024-07-06T00:00:00"/>
    <x v="1"/>
    <s v="Rohan Joshi"/>
    <x v="4"/>
    <x v="4"/>
    <x v="3"/>
    <s v="Tea Pack 500g"/>
    <n v="8"/>
    <n v="666.05"/>
    <n v="5328.4"/>
    <n v="0"/>
    <x v="2"/>
    <s v="S. Bhat"/>
  </r>
  <r>
    <n v="100884"/>
    <d v="2024-02-01T00:00:00"/>
    <x v="11"/>
    <s v="(Unknown)"/>
    <x v="1"/>
    <x v="1"/>
    <x v="1"/>
    <s v="Women's Kurti"/>
    <n v="1"/>
    <n v="1097.23"/>
    <n v="1097.23"/>
    <n v="0"/>
    <x v="5"/>
    <s v="K. Iyer"/>
  </r>
  <r>
    <n v="101862"/>
    <d v="2024-01-07T00:00:00"/>
    <x v="9"/>
    <s v="Diya Mehta"/>
    <x v="1"/>
    <x v="9"/>
    <x v="1"/>
    <s v="Formal Shirt"/>
    <n v="10"/>
    <n v="3257.93"/>
    <n v="32579.3"/>
    <n v="0.2"/>
    <x v="3"/>
    <s v="D. Chawla"/>
  </r>
  <r>
    <n v="101073"/>
    <d v="2024-12-23T00:00:00"/>
    <x v="2"/>
    <s v="Ananya Mehta"/>
    <x v="0"/>
    <x v="0"/>
    <x v="0"/>
    <s v="Office Chair"/>
    <m/>
    <n v="23201.99"/>
    <n v="0"/>
    <n v="0.1"/>
    <x v="3"/>
    <s v="P. Trivedi"/>
  </r>
  <r>
    <n v="101127"/>
    <d v="2024-04-19T00:00:00"/>
    <x v="6"/>
    <s v="Krishna Bansal"/>
    <x v="2"/>
    <x v="2"/>
    <x v="4"/>
    <s v="Smartphone X200"/>
    <n v="1"/>
    <n v="33977.339999999997"/>
    <n v="33977.339999999997"/>
    <n v="0"/>
    <x v="0"/>
    <s v="D. Chawla"/>
  </r>
  <r>
    <n v="101308"/>
    <d v="2024-01-08T00:00:00"/>
    <x v="9"/>
    <s v="Karan Joshi"/>
    <x v="0"/>
    <x v="0"/>
    <x v="1"/>
    <s v="Women's Kurti"/>
    <n v="8"/>
    <n v="1462.09"/>
    <n v="11696.72"/>
    <n v="0.15"/>
    <x v="4"/>
    <s v="K. Iyer"/>
  </r>
  <r>
    <n v="101075"/>
    <d v="2024-01-07T00:00:00"/>
    <x v="9"/>
    <s v="Reyansh Verma"/>
    <x v="2"/>
    <x v="2"/>
    <x v="6"/>
    <s v="Sandals"/>
    <n v="7"/>
    <n v="862.17"/>
    <n v="6035.19"/>
    <n v="0.05"/>
    <x v="1"/>
    <s v="M. Ghosh"/>
  </r>
  <r>
    <n v="100158"/>
    <d v="2024-06-06T00:00:00"/>
    <x v="0"/>
    <s v="Riya Das"/>
    <x v="2"/>
    <x v="2"/>
    <x v="5"/>
    <s v="Ceiling Fan"/>
    <n v="7"/>
    <n v="11009.93"/>
    <n v="77069.510000000009"/>
    <n v="0.1"/>
    <x v="0"/>
    <s v="A. Menon"/>
  </r>
  <r>
    <n v="101283"/>
    <d v="2024-08-01T00:00:00"/>
    <x v="5"/>
    <s v="Aarav Rao"/>
    <x v="2"/>
    <x v="2"/>
    <x v="0"/>
    <s v="Bookshelf"/>
    <n v="1"/>
    <n v="22301.040000000001"/>
    <n v="22301.040000000001"/>
    <n v="0"/>
    <x v="2"/>
    <s v="S. Bhat"/>
  </r>
  <r>
    <n v="100524"/>
    <d v="2024-08-08T00:00:00"/>
    <x v="5"/>
    <s v="Vihaan Kapoor"/>
    <x v="3"/>
    <x v="6"/>
    <x v="4"/>
    <s v="Laptop Air 14"/>
    <n v="11"/>
    <n v="19814.48"/>
    <n v="217959.28"/>
    <n v="0"/>
    <x v="1"/>
    <s v="S. Bhat"/>
  </r>
  <r>
    <n v="100463"/>
    <d v="2024-03-22T00:00:00"/>
    <x v="3"/>
    <s v="Reyansh Verma"/>
    <x v="1"/>
    <x v="1"/>
    <x v="1"/>
    <s v="Men's Denim Jacket"/>
    <n v="4"/>
    <n v="2089.75"/>
    <n v="8359"/>
    <n v="0.2"/>
    <x v="2"/>
    <s v="T. Rana"/>
  </r>
  <r>
    <n v="100653"/>
    <d v="2024-04-12T00:00:00"/>
    <x v="6"/>
    <s v="Karan Verma"/>
    <x v="4"/>
    <x v="4"/>
    <x v="0"/>
    <s v="Bookshelf"/>
    <n v="9"/>
    <n v="6548.4"/>
    <n v="58935.6"/>
    <n v="0.25"/>
    <x v="5"/>
    <s v="D. Chawla"/>
  </r>
  <r>
    <n v="100161"/>
    <d v="2024-03-20T00:00:00"/>
    <x v="3"/>
    <s v="Ayaan Verma"/>
    <x v="2"/>
    <x v="5"/>
    <x v="5"/>
    <s v="Air Cooler"/>
    <n v="12"/>
    <n v="9685.5400000000009"/>
    <n v="116226.48000000001"/>
    <n v="0"/>
    <x v="2"/>
    <s v="P. Trivedi"/>
  </r>
  <r>
    <n v="100306"/>
    <d v="2024-01-10T00:00:00"/>
    <x v="9"/>
    <s v="Ayaan Reddy"/>
    <x v="3"/>
    <x v="6"/>
    <x v="4"/>
    <s v="Bluetooth Speaker"/>
    <n v="8"/>
    <n v="2061.0500000000002"/>
    <n v="16488.400000000001"/>
    <n v="0"/>
    <x v="2"/>
    <s v="S. Bhat"/>
  </r>
  <r>
    <n v="100657"/>
    <d v="2024-02-18T00:00:00"/>
    <x v="11"/>
    <s v="Rahul Reddy"/>
    <x v="1"/>
    <x v="1"/>
    <x v="3"/>
    <s v="Cooking Oil 1L"/>
    <n v="8"/>
    <n v="588.11"/>
    <n v="4704.88"/>
    <n v="0.15"/>
    <x v="3"/>
    <s v="M. Ghosh"/>
  </r>
  <r>
    <n v="100548"/>
    <d v="2024-11-09T00:00:00"/>
    <x v="7"/>
    <s v="Nisha Iyer"/>
    <x v="3"/>
    <x v="3"/>
    <x v="6"/>
    <s v="Leather Formal Shoes"/>
    <n v="1"/>
    <n v="2029.83"/>
    <n v="2029.83"/>
    <n v="0.05"/>
    <x v="5"/>
    <s v="R. Kulkarni"/>
  </r>
  <r>
    <n v="100714"/>
    <d v="2024-11-21T00:00:00"/>
    <x v="7"/>
    <s v="Reyansh Kapoor"/>
    <x v="3"/>
    <x v="3"/>
    <x v="3"/>
    <s v="Cooking Oil 1L"/>
    <n v="12"/>
    <n v="229.4"/>
    <n v="2752.8"/>
    <n v="0.2"/>
    <x v="3"/>
    <s v="D. Chawla"/>
  </r>
  <r>
    <n v="100396"/>
    <d v="2024-12-11T00:00:00"/>
    <x v="2"/>
    <s v="Sneha Bose"/>
    <x v="3"/>
    <x v="3"/>
    <x v="2"/>
    <s v="Geometry Box"/>
    <n v="12"/>
    <n v="576.65"/>
    <n v="6919.7999999999993"/>
    <n v="0"/>
    <x v="4"/>
    <s v="D. Chawla"/>
  </r>
  <r>
    <n v="100784"/>
    <d v="2024-08-13T00:00:00"/>
    <x v="5"/>
    <s v="Rahul Agarwal"/>
    <x v="0"/>
    <x v="0"/>
    <x v="5"/>
    <s v="Mixer Grinder"/>
    <n v="5"/>
    <n v="7669.71"/>
    <n v="38348.550000000003"/>
    <n v="0.05"/>
    <x v="1"/>
    <s v="D. Chawla"/>
  </r>
  <r>
    <n v="100400"/>
    <d v="2024-02-11T00:00:00"/>
    <x v="11"/>
    <s v="Anika Bansal"/>
    <x v="1"/>
    <x v="1"/>
    <x v="6"/>
    <s v="Sandals"/>
    <n v="5"/>
    <n v="1641.41"/>
    <n v="8207.0500000000011"/>
    <n v="0.15"/>
    <x v="1"/>
    <s v="R. Kulkarni"/>
  </r>
  <r>
    <n v="100799"/>
    <d v="2024-09-08T00:00:00"/>
    <x v="4"/>
    <s v="Sneha Agarwal"/>
    <x v="3"/>
    <x v="6"/>
    <x v="2"/>
    <s v="Gel Pen Set"/>
    <n v="1"/>
    <n v="164.97"/>
    <n v="164.97"/>
    <n v="0.1"/>
    <x v="5"/>
    <s v="A. Menon"/>
  </r>
  <r>
    <n v="100619"/>
    <d v="2024-02-23T00:00:00"/>
    <x v="11"/>
    <s v="Priya Kumar"/>
    <x v="0"/>
    <x v="0"/>
    <x v="3"/>
    <s v="Cooking Oil 1L"/>
    <n v="5"/>
    <n v="104.21"/>
    <n v="521.04999999999995"/>
    <n v="0"/>
    <x v="1"/>
    <s v="M. Ghosh"/>
  </r>
  <r>
    <n v="101732"/>
    <d v="2024-10-07T00:00:00"/>
    <x v="10"/>
    <s v="Aadhya Reddy"/>
    <x v="2"/>
    <x v="2"/>
    <x v="5"/>
    <s v="Microwave Oven"/>
    <n v="4"/>
    <n v="3663.1"/>
    <n v="14652.4"/>
    <n v="0"/>
    <x v="3"/>
    <s v="M. Ghosh"/>
  </r>
  <r>
    <n v="100509"/>
    <d v="2024-02-14T00:00:00"/>
    <x v="11"/>
    <s v="Nisha Verma"/>
    <x v="2"/>
    <x v="2"/>
    <x v="6"/>
    <s v="Sandals"/>
    <n v="7"/>
    <n v="3112.93"/>
    <n v="21790.51"/>
    <n v="0"/>
    <x v="4"/>
    <s v="R. Kulkarni"/>
  </r>
  <r>
    <n v="101391"/>
    <d v="2024-08-06T00:00:00"/>
    <x v="5"/>
    <s v="Aarav Verma"/>
    <x v="4"/>
    <x v="4"/>
    <x v="4"/>
    <s v="LED TV 42in"/>
    <n v="5"/>
    <n v="38304.83"/>
    <n v="191524.15000000002"/>
    <n v="0"/>
    <x v="0"/>
    <s v="P. Trivedi"/>
  </r>
  <r>
    <n v="100737"/>
    <d v="2024-01-10T00:00:00"/>
    <x v="9"/>
    <s v="Nisha Chopra"/>
    <x v="4"/>
    <x v="4"/>
    <x v="6"/>
    <s v="Running Shoes"/>
    <n v="7"/>
    <n v="4204.91"/>
    <n v="29434.37"/>
    <n v="0.05"/>
    <x v="0"/>
    <s v="R. Kulkarni"/>
  </r>
  <r>
    <n v="101159"/>
    <d v="2024-06-17T00:00:00"/>
    <x v="0"/>
    <s v="Aarav Bose"/>
    <x v="4"/>
    <x v="7"/>
    <x v="2"/>
    <s v="A4 Paper Ream"/>
    <n v="5"/>
    <n v="338.65"/>
    <n v="1693.25"/>
    <n v="0"/>
    <x v="2"/>
    <s v="S. Bhat"/>
  </r>
  <r>
    <n v="101696"/>
    <d v="2024-07-05T00:00:00"/>
    <x v="1"/>
    <s v="Nisha Kumar"/>
    <x v="4"/>
    <x v="4"/>
    <x v="1"/>
    <s v="Kids T-Shirt"/>
    <n v="-2"/>
    <n v="0"/>
    <n v="0"/>
    <n v="0"/>
    <x v="2"/>
    <s v="P. Trivedi"/>
  </r>
  <r>
    <n v="101085"/>
    <d v="2024-04-18T00:00:00"/>
    <x v="6"/>
    <s v="Aditya Chopra"/>
    <x v="3"/>
    <x v="3"/>
    <x v="3"/>
    <s v="Wheat Flour 10kg"/>
    <n v="-1"/>
    <n v="431.57"/>
    <n v="-431.57"/>
    <n v="0"/>
    <x v="3"/>
    <s v="D. Chawla"/>
  </r>
  <r>
    <n v="100868"/>
    <d v="2024-09-06T00:00:00"/>
    <x v="4"/>
    <s v="Ananya Iyer"/>
    <x v="4"/>
    <x v="4"/>
    <x v="3"/>
    <s v="Tea Pack 500g"/>
    <n v="1"/>
    <n v="694.95"/>
    <n v="694.95"/>
    <n v="0"/>
    <x v="5"/>
    <s v="S. Bhat"/>
  </r>
  <r>
    <n v="100460"/>
    <d v="2024-01-21T00:00:00"/>
    <x v="9"/>
    <s v="Diya Mehta"/>
    <x v="4"/>
    <x v="7"/>
    <x v="2"/>
    <s v="Geometry Box"/>
    <n v="8"/>
    <n v="592.1"/>
    <n v="4736.8"/>
    <n v="0"/>
    <x v="2"/>
    <s v="A. Menon"/>
  </r>
  <r>
    <n v="100971"/>
    <d v="2024-08-17T00:00:00"/>
    <x v="5"/>
    <s v="Aditya Patel"/>
    <x v="0"/>
    <x v="8"/>
    <x v="1"/>
    <s v="Winter Sweater"/>
    <n v="3"/>
    <n v="2960.3"/>
    <n v="8880.9000000000015"/>
    <n v="0.15"/>
    <x v="3"/>
    <s v="R. Kulkarni"/>
  </r>
  <r>
    <n v="100063"/>
    <d v="2024-03-11T00:00:00"/>
    <x v="3"/>
    <s v="Rohan Bansal"/>
    <x v="1"/>
    <x v="1"/>
    <x v="1"/>
    <s v="Women's Kurti"/>
    <n v="3"/>
    <n v="2267.44"/>
    <n v="6802.32"/>
    <n v="0.25"/>
    <x v="5"/>
    <s v="A. Menon"/>
  </r>
  <r>
    <n v="101851"/>
    <d v="2024-02-20T00:00:00"/>
    <x v="11"/>
    <s v="Karan Reddy"/>
    <x v="4"/>
    <x v="4"/>
    <x v="2"/>
    <s v="Gel Pen Set"/>
    <n v="1"/>
    <n v="160.9"/>
    <n v="160.9"/>
    <n v="0.05"/>
    <x v="1"/>
    <s v="K. Iyer"/>
  </r>
  <r>
    <n v="100872"/>
    <d v="2024-05-06T00:00:00"/>
    <x v="8"/>
    <s v="Neha Patel"/>
    <x v="2"/>
    <x v="2"/>
    <x v="4"/>
    <s v="LED TV 42in"/>
    <m/>
    <n v="5451.28"/>
    <n v="0"/>
    <n v="0.05"/>
    <x v="4"/>
    <s v="S. Bhat"/>
  </r>
  <r>
    <n v="100993"/>
    <d v="2024-03-01T00:00:00"/>
    <x v="3"/>
    <s v="Vikram Kumar"/>
    <x v="0"/>
    <x v="8"/>
    <x v="3"/>
    <s v="Tea Pack 500g"/>
    <n v="12"/>
    <n v="419.94"/>
    <n v="5039.28"/>
    <n v="0"/>
    <x v="0"/>
    <s v="M. Ghosh"/>
  </r>
  <r>
    <n v="101603"/>
    <d v="2024-05-28T00:00:00"/>
    <x v="8"/>
    <s v="Ira Nair"/>
    <x v="2"/>
    <x v="2"/>
    <x v="3"/>
    <s v="Cooking Oil 1L"/>
    <n v="12"/>
    <n v="881.46"/>
    <n v="10577.52"/>
    <n v="0.2"/>
    <x v="2"/>
    <s v="S. Bhat"/>
  </r>
  <r>
    <n v="100458"/>
    <d v="2024-05-10T00:00:00"/>
    <x v="8"/>
    <s v="(Unknown)"/>
    <x v="4"/>
    <x v="7"/>
    <x v="5"/>
    <s v="Electric Kettle"/>
    <n v="10"/>
    <n v="11926.92"/>
    <n v="119269.2"/>
    <n v="0.15"/>
    <x v="2"/>
    <s v="T. Rana"/>
  </r>
  <r>
    <n v="100973"/>
    <d v="2024-12-06T00:00:00"/>
    <x v="2"/>
    <s v="Aadhya Reddy"/>
    <x v="0"/>
    <x v="8"/>
    <x v="2"/>
    <s v="Gel Pen Set"/>
    <n v="10"/>
    <n v="457.87"/>
    <n v="4578.7"/>
    <n v="0"/>
    <x v="1"/>
    <s v="M. Ghosh"/>
  </r>
  <r>
    <n v="100479"/>
    <d v="2024-06-26T00:00:00"/>
    <x v="0"/>
    <s v="Reyansh Verma"/>
    <x v="2"/>
    <x v="2"/>
    <x v="6"/>
    <s v="Running Shoes"/>
    <n v="11"/>
    <n v="2743.83"/>
    <n v="30182.129999999997"/>
    <n v="0.2"/>
    <x v="5"/>
    <s v="T. Rana"/>
  </r>
  <r>
    <n v="101494"/>
    <d v="2024-07-03T00:00:00"/>
    <x v="1"/>
    <s v="Sneha Bose"/>
    <x v="0"/>
    <x v="0"/>
    <x v="6"/>
    <s v="Leather Formal Shoes"/>
    <n v="5"/>
    <n v="3189.55"/>
    <n v="15947.75"/>
    <n v="0"/>
    <x v="5"/>
    <s v="K. Iyer"/>
  </r>
  <r>
    <n v="101536"/>
    <d v="2024-12-21T00:00:00"/>
    <x v="2"/>
    <s v="Reyansh Singh"/>
    <x v="0"/>
    <x v="0"/>
    <x v="1"/>
    <s v="Winter Sweater"/>
    <n v="11"/>
    <n v="1784.91"/>
    <n v="19634.010000000002"/>
    <n v="0.05"/>
    <x v="0"/>
    <s v="T. Rana"/>
  </r>
  <r>
    <n v="100871"/>
    <d v="2024-10-05T00:00:00"/>
    <x v="10"/>
    <s v="Kiara Chopra"/>
    <x v="3"/>
    <x v="3"/>
    <x v="0"/>
    <s v="Study Desk"/>
    <n v="4"/>
    <n v="19734.52"/>
    <n v="78938.080000000002"/>
    <n v="0"/>
    <x v="5"/>
    <s v="D. Chawla"/>
  </r>
  <r>
    <n v="100791"/>
    <d v="2024-08-12T00:00:00"/>
    <x v="5"/>
    <s v="Neha Kumar"/>
    <x v="2"/>
    <x v="2"/>
    <x v="0"/>
    <s v="Study Desk"/>
    <n v="5"/>
    <n v="24650.17"/>
    <n v="123250.84999999999"/>
    <n v="0.05"/>
    <x v="0"/>
    <s v="A. Menon"/>
  </r>
  <r>
    <n v="100618"/>
    <d v="2024-08-14T00:00:00"/>
    <x v="5"/>
    <s v="Riya Kapoor"/>
    <x v="0"/>
    <x v="8"/>
    <x v="5"/>
    <s v="Ceiling Fan"/>
    <n v="4"/>
    <n v="8864.9699999999993"/>
    <n v="35459.879999999997"/>
    <n v="0"/>
    <x v="3"/>
    <s v="D. Chawla"/>
  </r>
  <r>
    <n v="101879"/>
    <d v="2024-02-29T00:00:00"/>
    <x v="11"/>
    <s v="Reyansh Agarwal"/>
    <x v="3"/>
    <x v="6"/>
    <x v="6"/>
    <s v="Sandals"/>
    <n v="5"/>
    <n v="1658.6"/>
    <n v="8293"/>
    <n v="0"/>
    <x v="2"/>
    <s v="D. Chawla"/>
  </r>
  <r>
    <n v="101397"/>
    <d v="2024-07-04T00:00:00"/>
    <x v="1"/>
    <s v="Sai Malhotra"/>
    <x v="2"/>
    <x v="5"/>
    <x v="6"/>
    <s v="Running Shoes"/>
    <n v="-3"/>
    <n v="1186.92"/>
    <n v="-3560.76"/>
    <n v="0.2"/>
    <x v="0"/>
    <s v="P. Trivedi"/>
  </r>
  <r>
    <n v="101436"/>
    <d v="2024-10-12T00:00:00"/>
    <x v="10"/>
    <s v="(Unknown)"/>
    <x v="2"/>
    <x v="2"/>
    <x v="1"/>
    <s v="Men's Denim Jacket"/>
    <n v="1"/>
    <n v="508.46"/>
    <n v="508.46"/>
    <n v="0"/>
    <x v="5"/>
    <s v="M. Ghosh"/>
  </r>
  <r>
    <n v="101708"/>
    <d v="2024-01-19T00:00:00"/>
    <x v="9"/>
    <s v="Aarav Rao"/>
    <x v="3"/>
    <x v="6"/>
    <x v="2"/>
    <s v="Gel Pen Set"/>
    <n v="12"/>
    <n v="0"/>
    <n v="0"/>
    <n v="0.1"/>
    <x v="2"/>
    <s v="K. Iyer"/>
  </r>
  <r>
    <n v="101645"/>
    <d v="2024-10-14T00:00:00"/>
    <x v="10"/>
    <s v="Pooja Das"/>
    <x v="4"/>
    <x v="7"/>
    <x v="3"/>
    <s v="Wheat Flour 10kg"/>
    <n v="11"/>
    <n v="208.02"/>
    <n v="2288.2200000000003"/>
    <n v="0.05"/>
    <x v="1"/>
    <s v="D. Chawla"/>
  </r>
  <r>
    <n v="100348"/>
    <d v="2024-08-30T00:00:00"/>
    <x v="5"/>
    <s v="Myra Iyer"/>
    <x v="0"/>
    <x v="8"/>
    <x v="1"/>
    <s v="Kids T-Shirt"/>
    <n v="9"/>
    <n v="2498.48"/>
    <n v="22486.32"/>
    <n v="0.2"/>
    <x v="3"/>
    <s v="M. Ghosh"/>
  </r>
  <r>
    <n v="101088"/>
    <d v="2024-06-10T00:00:00"/>
    <x v="0"/>
    <s v="Navya Iyer"/>
    <x v="1"/>
    <x v="9"/>
    <x v="1"/>
    <s v="Winter Sweater"/>
    <n v="11"/>
    <n v="0"/>
    <n v="0"/>
    <n v="0.05"/>
    <x v="2"/>
    <s v="S. Bhat"/>
  </r>
  <r>
    <n v="101995"/>
    <d v="2024-04-02T00:00:00"/>
    <x v="6"/>
    <s v="Amit Iyer"/>
    <x v="3"/>
    <x v="3"/>
    <x v="3"/>
    <s v="Sugar 1kg"/>
    <n v="7"/>
    <n v="294.08999999999997"/>
    <n v="2058.6299999999997"/>
    <n v="0"/>
    <x v="3"/>
    <s v="K. Iyer"/>
  </r>
  <r>
    <n v="100979"/>
    <d v="2024-07-11T00:00:00"/>
    <x v="1"/>
    <s v="Ira Sharma"/>
    <x v="1"/>
    <x v="9"/>
    <x v="5"/>
    <s v="Electric Kettle"/>
    <n v="1"/>
    <n v="11493.28"/>
    <n v="11493.28"/>
    <n v="0.25"/>
    <x v="2"/>
    <s v="K. Iyer"/>
  </r>
  <r>
    <n v="100761"/>
    <d v="2024-12-17T00:00:00"/>
    <x v="2"/>
    <s v="Rahul Pillai"/>
    <x v="3"/>
    <x v="3"/>
    <x v="4"/>
    <s v="Smartphone X200"/>
    <n v="12"/>
    <n v="26856.11"/>
    <n v="322273.32"/>
    <n v="0.2"/>
    <x v="2"/>
    <s v="D. Chawla"/>
  </r>
  <r>
    <n v="100955"/>
    <d v="2024-01-13T00:00:00"/>
    <x v="9"/>
    <s v="Reyansh Mehta"/>
    <x v="3"/>
    <x v="6"/>
    <x v="5"/>
    <s v="Ceiling Fan"/>
    <n v="9"/>
    <n v="8991.2199999999993"/>
    <n v="80920.98"/>
    <n v="0"/>
    <x v="3"/>
    <s v="D. Chawla"/>
  </r>
  <r>
    <n v="100447"/>
    <d v="2024-12-19T00:00:00"/>
    <x v="2"/>
    <s v="Aadhya Malhotra"/>
    <x v="1"/>
    <x v="9"/>
    <x v="2"/>
    <s v="Notebook Pack"/>
    <n v="9"/>
    <n v="500.21"/>
    <n v="4501.8899999999994"/>
    <n v="0"/>
    <x v="0"/>
    <s v="T. Rana"/>
  </r>
  <r>
    <n v="100651"/>
    <d v="2024-09-17T00:00:00"/>
    <x v="4"/>
    <s v="Aadhya Rao"/>
    <x v="0"/>
    <x v="8"/>
    <x v="6"/>
    <s v="Sandals"/>
    <n v="8"/>
    <n v="2303.15"/>
    <n v="18425.2"/>
    <n v="0.05"/>
    <x v="1"/>
    <s v="D. Chawla"/>
  </r>
  <r>
    <n v="101252"/>
    <d v="2024-09-08T00:00:00"/>
    <x v="4"/>
    <s v="Aditya Reddy"/>
    <x v="1"/>
    <x v="1"/>
    <x v="6"/>
    <s v="Leather Formal Shoes"/>
    <n v="4"/>
    <n v="3310.47"/>
    <n v="13241.88"/>
    <n v="0"/>
    <x v="0"/>
    <s v="T. Rana"/>
  </r>
  <r>
    <n v="101818"/>
    <d v="2024-12-05T00:00:00"/>
    <x v="2"/>
    <s v="Ira Pillai"/>
    <x v="2"/>
    <x v="2"/>
    <x v="3"/>
    <s v="Tea Pack 500g"/>
    <n v="3"/>
    <n v="640.1"/>
    <n v="1920.3000000000002"/>
    <n v="0"/>
    <x v="0"/>
    <s v="M. Ghosh"/>
  </r>
  <r>
    <n v="100380"/>
    <d v="2024-07-09T00:00:00"/>
    <x v="1"/>
    <s v="Aditya Patel"/>
    <x v="0"/>
    <x v="8"/>
    <x v="1"/>
    <s v="Men's Denim Jacket"/>
    <n v="9"/>
    <n v="2351.3200000000002"/>
    <n v="21161.88"/>
    <n v="0.05"/>
    <x v="2"/>
    <s v="K. Iyer"/>
  </r>
  <r>
    <n v="100565"/>
    <d v="2024-09-24T00:00:00"/>
    <x v="4"/>
    <s v="Arjun Bansal"/>
    <x v="1"/>
    <x v="9"/>
    <x v="1"/>
    <s v="Formal Shirt"/>
    <n v="12"/>
    <n v="2535.88"/>
    <n v="30430.560000000001"/>
    <n v="0"/>
    <x v="3"/>
    <s v="T. Rana"/>
  </r>
  <r>
    <n v="101351"/>
    <d v="2024-08-27T00:00:00"/>
    <x v="5"/>
    <s v="Arjun Bansal"/>
    <x v="2"/>
    <x v="2"/>
    <x v="3"/>
    <s v="Basmati Rice 5kg"/>
    <m/>
    <n v="269.83"/>
    <n v="0"/>
    <n v="0"/>
    <x v="5"/>
    <s v="M. Ghosh"/>
  </r>
  <r>
    <n v="101762"/>
    <d v="2024-01-26T00:00:00"/>
    <x v="9"/>
    <s v="Priya Joshi"/>
    <x v="1"/>
    <x v="9"/>
    <x v="3"/>
    <s v="Sugar 1kg"/>
    <n v="1"/>
    <n v="337.68"/>
    <n v="337.68"/>
    <n v="0"/>
    <x v="1"/>
    <s v="S. Bhat"/>
  </r>
  <r>
    <n v="101298"/>
    <d v="2024-07-28T00:00:00"/>
    <x v="1"/>
    <s v="Reyansh Chopra"/>
    <x v="3"/>
    <x v="6"/>
    <x v="5"/>
    <s v="Mixer Grinder"/>
    <n v="2"/>
    <n v="9419.2800000000007"/>
    <n v="18838.560000000001"/>
    <n v="0.2"/>
    <x v="3"/>
    <s v="S. Bhat"/>
  </r>
  <r>
    <n v="100957"/>
    <d v="2024-01-08T00:00:00"/>
    <x v="9"/>
    <s v="Ishaan Mehta"/>
    <x v="4"/>
    <x v="4"/>
    <x v="3"/>
    <s v="Sugar 1kg"/>
    <n v="11"/>
    <n v="64.42"/>
    <n v="708.62"/>
    <n v="0"/>
    <x v="5"/>
    <s v="M. Ghosh"/>
  </r>
  <r>
    <n v="101942"/>
    <d v="2024-05-05T00:00:00"/>
    <x v="8"/>
    <s v="Nisha Chopra"/>
    <x v="2"/>
    <x v="2"/>
    <x v="3"/>
    <s v="Cooking Oil 1L"/>
    <n v="7"/>
    <n v="462.8"/>
    <n v="3239.6"/>
    <n v="0"/>
    <x v="0"/>
    <s v="S. Bhat"/>
  </r>
  <r>
    <n v="100987"/>
    <d v="2024-05-10T00:00:00"/>
    <x v="8"/>
    <s v="Aditya Singh"/>
    <x v="2"/>
    <x v="5"/>
    <x v="0"/>
    <s v="Office Chair"/>
    <n v="10"/>
    <n v="2530.33"/>
    <n v="25303.3"/>
    <n v="0.05"/>
    <x v="3"/>
    <s v="K. Iyer"/>
  </r>
  <r>
    <n v="100921"/>
    <d v="2024-11-03T00:00:00"/>
    <x v="7"/>
    <s v="Neha Kumar"/>
    <x v="2"/>
    <x v="5"/>
    <x v="6"/>
    <s v="Leather Formal Shoes"/>
    <n v="10"/>
    <n v="1122.21"/>
    <n v="11222.1"/>
    <n v="0.2"/>
    <x v="2"/>
    <s v="P. Trivedi"/>
  </r>
  <r>
    <n v="100232"/>
    <d v="2024-04-20T00:00:00"/>
    <x v="6"/>
    <s v="Nisha Chopra"/>
    <x v="0"/>
    <x v="8"/>
    <x v="5"/>
    <s v="Microwave Oven"/>
    <n v="3"/>
    <n v="8698.31"/>
    <n v="26094.93"/>
    <n v="0"/>
    <x v="5"/>
    <s v="K. Iyer"/>
  </r>
  <r>
    <n v="101227"/>
    <d v="2024-12-15T00:00:00"/>
    <x v="2"/>
    <s v="Amit Nair"/>
    <x v="3"/>
    <x v="6"/>
    <x v="2"/>
    <s v="Gel Pen Set"/>
    <n v="4"/>
    <n v="551.20000000000005"/>
    <n v="2204.8000000000002"/>
    <n v="0"/>
    <x v="4"/>
    <s v="R. Kulkarni"/>
  </r>
  <r>
    <n v="100383"/>
    <d v="2024-10-22T00:00:00"/>
    <x v="10"/>
    <s v="Reyansh Bansal"/>
    <x v="3"/>
    <x v="6"/>
    <x v="5"/>
    <s v="Ceiling Fan"/>
    <n v="1"/>
    <n v="11185.33"/>
    <n v="11185.33"/>
    <n v="0.15"/>
    <x v="2"/>
    <s v="M. Ghosh"/>
  </r>
  <r>
    <n v="100655"/>
    <d v="2024-12-28T00:00:00"/>
    <x v="2"/>
    <s v="Priya Reddy"/>
    <x v="3"/>
    <x v="3"/>
    <x v="4"/>
    <s v="Smartphone X200"/>
    <n v="4"/>
    <n v="19639.53"/>
    <n v="78558.12"/>
    <n v="0.25"/>
    <x v="2"/>
    <s v="P. Trivedi"/>
  </r>
  <r>
    <n v="101229"/>
    <d v="2024-08-28T00:00:00"/>
    <x v="5"/>
    <s v="Rohan Mehta"/>
    <x v="2"/>
    <x v="2"/>
    <x v="6"/>
    <s v="Running Shoes"/>
    <n v="12"/>
    <n v="940.8"/>
    <n v="11289.599999999999"/>
    <n v="0"/>
    <x v="5"/>
    <s v="P. Trivedi"/>
  </r>
  <r>
    <n v="100073"/>
    <d v="2024-05-26T00:00:00"/>
    <x v="8"/>
    <s v="Rohan Malhotra"/>
    <x v="1"/>
    <x v="9"/>
    <x v="4"/>
    <s v="Bluetooth Speaker"/>
    <n v="9"/>
    <n v="26323.87"/>
    <n v="236914.83"/>
    <n v="0"/>
    <x v="3"/>
    <s v="K. Iyer"/>
  </r>
  <r>
    <n v="100071"/>
    <d v="2024-03-06T00:00:00"/>
    <x v="3"/>
    <s v="Priya Kumar"/>
    <x v="3"/>
    <x v="6"/>
    <x v="4"/>
    <s v="Wireless Earbuds"/>
    <n v="-1"/>
    <n v="17767.32"/>
    <n v="-17767.32"/>
    <n v="0.15"/>
    <x v="4"/>
    <s v="R. Kulkarni"/>
  </r>
  <r>
    <n v="101349"/>
    <d v="2024-05-28T00:00:00"/>
    <x v="8"/>
    <s v="Vikram Patel"/>
    <x v="1"/>
    <x v="9"/>
    <x v="6"/>
    <s v="Running Shoes"/>
    <n v="1"/>
    <n v="3005.94"/>
    <n v="3005.94"/>
    <n v="0.15"/>
    <x v="2"/>
    <s v="A. Menon"/>
  </r>
  <r>
    <n v="101099"/>
    <d v="2024-08-02T00:00:00"/>
    <x v="5"/>
    <s v="(Unknown)"/>
    <x v="3"/>
    <x v="6"/>
    <x v="2"/>
    <s v="Notebook Pack"/>
    <n v="3"/>
    <n v="512.92999999999995"/>
    <n v="1538.79"/>
    <n v="0.25"/>
    <x v="2"/>
    <s v="P. Trivedi"/>
  </r>
  <r>
    <n v="100172"/>
    <d v="2024-09-10T00:00:00"/>
    <x v="4"/>
    <s v="Anika Bansal"/>
    <x v="2"/>
    <x v="5"/>
    <x v="4"/>
    <s v="Laptop Air 14"/>
    <n v="1"/>
    <n v="32031.27"/>
    <n v="32031.27"/>
    <n v="0.1"/>
    <x v="3"/>
    <s v="D. Chawla"/>
  </r>
  <r>
    <n v="101685"/>
    <d v="2024-06-13T00:00:00"/>
    <x v="0"/>
    <s v="Arjun Agarwal"/>
    <x v="1"/>
    <x v="9"/>
    <x v="5"/>
    <s v="Air Cooler"/>
    <n v="3"/>
    <n v="5737.27"/>
    <n v="17211.810000000001"/>
    <n v="0.1"/>
    <x v="0"/>
    <s v="D. Chawla"/>
  </r>
  <r>
    <n v="100169"/>
    <d v="2024-06-05T00:00:00"/>
    <x v="0"/>
    <s v="Reyansh Sharma"/>
    <x v="1"/>
    <x v="1"/>
    <x v="3"/>
    <s v="Cooking Oil 1L"/>
    <n v="8"/>
    <n v="572.30999999999995"/>
    <n v="4578.4799999999996"/>
    <n v="0.05"/>
    <x v="0"/>
    <s v="P. Trivedi"/>
  </r>
  <r>
    <n v="100494"/>
    <d v="2024-06-17T00:00:00"/>
    <x v="0"/>
    <s v="Aadhya Chopra"/>
    <x v="2"/>
    <x v="5"/>
    <x v="6"/>
    <s v="Leather Formal Shoes"/>
    <n v="1"/>
    <n v="1714.58"/>
    <n v="1714.58"/>
    <n v="0"/>
    <x v="5"/>
    <s v="A. Menon"/>
  </r>
  <r>
    <n v="101654"/>
    <d v="2024-09-12T00:00:00"/>
    <x v="4"/>
    <s v="Reyansh Rao"/>
    <x v="4"/>
    <x v="4"/>
    <x v="4"/>
    <s v="Smartwatch S3"/>
    <n v="5"/>
    <n v="34753.47"/>
    <n v="173767.35"/>
    <n v="0"/>
    <x v="5"/>
    <s v="A. Menon"/>
  </r>
  <r>
    <n v="101121"/>
    <d v="2024-08-22T00:00:00"/>
    <x v="5"/>
    <s v="Kiara Patel"/>
    <x v="2"/>
    <x v="2"/>
    <x v="4"/>
    <s v="Bluetooth Speaker"/>
    <n v="8"/>
    <n v="42286.98"/>
    <n v="338295.84"/>
    <n v="0"/>
    <x v="0"/>
    <s v="D. Chawla"/>
  </r>
  <r>
    <n v="101616"/>
    <d v="2024-04-23T00:00:00"/>
    <x v="6"/>
    <s v="Saanvi Verma"/>
    <x v="1"/>
    <x v="1"/>
    <x v="1"/>
    <s v="Kids T-Shirt"/>
    <n v="11"/>
    <n v="1051.43"/>
    <n v="11565.730000000001"/>
    <n v="0.25"/>
    <x v="1"/>
    <s v="M. Ghosh"/>
  </r>
  <r>
    <n v="100894"/>
    <d v="2024-02-29T00:00:00"/>
    <x v="11"/>
    <s v="Ayaan Kumar"/>
    <x v="1"/>
    <x v="1"/>
    <x v="0"/>
    <s v="Sofa 3-Seater"/>
    <m/>
    <n v="7217.31"/>
    <n v="0"/>
    <n v="0.15"/>
    <x v="4"/>
    <s v="K. Iyer"/>
  </r>
  <r>
    <n v="100273"/>
    <d v="2024-12-21T00:00:00"/>
    <x v="2"/>
    <s v="Sai Rao"/>
    <x v="4"/>
    <x v="7"/>
    <x v="5"/>
    <s v="Microwave Oven"/>
    <n v="11"/>
    <n v="9451.08"/>
    <n v="103961.88"/>
    <n v="0.15"/>
    <x v="2"/>
    <s v="P. Trivedi"/>
  </r>
  <r>
    <n v="101310"/>
    <d v="2024-03-04T00:00:00"/>
    <x v="3"/>
    <s v="Ishaan Singh"/>
    <x v="3"/>
    <x v="3"/>
    <x v="1"/>
    <s v="Formal Shirt"/>
    <n v="8"/>
    <n v="715.46"/>
    <n v="5723.68"/>
    <n v="0.25"/>
    <x v="4"/>
    <s v="K. Iyer"/>
  </r>
  <r>
    <n v="100421"/>
    <d v="2024-07-26T00:00:00"/>
    <x v="1"/>
    <s v="Ishaan Chopra"/>
    <x v="4"/>
    <x v="4"/>
    <x v="5"/>
    <s v="Mixer Grinder"/>
    <n v="2"/>
    <n v="1334.49"/>
    <n v="2668.98"/>
    <n v="0"/>
    <x v="2"/>
    <s v="R. Kulkarni"/>
  </r>
  <r>
    <n v="100095"/>
    <d v="2024-05-09T00:00:00"/>
    <x v="8"/>
    <s v="Anika Joshi"/>
    <x v="3"/>
    <x v="3"/>
    <x v="1"/>
    <s v="Formal Shirt"/>
    <n v="6"/>
    <n v="0"/>
    <n v="0"/>
    <n v="0.05"/>
    <x v="0"/>
    <s v="A. Menon"/>
  </r>
  <r>
    <n v="101383"/>
    <d v="2024-08-28T00:00:00"/>
    <x v="5"/>
    <s v="Rohan Bose"/>
    <x v="0"/>
    <x v="0"/>
    <x v="4"/>
    <s v="Laptop Air 14"/>
    <n v="1"/>
    <n v="36653.379999999997"/>
    <n v="36653.379999999997"/>
    <n v="0"/>
    <x v="4"/>
    <s v="P. Trivedi"/>
  </r>
  <r>
    <n v="101602"/>
    <d v="2024-06-27T00:00:00"/>
    <x v="0"/>
    <s v="Vikram Joshi"/>
    <x v="3"/>
    <x v="6"/>
    <x v="6"/>
    <s v="Sandals"/>
    <m/>
    <n v="2368.34"/>
    <n v="0"/>
    <n v="0.1"/>
    <x v="2"/>
    <s v="A. Menon"/>
  </r>
  <r>
    <n v="101716"/>
    <d v="2024-01-12T00:00:00"/>
    <x v="9"/>
    <s v="Aarav Nair"/>
    <x v="3"/>
    <x v="3"/>
    <x v="4"/>
    <s v="Laptop Air 14"/>
    <n v="7"/>
    <n v="3479.32"/>
    <n v="24355.24"/>
    <n v="0"/>
    <x v="1"/>
    <s v="K. Iyer"/>
  </r>
  <r>
    <n v="100043"/>
    <d v="2024-10-20T00:00:00"/>
    <x v="10"/>
    <s v="Aditya Bose"/>
    <x v="2"/>
    <x v="2"/>
    <x v="6"/>
    <s v="Sandals"/>
    <m/>
    <n v="3978.8"/>
    <n v="0"/>
    <n v="0"/>
    <x v="4"/>
    <s v="T. Rana"/>
  </r>
  <r>
    <n v="100057"/>
    <d v="2024-11-20T00:00:00"/>
    <x v="7"/>
    <s v="Amit Kapoor"/>
    <x v="4"/>
    <x v="4"/>
    <x v="1"/>
    <s v="Winter Sweater"/>
    <n v="2"/>
    <n v="1972.98"/>
    <n v="3945.96"/>
    <n v="0"/>
    <x v="4"/>
    <s v="R. Kulkarni"/>
  </r>
  <r>
    <n v="101619"/>
    <d v="2024-03-06T00:00:00"/>
    <x v="3"/>
    <s v="Myra Joshi"/>
    <x v="2"/>
    <x v="2"/>
    <x v="3"/>
    <s v="Wheat Flour 10kg"/>
    <m/>
    <n v="163.44"/>
    <n v="0"/>
    <n v="0"/>
    <x v="3"/>
    <s v="K. Iyer"/>
  </r>
  <r>
    <n v="101125"/>
    <d v="2024-06-18T00:00:00"/>
    <x v="0"/>
    <s v="Amit Kumar"/>
    <x v="1"/>
    <x v="9"/>
    <x v="2"/>
    <s v="A4 Paper Ream"/>
    <n v="10"/>
    <n v="428.46"/>
    <n v="4284.5999999999995"/>
    <n v="0.25"/>
    <x v="2"/>
    <s v="P. Trivedi"/>
  </r>
  <r>
    <n v="101189"/>
    <d v="2024-09-01T00:00:00"/>
    <x v="4"/>
    <s v="Anika Singh"/>
    <x v="3"/>
    <x v="3"/>
    <x v="4"/>
    <s v="LED TV 42in"/>
    <n v="7"/>
    <n v="13329.36"/>
    <n v="93305.52"/>
    <n v="0"/>
    <x v="1"/>
    <s v="M. Ghosh"/>
  </r>
  <r>
    <n v="101303"/>
    <d v="2024-09-15T00:00:00"/>
    <x v="4"/>
    <s v="Krishna Mehta"/>
    <x v="0"/>
    <x v="8"/>
    <x v="2"/>
    <s v="A4 Paper Ream"/>
    <n v="3"/>
    <n v="223.9"/>
    <n v="671.7"/>
    <n v="0.05"/>
    <x v="4"/>
    <s v="R. Kulkarni"/>
  </r>
  <r>
    <n v="100889"/>
    <d v="2024-08-01T00:00:00"/>
    <x v="5"/>
    <s v="Krishna Iyer"/>
    <x v="1"/>
    <x v="1"/>
    <x v="4"/>
    <s v="Smartwatch S3"/>
    <n v="5"/>
    <n v="25380.75"/>
    <n v="126903.75"/>
    <n v="0.1"/>
    <x v="2"/>
    <s v="D. Chawla"/>
  </r>
  <r>
    <n v="100575"/>
    <d v="2024-09-20T00:00:00"/>
    <x v="4"/>
    <s v="Vikram Pillai"/>
    <x v="0"/>
    <x v="0"/>
    <x v="5"/>
    <s v="Electric Kettle"/>
    <n v="1"/>
    <n v="0"/>
    <n v="0"/>
    <n v="0"/>
    <x v="2"/>
    <s v="R. Kulkarni"/>
  </r>
  <r>
    <n v="100039"/>
    <d v="2024-01-03T00:00:00"/>
    <x v="9"/>
    <s v="Karan Pillai"/>
    <x v="1"/>
    <x v="9"/>
    <x v="2"/>
    <s v="Geometry Box"/>
    <n v="1"/>
    <n v="407.67"/>
    <n v="407.67"/>
    <n v="0.15"/>
    <x v="4"/>
    <s v="K. Iyer"/>
  </r>
  <r>
    <n v="100307"/>
    <d v="2024-04-28T00:00:00"/>
    <x v="6"/>
    <s v="Arjun Kumar"/>
    <x v="2"/>
    <x v="2"/>
    <x v="4"/>
    <s v="LED TV 42in"/>
    <n v="8"/>
    <n v="22359.040000000001"/>
    <n v="178872.32000000001"/>
    <n v="0.15"/>
    <x v="0"/>
    <s v="A. Menon"/>
  </r>
  <r>
    <n v="100669"/>
    <d v="2024-09-07T00:00:00"/>
    <x v="4"/>
    <s v="Ishaan Chopra"/>
    <x v="2"/>
    <x v="5"/>
    <x v="4"/>
    <s v="Bluetooth Speaker"/>
    <n v="11"/>
    <n v="0"/>
    <n v="0"/>
    <n v="0.2"/>
    <x v="1"/>
    <s v="A. Menon"/>
  </r>
  <r>
    <n v="100007"/>
    <d v="2024-12-13T00:00:00"/>
    <x v="2"/>
    <s v="Vihaan Chopra"/>
    <x v="0"/>
    <x v="8"/>
    <x v="5"/>
    <s v="Air Cooler"/>
    <n v="9"/>
    <n v="7659.57"/>
    <n v="68936.13"/>
    <n v="0"/>
    <x v="5"/>
    <s v="P. Trivedi"/>
  </r>
  <r>
    <n v="101076"/>
    <d v="2024-09-15T00:00:00"/>
    <x v="4"/>
    <s v="Ira Bansal"/>
    <x v="3"/>
    <x v="3"/>
    <x v="5"/>
    <s v="Microwave Oven"/>
    <n v="8"/>
    <n v="1372.54"/>
    <n v="10980.32"/>
    <n v="0"/>
    <x v="2"/>
    <s v="M. Ghosh"/>
  </r>
  <r>
    <n v="100783"/>
    <d v="2024-06-13T00:00:00"/>
    <x v="0"/>
    <s v="Navya Malhotra"/>
    <x v="1"/>
    <x v="9"/>
    <x v="0"/>
    <s v="Wooden Dining Table"/>
    <n v="4"/>
    <n v="11283.98"/>
    <n v="45135.92"/>
    <n v="0.15"/>
    <x v="2"/>
    <s v="D. Chawla"/>
  </r>
  <r>
    <n v="100409"/>
    <d v="2024-03-10T00:00:00"/>
    <x v="3"/>
    <s v="Rohan Chopra"/>
    <x v="4"/>
    <x v="7"/>
    <x v="5"/>
    <s v="Electric Kettle"/>
    <n v="8"/>
    <n v="4989.57"/>
    <n v="39916.559999999998"/>
    <n v="0"/>
    <x v="2"/>
    <s v="K. Iyer"/>
  </r>
  <r>
    <n v="101905"/>
    <d v="2024-03-25T00:00:00"/>
    <x v="3"/>
    <s v="Vikram Das"/>
    <x v="1"/>
    <x v="1"/>
    <x v="3"/>
    <s v="Basmati Rice 5kg"/>
    <n v="8"/>
    <n v="101.29"/>
    <n v="810.32"/>
    <n v="0"/>
    <x v="4"/>
    <s v="D. Chawla"/>
  </r>
  <r>
    <n v="100782"/>
    <d v="2024-10-24T00:00:00"/>
    <x v="10"/>
    <s v="Aditya Joshi"/>
    <x v="1"/>
    <x v="1"/>
    <x v="2"/>
    <s v="A4 Paper Ream"/>
    <n v="9"/>
    <n v="503.28"/>
    <n v="4529.5199999999995"/>
    <n v="0"/>
    <x v="2"/>
    <s v="D. Chawla"/>
  </r>
  <r>
    <n v="100167"/>
    <d v="2024-01-11T00:00:00"/>
    <x v="9"/>
    <s v="Aditya Bose"/>
    <x v="4"/>
    <x v="4"/>
    <x v="0"/>
    <s v="Bookshelf"/>
    <n v="10"/>
    <n v="11670.87"/>
    <n v="116708.70000000001"/>
    <n v="0.25"/>
    <x v="2"/>
    <s v="T. Rana"/>
  </r>
  <r>
    <n v="100535"/>
    <d v="2024-09-14T00:00:00"/>
    <x v="4"/>
    <s v="Aditya Joshi"/>
    <x v="3"/>
    <x v="6"/>
    <x v="0"/>
    <s v="Wooden Dining Table"/>
    <n v="10"/>
    <n v="14328.3"/>
    <n v="143283"/>
    <n v="0"/>
    <x v="4"/>
    <s v="S. Bhat"/>
  </r>
  <r>
    <n v="100584"/>
    <d v="2024-06-16T00:00:00"/>
    <x v="0"/>
    <s v="Rohan Rao"/>
    <x v="4"/>
    <x v="4"/>
    <x v="6"/>
    <s v="Sneakers"/>
    <n v="5"/>
    <n v="3024.51"/>
    <n v="15122.550000000001"/>
    <n v="0.05"/>
    <x v="0"/>
    <s v="D. Chawla"/>
  </r>
  <r>
    <n v="101567"/>
    <d v="2024-12-28T00:00:00"/>
    <x v="2"/>
    <s v="Aarav Mehta"/>
    <x v="0"/>
    <x v="0"/>
    <x v="1"/>
    <s v="Women's Kurti"/>
    <n v="2"/>
    <n v="2516.11"/>
    <n v="5032.22"/>
    <n v="0.15"/>
    <x v="4"/>
    <s v="A. Menon"/>
  </r>
  <r>
    <n v="101930"/>
    <d v="2024-08-21T00:00:00"/>
    <x v="5"/>
    <s v="Anika Chopra"/>
    <x v="0"/>
    <x v="8"/>
    <x v="6"/>
    <s v="Leather Formal Shoes"/>
    <n v="7"/>
    <n v="1338.67"/>
    <n v="9370.69"/>
    <n v="0"/>
    <x v="3"/>
    <s v="T. Rana"/>
  </r>
  <r>
    <n v="101444"/>
    <d v="2024-12-26T00:00:00"/>
    <x v="2"/>
    <s v="Myra Pillai"/>
    <x v="0"/>
    <x v="8"/>
    <x v="5"/>
    <s v="Microwave Oven"/>
    <n v="5"/>
    <n v="11686.35"/>
    <n v="58431.75"/>
    <n v="0.1"/>
    <x v="0"/>
    <s v="S. Bhat"/>
  </r>
  <r>
    <n v="101353"/>
    <d v="2024-05-20T00:00:00"/>
    <x v="8"/>
    <s v="Aadhya Mehta"/>
    <x v="2"/>
    <x v="5"/>
    <x v="3"/>
    <s v="Cooking Oil 1L"/>
    <n v="12"/>
    <n v="392.28"/>
    <n v="4707.3599999999997"/>
    <n v="0"/>
    <x v="2"/>
    <s v="M. Ghosh"/>
  </r>
  <r>
    <n v="101128"/>
    <d v="2024-04-24T00:00:00"/>
    <x v="6"/>
    <s v="Aarav Bansal"/>
    <x v="2"/>
    <x v="5"/>
    <x v="3"/>
    <s v="Sugar 1kg"/>
    <n v="10"/>
    <n v="679.31"/>
    <n v="6793.0999999999995"/>
    <n v="0.1"/>
    <x v="5"/>
    <s v="S. Bhat"/>
  </r>
  <r>
    <n v="101090"/>
    <d v="2024-09-09T00:00:00"/>
    <x v="4"/>
    <s v="Sneha Joshi"/>
    <x v="3"/>
    <x v="3"/>
    <x v="5"/>
    <s v="Microwave Oven"/>
    <n v="5"/>
    <n v="5074.29"/>
    <n v="25371.45"/>
    <n v="0.05"/>
    <x v="0"/>
    <s v="A. Menon"/>
  </r>
  <r>
    <n v="100814"/>
    <d v="2024-02-28T00:00:00"/>
    <x v="11"/>
    <s v="Rohan Gupta"/>
    <x v="3"/>
    <x v="3"/>
    <x v="1"/>
    <s v="Winter Sweater"/>
    <n v="10"/>
    <n v="1955.69"/>
    <n v="19556.900000000001"/>
    <n v="0.2"/>
    <x v="2"/>
    <s v="S. Bhat"/>
  </r>
  <r>
    <n v="100317"/>
    <d v="2024-07-05T00:00:00"/>
    <x v="1"/>
    <s v="Sai Sharma"/>
    <x v="2"/>
    <x v="5"/>
    <x v="1"/>
    <s v="Formal Shirt"/>
    <n v="11"/>
    <n v="1488.93"/>
    <n v="16378.230000000001"/>
    <n v="0"/>
    <x v="2"/>
    <s v="T. Rana"/>
  </r>
  <r>
    <n v="101302"/>
    <d v="2024-04-24T00:00:00"/>
    <x v="6"/>
    <s v="Sai Gupta"/>
    <x v="0"/>
    <x v="8"/>
    <x v="6"/>
    <s v="Leather Formal Shoes"/>
    <n v="8"/>
    <n v="3342.39"/>
    <n v="26739.119999999999"/>
    <n v="0"/>
    <x v="5"/>
    <s v="P. Trivedi"/>
  </r>
  <r>
    <n v="101748"/>
    <d v="2024-10-18T00:00:00"/>
    <x v="10"/>
    <s v="(Unknown)"/>
    <x v="0"/>
    <x v="0"/>
    <x v="1"/>
    <s v="Women's Kurti"/>
    <n v="10"/>
    <n v="2838.27"/>
    <n v="28382.7"/>
    <n v="0"/>
    <x v="4"/>
    <s v="M. Ghosh"/>
  </r>
  <r>
    <n v="100517"/>
    <d v="2024-06-09T00:00:00"/>
    <x v="0"/>
    <s v="Rahul Iyer"/>
    <x v="1"/>
    <x v="9"/>
    <x v="1"/>
    <s v="Formal Shirt"/>
    <n v="5"/>
    <n v="519.67999999999995"/>
    <n v="2598.3999999999996"/>
    <n v="0"/>
    <x v="3"/>
    <s v="D. Chawla"/>
  </r>
  <r>
    <n v="101694"/>
    <d v="2024-08-05T00:00:00"/>
    <x v="5"/>
    <s v="Sneha Bansal"/>
    <x v="3"/>
    <x v="3"/>
    <x v="1"/>
    <s v="Women's Kurti"/>
    <m/>
    <n v="1588.11"/>
    <n v="0"/>
    <n v="0"/>
    <x v="3"/>
    <s v="M. Ghosh"/>
  </r>
  <r>
    <n v="100534"/>
    <d v="2024-01-11T00:00:00"/>
    <x v="9"/>
    <s v="Krishna Verma"/>
    <x v="2"/>
    <x v="2"/>
    <x v="4"/>
    <s v="Smartphone X200"/>
    <n v="1"/>
    <n v="23575.7"/>
    <n v="23575.7"/>
    <n v="0.15"/>
    <x v="5"/>
    <s v="R. Kulkarni"/>
  </r>
  <r>
    <n v="101639"/>
    <d v="2024-08-07T00:00:00"/>
    <x v="5"/>
    <s v="(Unknown)"/>
    <x v="4"/>
    <x v="7"/>
    <x v="2"/>
    <s v="A4 Paper Ream"/>
    <n v="3"/>
    <n v="175.81"/>
    <n v="527.43000000000006"/>
    <n v="0"/>
    <x v="5"/>
    <s v="S. Bhat"/>
  </r>
  <r>
    <n v="100272"/>
    <d v="2024-11-27T00:00:00"/>
    <x v="7"/>
    <s v="Krishna Nair"/>
    <x v="4"/>
    <x v="7"/>
    <x v="5"/>
    <s v="Ceiling Fan"/>
    <n v="1"/>
    <n v="2371.1799999999998"/>
    <n v="2371.1799999999998"/>
    <n v="0"/>
    <x v="3"/>
    <s v="K. Iyer"/>
  </r>
  <r>
    <n v="100549"/>
    <d v="2024-09-17T00:00:00"/>
    <x v="4"/>
    <s v="(Unknown)"/>
    <x v="3"/>
    <x v="6"/>
    <x v="4"/>
    <s v="Smartphone X200"/>
    <n v="12"/>
    <n v="28699.26"/>
    <n v="344391.12"/>
    <n v="0.25"/>
    <x v="2"/>
    <s v="A. Menon"/>
  </r>
  <r>
    <n v="100965"/>
    <d v="2024-07-23T00:00:00"/>
    <x v="1"/>
    <s v="Myra Bose"/>
    <x v="2"/>
    <x v="2"/>
    <x v="6"/>
    <s v="Leather Formal Shoes"/>
    <n v="7"/>
    <n v="1928.27"/>
    <n v="13497.89"/>
    <n v="0"/>
    <x v="0"/>
    <s v="T. Rana"/>
  </r>
  <r>
    <n v="101831"/>
    <d v="2024-07-08T00:00:00"/>
    <x v="1"/>
    <s v="(Unknown)"/>
    <x v="4"/>
    <x v="7"/>
    <x v="1"/>
    <s v="Winter Sweater"/>
    <n v="10"/>
    <n v="2205.87"/>
    <n v="22058.699999999997"/>
    <n v="0.15"/>
    <x v="0"/>
    <s v="K. Iyer"/>
  </r>
  <r>
    <n v="101655"/>
    <d v="2024-01-15T00:00:00"/>
    <x v="9"/>
    <s v="Ayaan Chopra"/>
    <x v="2"/>
    <x v="5"/>
    <x v="4"/>
    <s v="Smartphone X200"/>
    <n v="5"/>
    <n v="38540.879999999997"/>
    <n v="192704.4"/>
    <n v="0.05"/>
    <x v="2"/>
    <s v="K. Iyer"/>
  </r>
  <r>
    <n v="100599"/>
    <d v="2024-09-29T00:00:00"/>
    <x v="4"/>
    <s v="Vivaan Kumar"/>
    <x v="0"/>
    <x v="8"/>
    <x v="1"/>
    <s v="Women's Kurti"/>
    <n v="6"/>
    <n v="492.94"/>
    <n v="2957.64"/>
    <n v="0"/>
    <x v="1"/>
    <s v="A. Menon"/>
  </r>
  <r>
    <n v="101628"/>
    <d v="2024-06-12T00:00:00"/>
    <x v="0"/>
    <s v="Karan Reddy"/>
    <x v="4"/>
    <x v="4"/>
    <x v="0"/>
    <s v="Sofa 3-Seater"/>
    <n v="7"/>
    <n v="20499.52"/>
    <n v="143496.64000000001"/>
    <n v="0.2"/>
    <x v="1"/>
    <s v="P. Trivedi"/>
  </r>
  <r>
    <n v="100571"/>
    <d v="2024-08-11T00:00:00"/>
    <x v="5"/>
    <s v="Rohan Singh"/>
    <x v="2"/>
    <x v="2"/>
    <x v="4"/>
    <s v="Bluetooth Speaker"/>
    <n v="7"/>
    <n v="39122.86"/>
    <n v="273860.02"/>
    <n v="0.05"/>
    <x v="2"/>
    <s v="K. Iyer"/>
  </r>
  <r>
    <n v="100075"/>
    <d v="2024-02-28T00:00:00"/>
    <x v="11"/>
    <s v="Neha Rao"/>
    <x v="3"/>
    <x v="6"/>
    <x v="5"/>
    <s v="Ceiling Fan"/>
    <n v="1"/>
    <n v="1306.49"/>
    <n v="1306.49"/>
    <n v="0"/>
    <x v="0"/>
    <s v="D. Chawla"/>
  </r>
  <r>
    <n v="100062"/>
    <d v="2024-05-27T00:00:00"/>
    <x v="8"/>
    <s v="Anika Reddy"/>
    <x v="2"/>
    <x v="2"/>
    <x v="3"/>
    <s v="Tea Pack 500g"/>
    <n v="6"/>
    <n v="495.37"/>
    <n v="2972.2200000000003"/>
    <n v="0"/>
    <x v="2"/>
    <s v="A. Menon"/>
  </r>
  <r>
    <n v="100810"/>
    <d v="2024-04-23T00:00:00"/>
    <x v="6"/>
    <s v="Anika Iyer"/>
    <x v="3"/>
    <x v="6"/>
    <x v="4"/>
    <s v="Wireless Earbuds"/>
    <n v="8"/>
    <n v="3346.6"/>
    <n v="26772.799999999999"/>
    <n v="0"/>
    <x v="1"/>
    <s v="A. Menon"/>
  </r>
  <r>
    <n v="100245"/>
    <d v="2024-07-12T00:00:00"/>
    <x v="1"/>
    <s v="Arjun Das"/>
    <x v="1"/>
    <x v="1"/>
    <x v="0"/>
    <s v="Office Chair"/>
    <n v="10"/>
    <n v="19536.29"/>
    <n v="195362.90000000002"/>
    <n v="0.05"/>
    <x v="2"/>
    <s v="K. Iyer"/>
  </r>
  <r>
    <n v="101118"/>
    <d v="2024-10-15T00:00:00"/>
    <x v="10"/>
    <s v="Krishna Iyer"/>
    <x v="4"/>
    <x v="4"/>
    <x v="1"/>
    <s v="Men's Denim Jacket"/>
    <n v="1"/>
    <n v="2512.17"/>
    <n v="2512.17"/>
    <n v="0.25"/>
    <x v="4"/>
    <s v="P. Trivedi"/>
  </r>
  <r>
    <n v="101859"/>
    <d v="2024-01-17T00:00:00"/>
    <x v="9"/>
    <s v="Krishna Bansal"/>
    <x v="4"/>
    <x v="7"/>
    <x v="6"/>
    <s v="Leather Formal Shoes"/>
    <n v="7"/>
    <n v="3109.83"/>
    <n v="21768.809999999998"/>
    <n v="0"/>
    <x v="0"/>
    <s v="T. Rana"/>
  </r>
  <r>
    <n v="100106"/>
    <d v="2024-09-10T00:00:00"/>
    <x v="4"/>
    <s v="(Unknown)"/>
    <x v="0"/>
    <x v="0"/>
    <x v="1"/>
    <s v="Winter Sweater"/>
    <n v="12"/>
    <n v="3136.72"/>
    <n v="37640.639999999999"/>
    <n v="0.05"/>
    <x v="4"/>
    <s v="T. Rana"/>
  </r>
  <r>
    <n v="100674"/>
    <d v="2024-02-19T00:00:00"/>
    <x v="11"/>
    <s v="(Unknown)"/>
    <x v="3"/>
    <x v="3"/>
    <x v="2"/>
    <s v="Geometry Box"/>
    <n v="10"/>
    <n v="251.02"/>
    <n v="2510.2000000000003"/>
    <n v="0"/>
    <x v="1"/>
    <s v="S. Bhat"/>
  </r>
  <r>
    <n v="100643"/>
    <d v="2024-04-06T00:00:00"/>
    <x v="6"/>
    <s v="Ira Agarwal"/>
    <x v="1"/>
    <x v="9"/>
    <x v="2"/>
    <s v="Gel Pen Set"/>
    <n v="4"/>
    <n v="93.25"/>
    <n v="373"/>
    <n v="0"/>
    <x v="5"/>
    <s v="P. Trivedi"/>
  </r>
  <r>
    <n v="100666"/>
    <d v="2024-01-07T00:00:00"/>
    <x v="9"/>
    <s v="Diya Reddy"/>
    <x v="4"/>
    <x v="7"/>
    <x v="4"/>
    <s v="Wireless Earbuds"/>
    <n v="5"/>
    <n v="3676.22"/>
    <n v="18381.099999999999"/>
    <n v="0.2"/>
    <x v="2"/>
    <s v="K. Iyer"/>
  </r>
  <r>
    <n v="100510"/>
    <d v="2024-04-21T00:00:00"/>
    <x v="6"/>
    <s v="(Unknown)"/>
    <x v="3"/>
    <x v="6"/>
    <x v="6"/>
    <s v="Running Shoes"/>
    <n v="12"/>
    <n v="4050.07"/>
    <n v="48600.840000000004"/>
    <n v="0.05"/>
    <x v="0"/>
    <s v="T. Rana"/>
  </r>
  <r>
    <n v="100132"/>
    <d v="2024-03-21T00:00:00"/>
    <x v="3"/>
    <s v="Pooja Singh"/>
    <x v="2"/>
    <x v="2"/>
    <x v="4"/>
    <s v="Wireless Earbuds"/>
    <n v="11"/>
    <n v="29775.88"/>
    <n v="327534.68"/>
    <n v="0"/>
    <x v="1"/>
    <s v="K. Iyer"/>
  </r>
  <r>
    <n v="100445"/>
    <d v="2024-01-16T00:00:00"/>
    <x v="9"/>
    <s v="Vihaan Malhotra"/>
    <x v="1"/>
    <x v="1"/>
    <x v="1"/>
    <s v="Women's Kurti"/>
    <n v="3"/>
    <n v="2934.25"/>
    <n v="8802.75"/>
    <n v="0.2"/>
    <x v="3"/>
    <s v="R. Kulkarni"/>
  </r>
  <r>
    <n v="101798"/>
    <d v="2024-07-27T00:00:00"/>
    <x v="1"/>
    <s v="Vikram Kumar"/>
    <x v="1"/>
    <x v="9"/>
    <x v="3"/>
    <s v="Cooking Oil 1L"/>
    <n v="4"/>
    <n v="383.99"/>
    <n v="1535.96"/>
    <n v="0.1"/>
    <x v="0"/>
    <s v="T. Rana"/>
  </r>
  <r>
    <n v="100058"/>
    <d v="2024-06-10T00:00:00"/>
    <x v="0"/>
    <s v="Neha Das"/>
    <x v="0"/>
    <x v="8"/>
    <x v="0"/>
    <s v="Bookshelf"/>
    <n v="3"/>
    <n v="23195.360000000001"/>
    <n v="69586.080000000002"/>
    <n v="0"/>
    <x v="5"/>
    <s v="A. Menon"/>
  </r>
  <r>
    <n v="101678"/>
    <d v="2024-06-19T00:00:00"/>
    <x v="0"/>
    <s v="Ananya Reddy"/>
    <x v="4"/>
    <x v="7"/>
    <x v="5"/>
    <s v="Microwave Oven"/>
    <n v="1"/>
    <n v="9904.2900000000009"/>
    <n v="9904.2900000000009"/>
    <n v="0.05"/>
    <x v="1"/>
    <s v="M. Ghosh"/>
  </r>
  <r>
    <n v="101084"/>
    <d v="2024-08-19T00:00:00"/>
    <x v="5"/>
    <s v="Aarav Nair"/>
    <x v="3"/>
    <x v="6"/>
    <x v="3"/>
    <s v="Cooking Oil 1L"/>
    <n v="3"/>
    <n v="786.91"/>
    <n v="2360.73"/>
    <n v="0"/>
    <x v="1"/>
    <s v="A. Menon"/>
  </r>
  <r>
    <n v="101945"/>
    <d v="2024-08-19T00:00:00"/>
    <x v="5"/>
    <s v="Vivaan Chopra"/>
    <x v="3"/>
    <x v="6"/>
    <x v="1"/>
    <s v="Formal Shirt"/>
    <n v="2"/>
    <n v="3496.58"/>
    <n v="6993.16"/>
    <n v="0"/>
    <x v="5"/>
    <s v="K. Iyer"/>
  </r>
  <r>
    <n v="100087"/>
    <d v="2024-12-23T00:00:00"/>
    <x v="2"/>
    <s v="Anika Rao"/>
    <x v="1"/>
    <x v="9"/>
    <x v="1"/>
    <s v="Winter Sweater"/>
    <n v="9"/>
    <n v="3310.74"/>
    <n v="29796.659999999996"/>
    <n v="0"/>
    <x v="0"/>
    <s v="K. Iyer"/>
  </r>
  <r>
    <n v="101872"/>
    <d v="2024-05-25T00:00:00"/>
    <x v="8"/>
    <s v="Ayaan Singh"/>
    <x v="3"/>
    <x v="3"/>
    <x v="3"/>
    <s v="Wheat Flour 10kg"/>
    <n v="6"/>
    <n v="224.24"/>
    <n v="1345.44"/>
    <n v="0.15"/>
    <x v="5"/>
    <s v="M. Ghosh"/>
  </r>
  <r>
    <n v="100772"/>
    <d v="2024-05-24T00:00:00"/>
    <x v="8"/>
    <s v="Karan Iyer"/>
    <x v="3"/>
    <x v="3"/>
    <x v="2"/>
    <s v="Geometry Box"/>
    <n v="1"/>
    <n v="57.24"/>
    <n v="57.24"/>
    <n v="0"/>
    <x v="4"/>
    <s v="S. Bhat"/>
  </r>
  <r>
    <n v="101402"/>
    <d v="2024-07-24T00:00:00"/>
    <x v="1"/>
    <s v="Pooja Reddy"/>
    <x v="4"/>
    <x v="4"/>
    <x v="5"/>
    <s v="Air Cooler"/>
    <n v="11"/>
    <n v="4173.6899999999996"/>
    <n v="45910.59"/>
    <n v="0"/>
    <x v="0"/>
    <s v="K. Iyer"/>
  </r>
  <r>
    <n v="100709"/>
    <d v="2024-04-05T00:00:00"/>
    <x v="6"/>
    <s v="Aditya Rao"/>
    <x v="4"/>
    <x v="7"/>
    <x v="4"/>
    <s v="Bluetooth Speaker"/>
    <n v="8"/>
    <n v="35845.11"/>
    <n v="286760.88"/>
    <n v="0"/>
    <x v="2"/>
    <s v="S. Bhat"/>
  </r>
  <r>
    <n v="101576"/>
    <d v="2024-04-28T00:00:00"/>
    <x v="6"/>
    <s v="Ananya Pillai"/>
    <x v="2"/>
    <x v="5"/>
    <x v="0"/>
    <s v="Bookshelf"/>
    <n v="4"/>
    <n v="20791.82"/>
    <n v="83167.28"/>
    <n v="0"/>
    <x v="5"/>
    <s v="K. Iyer"/>
  </r>
  <r>
    <n v="101354"/>
    <d v="2024-12-30T00:00:00"/>
    <x v="2"/>
    <s v="Myra Bansal"/>
    <x v="3"/>
    <x v="6"/>
    <x v="6"/>
    <s v="Leather Formal Shoes"/>
    <n v="11"/>
    <n v="3868.14"/>
    <n v="42549.54"/>
    <n v="0.1"/>
    <x v="3"/>
    <s v="T. Rana"/>
  </r>
  <r>
    <n v="101581"/>
    <d v="2024-10-12T00:00:00"/>
    <x v="10"/>
    <s v="Aadhya Mehta"/>
    <x v="2"/>
    <x v="5"/>
    <x v="3"/>
    <s v="Wheat Flour 10kg"/>
    <n v="9"/>
    <n v="798.58"/>
    <n v="7187.22"/>
    <n v="0"/>
    <x v="1"/>
    <s v="M. Ghosh"/>
  </r>
  <r>
    <n v="100539"/>
    <d v="2024-09-18T00:00:00"/>
    <x v="4"/>
    <s v="Diya Bose"/>
    <x v="2"/>
    <x v="2"/>
    <x v="3"/>
    <s v="Tea Pack 500g"/>
    <n v="12"/>
    <n v="668.42"/>
    <n v="8021.0399999999991"/>
    <n v="0"/>
    <x v="5"/>
    <s v="A. Menon"/>
  </r>
  <r>
    <n v="101760"/>
    <d v="2024-10-06T00:00:00"/>
    <x v="10"/>
    <s v="Rahul Bose"/>
    <x v="2"/>
    <x v="2"/>
    <x v="5"/>
    <s v="Mixer Grinder"/>
    <n v="1"/>
    <n v="9146.23"/>
    <n v="9146.23"/>
    <n v="0"/>
    <x v="1"/>
    <s v="R. Kulkarni"/>
  </r>
  <r>
    <n v="101278"/>
    <d v="2024-10-20T00:00:00"/>
    <x v="10"/>
    <s v="Nisha Nair"/>
    <x v="3"/>
    <x v="6"/>
    <x v="0"/>
    <s v="Sofa 3-Seater"/>
    <n v="4"/>
    <n v="8882.34"/>
    <n v="35529.360000000001"/>
    <n v="0"/>
    <x v="0"/>
    <s v="K. Iyer"/>
  </r>
  <r>
    <n v="101572"/>
    <d v="2024-01-26T00:00:00"/>
    <x v="9"/>
    <s v="Sneha Verma"/>
    <x v="2"/>
    <x v="2"/>
    <x v="0"/>
    <s v="Office Chair"/>
    <n v="6"/>
    <n v="12203.25"/>
    <n v="73219.5"/>
    <n v="0.05"/>
    <x v="2"/>
    <s v="A. Menon"/>
  </r>
  <r>
    <n v="101321"/>
    <d v="2024-07-23T00:00:00"/>
    <x v="1"/>
    <s v="Sneha Das"/>
    <x v="2"/>
    <x v="5"/>
    <x v="4"/>
    <s v="Laptop Air 14"/>
    <n v="7"/>
    <n v="29957.95"/>
    <n v="209705.65"/>
    <n v="0"/>
    <x v="5"/>
    <s v="S. Bhat"/>
  </r>
  <r>
    <n v="100419"/>
    <d v="2024-03-24T00:00:00"/>
    <x v="3"/>
    <s v="Krishna Singh"/>
    <x v="2"/>
    <x v="5"/>
    <x v="2"/>
    <s v="Geometry Box"/>
    <n v="11"/>
    <n v="36.61"/>
    <n v="402.71"/>
    <n v="0"/>
    <x v="1"/>
    <s v="T. Rana"/>
  </r>
  <r>
    <n v="101867"/>
    <d v="2024-12-14T00:00:00"/>
    <x v="2"/>
    <s v="Myra Joshi"/>
    <x v="3"/>
    <x v="3"/>
    <x v="3"/>
    <s v="Cooking Oil 1L"/>
    <n v="2"/>
    <n v="812.34"/>
    <n v="1624.68"/>
    <n v="0"/>
    <x v="5"/>
    <s v="R. Kulkarni"/>
  </r>
  <r>
    <n v="101074"/>
    <d v="2024-08-10T00:00:00"/>
    <x v="5"/>
    <s v="Rohan Sharma"/>
    <x v="0"/>
    <x v="8"/>
    <x v="4"/>
    <s v="Smartwatch S3"/>
    <n v="12"/>
    <n v="10591.77"/>
    <n v="127101.24"/>
    <n v="0.15"/>
    <x v="3"/>
    <s v="A. Menon"/>
  </r>
  <r>
    <n v="101724"/>
    <d v="2024-02-18T00:00:00"/>
    <x v="11"/>
    <s v="Sai Rao"/>
    <x v="0"/>
    <x v="8"/>
    <x v="2"/>
    <s v="A4 Paper Ream"/>
    <n v="9"/>
    <n v="0"/>
    <n v="0"/>
    <n v="0"/>
    <x v="0"/>
    <s v="A. Menon"/>
  </r>
  <r>
    <n v="101295"/>
    <d v="2024-10-19T00:00:00"/>
    <x v="10"/>
    <s v="Myra Kapoor"/>
    <x v="1"/>
    <x v="1"/>
    <x v="2"/>
    <s v="Notebook Pack"/>
    <n v="1"/>
    <n v="330.36"/>
    <n v="330.36"/>
    <n v="0.15"/>
    <x v="4"/>
    <s v="T. Rana"/>
  </r>
  <r>
    <n v="100852"/>
    <d v="2024-06-16T00:00:00"/>
    <x v="0"/>
    <s v="Arjun Sharma"/>
    <x v="3"/>
    <x v="6"/>
    <x v="4"/>
    <s v="Smartwatch S3"/>
    <n v="9"/>
    <n v="33316.39"/>
    <n v="299847.51"/>
    <n v="0"/>
    <x v="5"/>
    <s v="D. Chawla"/>
  </r>
  <r>
    <n v="101769"/>
    <d v="2024-10-21T00:00:00"/>
    <x v="10"/>
    <s v="Anika Gupta"/>
    <x v="4"/>
    <x v="7"/>
    <x v="2"/>
    <s v="Geometry Box"/>
    <n v="11"/>
    <n v="318.18"/>
    <n v="3499.98"/>
    <n v="0"/>
    <x v="3"/>
    <s v="P. Trivedi"/>
  </r>
  <r>
    <n v="101887"/>
    <d v="2024-08-20T00:00:00"/>
    <x v="5"/>
    <s v="Karan Verma"/>
    <x v="4"/>
    <x v="7"/>
    <x v="5"/>
    <s v="Ceiling Fan"/>
    <n v="11"/>
    <n v="7027.15"/>
    <n v="77298.649999999994"/>
    <n v="0.25"/>
    <x v="4"/>
    <s v="M. Ghosh"/>
  </r>
  <r>
    <n v="101710"/>
    <d v="2024-12-11T00:00:00"/>
    <x v="2"/>
    <s v="Riya Patel"/>
    <x v="0"/>
    <x v="8"/>
    <x v="3"/>
    <s v="Basmati Rice 5kg"/>
    <n v="9"/>
    <n v="628.01"/>
    <n v="5652.09"/>
    <n v="0"/>
    <x v="0"/>
    <s v="D. Chawla"/>
  </r>
  <r>
    <n v="101782"/>
    <d v="2024-06-21T00:00:00"/>
    <x v="0"/>
    <s v="Myra Gupta"/>
    <x v="1"/>
    <x v="9"/>
    <x v="1"/>
    <s v="Formal Shirt"/>
    <n v="1"/>
    <n v="2735.04"/>
    <n v="2735.04"/>
    <n v="0.05"/>
    <x v="0"/>
    <s v="R. Kulkarni"/>
  </r>
  <r>
    <n v="101313"/>
    <d v="2024-11-17T00:00:00"/>
    <x v="7"/>
    <s v="Arjun Pillai"/>
    <x v="2"/>
    <x v="2"/>
    <x v="1"/>
    <s v="Formal Shirt"/>
    <n v="6"/>
    <n v="1909.1"/>
    <n v="11454.599999999999"/>
    <n v="0"/>
    <x v="3"/>
    <s v="P. Trivedi"/>
  </r>
  <r>
    <n v="101749"/>
    <d v="2024-09-28T00:00:00"/>
    <x v="4"/>
    <s v="Sneha Bose"/>
    <x v="4"/>
    <x v="7"/>
    <x v="0"/>
    <s v="Wooden Dining Table"/>
    <n v="6"/>
    <n v="11541.57"/>
    <n v="69249.42"/>
    <n v="0.15"/>
    <x v="0"/>
    <s v="M. Ghosh"/>
  </r>
  <r>
    <n v="101815"/>
    <d v="2024-12-14T00:00:00"/>
    <x v="2"/>
    <s v="Myra Rao"/>
    <x v="1"/>
    <x v="9"/>
    <x v="4"/>
    <s v="Wireless Earbuds"/>
    <n v="7"/>
    <n v="42945.25"/>
    <n v="300616.75"/>
    <n v="0.1"/>
    <x v="3"/>
    <s v="P. Trivedi"/>
  </r>
  <r>
    <n v="100305"/>
    <d v="2024-02-25T00:00:00"/>
    <x v="11"/>
    <s v="Pooja Singh"/>
    <x v="1"/>
    <x v="1"/>
    <x v="4"/>
    <s v="Smartphone X200"/>
    <n v="5"/>
    <n v="19748.86"/>
    <n v="98744.3"/>
    <n v="0"/>
    <x v="5"/>
    <s v="K. Iyer"/>
  </r>
  <r>
    <n v="101532"/>
    <d v="2024-04-30T00:00:00"/>
    <x v="6"/>
    <s v="Ayaan Gupta"/>
    <x v="3"/>
    <x v="6"/>
    <x v="5"/>
    <s v="Air Cooler"/>
    <n v="1"/>
    <n v="9358.86"/>
    <n v="9358.86"/>
    <n v="0"/>
    <x v="4"/>
    <s v="S. Bhat"/>
  </r>
  <r>
    <n v="100336"/>
    <d v="2024-02-26T00:00:00"/>
    <x v="11"/>
    <s v="Saanvi Chopra"/>
    <x v="0"/>
    <x v="8"/>
    <x v="6"/>
    <s v="Leather Formal Shoes"/>
    <n v="8"/>
    <n v="2165.6799999999998"/>
    <n v="17325.439999999999"/>
    <n v="0"/>
    <x v="5"/>
    <s v="A. Menon"/>
  </r>
  <r>
    <n v="100996"/>
    <d v="2024-04-27T00:00:00"/>
    <x v="6"/>
    <s v="Ishaan Das"/>
    <x v="2"/>
    <x v="5"/>
    <x v="5"/>
    <s v="Microwave Oven"/>
    <n v="1"/>
    <n v="6084.6"/>
    <n v="6084.6"/>
    <n v="0"/>
    <x v="0"/>
    <s v="A. Menon"/>
  </r>
  <r>
    <n v="100570"/>
    <d v="2024-05-22T00:00:00"/>
    <x v="8"/>
    <s v="Nisha Pillai"/>
    <x v="3"/>
    <x v="6"/>
    <x v="4"/>
    <s v="Wireless Earbuds"/>
    <n v="7"/>
    <n v="26944.75"/>
    <n v="188613.25"/>
    <n v="0.1"/>
    <x v="3"/>
    <s v="S. Bhat"/>
  </r>
  <r>
    <n v="100089"/>
    <d v="2024-04-17T00:00:00"/>
    <x v="6"/>
    <s v="Aarav Rao"/>
    <x v="0"/>
    <x v="0"/>
    <x v="2"/>
    <s v="Notebook Pack"/>
    <n v="10"/>
    <n v="362.61"/>
    <n v="3626.1000000000004"/>
    <n v="0.05"/>
    <x v="2"/>
    <s v="P. Trivedi"/>
  </r>
  <r>
    <n v="100875"/>
    <d v="2024-04-02T00:00:00"/>
    <x v="6"/>
    <s v="(Unknown)"/>
    <x v="4"/>
    <x v="7"/>
    <x v="0"/>
    <s v="Sofa 3-Seater"/>
    <n v="9"/>
    <n v="5737.81"/>
    <n v="51640.29"/>
    <n v="0"/>
    <x v="5"/>
    <s v="D. Chawla"/>
  </r>
  <r>
    <n v="101165"/>
    <d v="2024-11-29T00:00:00"/>
    <x v="7"/>
    <s v="Riya Sharma"/>
    <x v="2"/>
    <x v="5"/>
    <x v="5"/>
    <s v="Air Cooler"/>
    <n v="6"/>
    <n v="4487.1099999999997"/>
    <n v="26922.659999999996"/>
    <n v="0"/>
    <x v="1"/>
    <s v="R. Kulkarni"/>
  </r>
  <r>
    <n v="101540"/>
    <d v="2024-09-02T00:00:00"/>
    <x v="4"/>
    <s v="Vihaan Patel"/>
    <x v="4"/>
    <x v="7"/>
    <x v="3"/>
    <s v="Wheat Flour 10kg"/>
    <n v="9"/>
    <n v="234.75"/>
    <n v="2112.75"/>
    <n v="0"/>
    <x v="4"/>
    <s v="K. Iyer"/>
  </r>
  <r>
    <n v="100713"/>
    <d v="2024-09-12T00:00:00"/>
    <x v="4"/>
    <s v="Vivaan Sharma"/>
    <x v="0"/>
    <x v="8"/>
    <x v="5"/>
    <s v="Ceiling Fan"/>
    <n v="3"/>
    <n v="5515.39"/>
    <n v="16546.170000000002"/>
    <n v="0.25"/>
    <x v="4"/>
    <s v="K. Iyer"/>
  </r>
  <r>
    <n v="101766"/>
    <d v="2024-05-17T00:00:00"/>
    <x v="8"/>
    <s v="Rahul Das"/>
    <x v="1"/>
    <x v="9"/>
    <x v="3"/>
    <s v="Basmati Rice 5kg"/>
    <n v="10"/>
    <n v="144.01"/>
    <n v="1440.1"/>
    <n v="0.2"/>
    <x v="1"/>
    <s v="R. Kulkarni"/>
  </r>
  <r>
    <n v="101869"/>
    <d v="2024-01-10T00:00:00"/>
    <x v="9"/>
    <s v="Vikram Kumar"/>
    <x v="2"/>
    <x v="5"/>
    <x v="5"/>
    <s v="Microwave Oven"/>
    <n v="5"/>
    <n v="9367.01"/>
    <n v="46835.05"/>
    <n v="0.2"/>
    <x v="2"/>
    <s v="T. Rana"/>
  </r>
  <r>
    <n v="101396"/>
    <d v="2024-08-11T00:00:00"/>
    <x v="5"/>
    <s v="Aditya Joshi"/>
    <x v="1"/>
    <x v="9"/>
    <x v="6"/>
    <s v="Running Shoes"/>
    <n v="1"/>
    <n v="797.54"/>
    <n v="797.54"/>
    <n v="0"/>
    <x v="2"/>
    <s v="R. Kulkarni"/>
  </r>
  <r>
    <n v="100222"/>
    <d v="2024-03-24T00:00:00"/>
    <x v="3"/>
    <s v="Reyansh Gupta"/>
    <x v="2"/>
    <x v="2"/>
    <x v="1"/>
    <s v="Formal Shirt"/>
    <n v="10"/>
    <n v="2338.5"/>
    <n v="23385"/>
    <n v="0.1"/>
    <x v="2"/>
    <s v="D. Chawla"/>
  </r>
  <r>
    <n v="100320"/>
    <d v="2024-08-20T00:00:00"/>
    <x v="5"/>
    <s v="Sneha Patel"/>
    <x v="2"/>
    <x v="5"/>
    <x v="5"/>
    <s v="Ceiling Fan"/>
    <n v="6"/>
    <n v="6501.5"/>
    <n v="39009"/>
    <n v="0.25"/>
    <x v="2"/>
    <s v="D. Chawla"/>
  </r>
  <r>
    <n v="101775"/>
    <d v="2024-10-06T00:00:00"/>
    <x v="10"/>
    <s v="(Unknown)"/>
    <x v="0"/>
    <x v="0"/>
    <x v="0"/>
    <s v="Bookshelf"/>
    <n v="7"/>
    <n v="19028.14"/>
    <n v="133196.97999999998"/>
    <n v="0.05"/>
    <x v="3"/>
    <s v="S. Bhat"/>
  </r>
  <r>
    <n v="100879"/>
    <d v="2024-04-07T00:00:00"/>
    <x v="6"/>
    <s v="Riya Gupta"/>
    <x v="2"/>
    <x v="5"/>
    <x v="5"/>
    <s v="Electric Kettle"/>
    <n v="1"/>
    <n v="7360.65"/>
    <n v="7360.65"/>
    <n v="0.1"/>
    <x v="3"/>
    <s v="T. Rana"/>
  </r>
  <r>
    <n v="101821"/>
    <d v="2024-07-18T00:00:00"/>
    <x v="1"/>
    <s v="Neha Iyer"/>
    <x v="4"/>
    <x v="4"/>
    <x v="5"/>
    <s v="Microwave Oven"/>
    <n v="7"/>
    <n v="9432.91"/>
    <n v="66030.37"/>
    <n v="0.15"/>
    <x v="1"/>
    <s v="A. Menon"/>
  </r>
  <r>
    <n v="100826"/>
    <d v="2024-02-14T00:00:00"/>
    <x v="11"/>
    <s v="Navya Pillai"/>
    <x v="3"/>
    <x v="6"/>
    <x v="3"/>
    <s v="Tea Pack 500g"/>
    <n v="12"/>
    <n v="692.26"/>
    <n v="8307.119999999999"/>
    <n v="0.1"/>
    <x v="1"/>
    <s v="D. Chawla"/>
  </r>
  <r>
    <n v="100614"/>
    <d v="2024-05-24T00:00:00"/>
    <x v="8"/>
    <s v="(Unknown)"/>
    <x v="3"/>
    <x v="3"/>
    <x v="2"/>
    <s v="A4 Paper Ream"/>
    <n v="7"/>
    <n v="208.37"/>
    <n v="1458.5900000000001"/>
    <n v="0.25"/>
    <x v="5"/>
    <s v="M. Ghosh"/>
  </r>
  <r>
    <n v="101482"/>
    <d v="2024-08-14T00:00:00"/>
    <x v="5"/>
    <s v="Ayaan Pillai"/>
    <x v="1"/>
    <x v="1"/>
    <x v="0"/>
    <s v="Sofa 3-Seater"/>
    <n v="3"/>
    <n v="20396.82"/>
    <n v="61190.46"/>
    <n v="0.25"/>
    <x v="3"/>
    <s v="K. Iyer"/>
  </r>
  <r>
    <n v="100139"/>
    <d v="2024-10-25T00:00:00"/>
    <x v="10"/>
    <s v="Kiara Sharma"/>
    <x v="3"/>
    <x v="6"/>
    <x v="4"/>
    <s v="Bluetooth Speaker"/>
    <n v="7"/>
    <n v="0"/>
    <n v="0"/>
    <n v="0.1"/>
    <x v="5"/>
    <s v="P. Trivedi"/>
  </r>
  <r>
    <n v="100164"/>
    <d v="2024-07-10T00:00:00"/>
    <x v="1"/>
    <s v="Karan Singh"/>
    <x v="3"/>
    <x v="6"/>
    <x v="1"/>
    <s v="Winter Sweater"/>
    <n v="9"/>
    <n v="2955.36"/>
    <n v="26598.240000000002"/>
    <n v="0.15"/>
    <x v="5"/>
    <s v="K. Iyer"/>
  </r>
  <r>
    <n v="101801"/>
    <d v="2024-06-18T00:00:00"/>
    <x v="0"/>
    <s v="Ira Joshi"/>
    <x v="4"/>
    <x v="4"/>
    <x v="2"/>
    <s v="Notebook Pack"/>
    <n v="7"/>
    <n v="451.67"/>
    <n v="3161.69"/>
    <n v="0"/>
    <x v="4"/>
    <s v="S. Bhat"/>
  </r>
  <r>
    <n v="101465"/>
    <d v="2024-12-22T00:00:00"/>
    <x v="2"/>
    <s v="Pooja Kapoor"/>
    <x v="3"/>
    <x v="3"/>
    <x v="5"/>
    <s v="Electric Kettle"/>
    <n v="12"/>
    <n v="2812.56"/>
    <n v="33750.720000000001"/>
    <n v="0.1"/>
    <x v="3"/>
    <s v="M. Ghosh"/>
  </r>
  <r>
    <n v="100961"/>
    <d v="2024-10-03T00:00:00"/>
    <x v="10"/>
    <s v="Rohan Joshi"/>
    <x v="4"/>
    <x v="7"/>
    <x v="5"/>
    <s v="Microwave Oven"/>
    <n v="6"/>
    <n v="6094.91"/>
    <n v="36569.46"/>
    <n v="0.2"/>
    <x v="3"/>
    <s v="D. Chawla"/>
  </r>
  <r>
    <n v="101455"/>
    <d v="2024-02-21T00:00:00"/>
    <x v="11"/>
    <s v="Ananya Das"/>
    <x v="2"/>
    <x v="5"/>
    <x v="3"/>
    <s v="Cooking Oil 1L"/>
    <n v="8"/>
    <n v="860.93"/>
    <n v="6887.44"/>
    <n v="0"/>
    <x v="0"/>
    <s v="R. Kulkarni"/>
  </r>
  <r>
    <n v="101925"/>
    <d v="2024-04-26T00:00:00"/>
    <x v="6"/>
    <s v="Rohan Iyer"/>
    <x v="4"/>
    <x v="7"/>
    <x v="2"/>
    <s v="A4 Paper Ream"/>
    <n v="12"/>
    <n v="358.66"/>
    <n v="4303.92"/>
    <n v="0.05"/>
    <x v="1"/>
    <s v="P. Trivedi"/>
  </r>
  <r>
    <n v="101193"/>
    <d v="2024-03-20T00:00:00"/>
    <x v="3"/>
    <s v="Nisha Kapoor"/>
    <x v="0"/>
    <x v="0"/>
    <x v="0"/>
    <s v="Sofa 3-Seater"/>
    <n v="12"/>
    <n v="17167.54"/>
    <n v="206010.48"/>
    <n v="0"/>
    <x v="0"/>
    <s v="R. Kulkarni"/>
  </r>
  <r>
    <n v="101950"/>
    <d v="2024-01-30T00:00:00"/>
    <x v="9"/>
    <s v="Priya Nair"/>
    <x v="4"/>
    <x v="7"/>
    <x v="5"/>
    <s v="Ceiling Fan"/>
    <n v="8"/>
    <n v="1689.83"/>
    <n v="13518.64"/>
    <n v="0.2"/>
    <x v="0"/>
    <s v="S. Bhat"/>
  </r>
  <r>
    <n v="101314"/>
    <d v="2024-09-22T00:00:00"/>
    <x v="4"/>
    <s v="Saanvi Nair"/>
    <x v="1"/>
    <x v="1"/>
    <x v="5"/>
    <s v="Air Cooler"/>
    <n v="8"/>
    <n v="0"/>
    <n v="0"/>
    <n v="0.25"/>
    <x v="2"/>
    <s v="T. Rana"/>
  </r>
  <r>
    <n v="101824"/>
    <d v="2024-08-24T00:00:00"/>
    <x v="5"/>
    <s v="Riya Rao"/>
    <x v="2"/>
    <x v="2"/>
    <x v="1"/>
    <s v="Women's Kurti"/>
    <n v="8"/>
    <n v="3191.18"/>
    <n v="25529.439999999999"/>
    <n v="0"/>
    <x v="2"/>
    <s v="K. Iyer"/>
  </r>
  <r>
    <n v="100634"/>
    <d v="2024-04-17T00:00:00"/>
    <x v="6"/>
    <s v="Pooja Agarwal"/>
    <x v="4"/>
    <x v="4"/>
    <x v="6"/>
    <s v="Running Shoes"/>
    <n v="6"/>
    <n v="2974.34"/>
    <n v="17846.04"/>
    <n v="0"/>
    <x v="2"/>
    <s v="R. Kulkarni"/>
  </r>
  <r>
    <n v="101202"/>
    <d v="2024-09-13T00:00:00"/>
    <x v="4"/>
    <s v="Ishaan Malhotra"/>
    <x v="2"/>
    <x v="2"/>
    <x v="5"/>
    <s v="Mixer Grinder"/>
    <n v="8"/>
    <n v="10630.22"/>
    <n v="85041.76"/>
    <n v="0.2"/>
    <x v="4"/>
    <s v="A. Menon"/>
  </r>
  <r>
    <n v="100656"/>
    <d v="2024-06-24T00:00:00"/>
    <x v="0"/>
    <s v="Vikram Iyer"/>
    <x v="0"/>
    <x v="8"/>
    <x v="3"/>
    <s v="Tea Pack 500g"/>
    <n v="7"/>
    <n v="806.97"/>
    <n v="5648.79"/>
    <n v="0"/>
    <x v="0"/>
    <s v="M. Ghosh"/>
  </r>
  <r>
    <n v="100017"/>
    <d v="2024-01-19T00:00:00"/>
    <x v="9"/>
    <s v="Karan Singh"/>
    <x v="4"/>
    <x v="7"/>
    <x v="5"/>
    <s v="Air Cooler"/>
    <n v="6"/>
    <n v="0"/>
    <n v="0"/>
    <n v="0"/>
    <x v="1"/>
    <s v="A. Menon"/>
  </r>
  <r>
    <n v="101649"/>
    <d v="2024-10-09T00:00:00"/>
    <x v="10"/>
    <s v="Riya Kumar"/>
    <x v="0"/>
    <x v="0"/>
    <x v="6"/>
    <s v="Running Shoes"/>
    <n v="4"/>
    <n v="3519.05"/>
    <n v="14076.2"/>
    <n v="0.25"/>
    <x v="0"/>
    <s v="M. Ghosh"/>
  </r>
  <r>
    <n v="101179"/>
    <d v="2024-07-14T00:00:00"/>
    <x v="1"/>
    <s v="Aditya Joshi"/>
    <x v="2"/>
    <x v="5"/>
    <x v="3"/>
    <s v="Cooking Oil 1L"/>
    <n v="12"/>
    <n v="157.79"/>
    <n v="1893.48"/>
    <n v="0.05"/>
    <x v="0"/>
    <s v="R. Kulkarni"/>
  </r>
  <r>
    <n v="100138"/>
    <d v="2024-04-08T00:00:00"/>
    <x v="6"/>
    <s v="Amit Kapoor"/>
    <x v="4"/>
    <x v="7"/>
    <x v="0"/>
    <s v="Study Desk"/>
    <n v="1"/>
    <n v="0"/>
    <n v="0"/>
    <n v="0"/>
    <x v="2"/>
    <s v="K. Iyer"/>
  </r>
  <r>
    <n v="101239"/>
    <d v="2024-09-14T00:00:00"/>
    <x v="4"/>
    <s v="Kiara Singh"/>
    <x v="1"/>
    <x v="1"/>
    <x v="6"/>
    <s v="Sneakers"/>
    <n v="7"/>
    <n v="926.21"/>
    <n v="6483.47"/>
    <n v="0.05"/>
    <x v="4"/>
    <s v="D. Chawla"/>
  </r>
  <r>
    <n v="100698"/>
    <d v="2024-03-16T00:00:00"/>
    <x v="3"/>
    <s v="(Unknown)"/>
    <x v="0"/>
    <x v="0"/>
    <x v="6"/>
    <s v="Leather Formal Shoes"/>
    <n v="4"/>
    <n v="2512.61"/>
    <n v="10050.44"/>
    <n v="0.1"/>
    <x v="3"/>
    <s v="P. Trivedi"/>
  </r>
  <r>
    <n v="101098"/>
    <d v="2024-07-22T00:00:00"/>
    <x v="1"/>
    <s v="Anika Mehta"/>
    <x v="4"/>
    <x v="4"/>
    <x v="6"/>
    <s v="Leather Formal Shoes"/>
    <n v="2"/>
    <n v="1505.91"/>
    <n v="3011.82"/>
    <n v="0"/>
    <x v="2"/>
    <s v="A. Menon"/>
  </r>
  <r>
    <n v="101634"/>
    <d v="2024-09-21T00:00:00"/>
    <x v="4"/>
    <s v="Sneha Verma"/>
    <x v="2"/>
    <x v="2"/>
    <x v="5"/>
    <s v="Mixer Grinder"/>
    <n v="3"/>
    <n v="3695.08"/>
    <n v="11085.24"/>
    <n v="0.2"/>
    <x v="2"/>
    <s v="A. Menon"/>
  </r>
  <r>
    <n v="100449"/>
    <d v="2024-04-15T00:00:00"/>
    <x v="6"/>
    <s v="Arjun Malhotra"/>
    <x v="1"/>
    <x v="9"/>
    <x v="1"/>
    <s v="Kids T-Shirt"/>
    <n v="12"/>
    <n v="3240.33"/>
    <n v="38883.96"/>
    <n v="0"/>
    <x v="1"/>
    <s v="S. Bhat"/>
  </r>
  <r>
    <n v="101915"/>
    <d v="2024-07-23T00:00:00"/>
    <x v="1"/>
    <s v="(Unknown)"/>
    <x v="2"/>
    <x v="2"/>
    <x v="1"/>
    <s v="Kids T-Shirt"/>
    <n v="12"/>
    <n v="0"/>
    <n v="0"/>
    <n v="0"/>
    <x v="0"/>
    <s v="P. Trivedi"/>
  </r>
  <r>
    <n v="100328"/>
    <d v="2024-01-04T00:00:00"/>
    <x v="9"/>
    <s v="Sneha Bansal"/>
    <x v="2"/>
    <x v="2"/>
    <x v="2"/>
    <s v="A4 Paper Ream"/>
    <n v="11"/>
    <n v="480.88"/>
    <n v="5289.68"/>
    <n v="0"/>
    <x v="5"/>
    <s v="D. Chawla"/>
  </r>
  <r>
    <n v="100318"/>
    <d v="2024-12-10T00:00:00"/>
    <x v="2"/>
    <s v="Myra Das"/>
    <x v="0"/>
    <x v="0"/>
    <x v="4"/>
    <s v="Wireless Earbuds"/>
    <n v="6"/>
    <n v="2467.29"/>
    <n v="14803.74"/>
    <n v="0"/>
    <x v="0"/>
    <s v="M. Ghosh"/>
  </r>
  <r>
    <n v="101546"/>
    <d v="2024-01-23T00:00:00"/>
    <x v="9"/>
    <s v="Aadhya Das"/>
    <x v="0"/>
    <x v="8"/>
    <x v="4"/>
    <s v="Laptop Air 14"/>
    <n v="7"/>
    <n v="26460.66"/>
    <n v="185224.62"/>
    <n v="0.15"/>
    <x v="4"/>
    <s v="P. Trivedi"/>
  </r>
  <r>
    <n v="100527"/>
    <d v="2024-12-26T00:00:00"/>
    <x v="2"/>
    <s v="Vivaan Reddy"/>
    <x v="1"/>
    <x v="9"/>
    <x v="5"/>
    <s v="Electric Kettle"/>
    <n v="9"/>
    <n v="4200.57"/>
    <n v="37805.129999999997"/>
    <n v="0.2"/>
    <x v="4"/>
    <s v="K. Iyer"/>
  </r>
  <r>
    <n v="100088"/>
    <d v="2024-08-12T00:00:00"/>
    <x v="5"/>
    <s v="Aadhya Agarwal"/>
    <x v="0"/>
    <x v="8"/>
    <x v="3"/>
    <s v="Wheat Flour 10kg"/>
    <n v="8"/>
    <n v="554.66999999999996"/>
    <n v="4437.3599999999997"/>
    <n v="0"/>
    <x v="2"/>
    <s v="R. Kulkarni"/>
  </r>
  <r>
    <n v="101288"/>
    <d v="2024-02-21T00:00:00"/>
    <x v="11"/>
    <s v="Karan Das"/>
    <x v="3"/>
    <x v="6"/>
    <x v="2"/>
    <s v="Geometry Box"/>
    <n v="3"/>
    <n v="488.89"/>
    <n v="1466.67"/>
    <n v="0.15"/>
    <x v="3"/>
    <s v="A. Menon"/>
  </r>
  <r>
    <n v="100149"/>
    <d v="2024-12-21T00:00:00"/>
    <x v="2"/>
    <s v="Pooja Singh"/>
    <x v="4"/>
    <x v="7"/>
    <x v="4"/>
    <s v="LED TV 42in"/>
    <n v="6"/>
    <n v="15930.43"/>
    <n v="95582.58"/>
    <n v="0.15"/>
    <x v="3"/>
    <s v="K. Iyer"/>
  </r>
  <r>
    <n v="101641"/>
    <d v="2024-03-29T00:00:00"/>
    <x v="3"/>
    <s v="Sneha Gupta"/>
    <x v="1"/>
    <x v="9"/>
    <x v="3"/>
    <s v="Sugar 1kg"/>
    <n v="10"/>
    <n v="730.63"/>
    <n v="7306.3"/>
    <n v="0.25"/>
    <x v="2"/>
    <s v="S. Bhat"/>
  </r>
  <r>
    <n v="101222"/>
    <d v="2024-02-04T00:00:00"/>
    <x v="11"/>
    <s v="Arjun Nair"/>
    <x v="1"/>
    <x v="1"/>
    <x v="3"/>
    <s v="Wheat Flour 10kg"/>
    <n v="4"/>
    <n v="706.01"/>
    <n v="2824.04"/>
    <n v="0.15"/>
    <x v="5"/>
    <s v="A. Menon"/>
  </r>
  <r>
    <n v="101477"/>
    <d v="2024-07-21T00:00:00"/>
    <x v="1"/>
    <s v="Aadhya Iyer"/>
    <x v="1"/>
    <x v="9"/>
    <x v="6"/>
    <s v="Leather Formal Shoes"/>
    <n v="10"/>
    <n v="2691.22"/>
    <n v="26912.199999999997"/>
    <n v="0"/>
    <x v="1"/>
    <s v="T. Rana"/>
  </r>
  <r>
    <n v="100366"/>
    <d v="2024-11-04T00:00:00"/>
    <x v="7"/>
    <s v="Navya Bose"/>
    <x v="3"/>
    <x v="6"/>
    <x v="1"/>
    <s v="Formal Shirt"/>
    <m/>
    <n v="3372.88"/>
    <n v="0"/>
    <n v="0"/>
    <x v="2"/>
    <s v="S. Bhat"/>
  </r>
  <r>
    <n v="100590"/>
    <d v="2024-05-28T00:00:00"/>
    <x v="8"/>
    <s v="Sneha Chopra"/>
    <x v="0"/>
    <x v="8"/>
    <x v="3"/>
    <s v="Wheat Flour 10kg"/>
    <n v="9"/>
    <n v="536.82000000000005"/>
    <n v="4831.38"/>
    <n v="0"/>
    <x v="0"/>
    <s v="A. Menon"/>
  </r>
  <r>
    <n v="101528"/>
    <d v="2024-04-30T00:00:00"/>
    <x v="6"/>
    <s v="Saanvi Patel"/>
    <x v="2"/>
    <x v="2"/>
    <x v="1"/>
    <s v="Winter Sweater"/>
    <n v="9"/>
    <n v="795.17"/>
    <n v="7156.53"/>
    <n v="0"/>
    <x v="2"/>
    <s v="M. Ghosh"/>
  </r>
  <r>
    <n v="100199"/>
    <d v="2024-12-22T00:00:00"/>
    <x v="2"/>
    <s v="Karan Nair"/>
    <x v="3"/>
    <x v="6"/>
    <x v="5"/>
    <s v="Air Cooler"/>
    <n v="4"/>
    <n v="973.23"/>
    <n v="3892.92"/>
    <n v="0.05"/>
    <x v="3"/>
    <s v="D. Chawla"/>
  </r>
  <r>
    <n v="101953"/>
    <d v="2024-10-08T00:00:00"/>
    <x v="10"/>
    <s v="Neha Das"/>
    <x v="3"/>
    <x v="6"/>
    <x v="4"/>
    <s v="Wireless Earbuds"/>
    <n v="9"/>
    <n v="30233.91"/>
    <n v="272105.19"/>
    <n v="0"/>
    <x v="1"/>
    <s v="P. Trivedi"/>
  </r>
  <r>
    <n v="100193"/>
    <d v="2024-09-10T00:00:00"/>
    <x v="4"/>
    <s v="Ishaan Bansal"/>
    <x v="1"/>
    <x v="1"/>
    <x v="5"/>
    <s v="Air Cooler"/>
    <n v="4"/>
    <n v="1711.9"/>
    <n v="6847.6"/>
    <n v="0.15"/>
    <x v="1"/>
    <s v="D. Chawla"/>
  </r>
  <r>
    <n v="100405"/>
    <d v="2024-02-28T00:00:00"/>
    <x v="11"/>
    <s v="Anika Kapoor"/>
    <x v="4"/>
    <x v="4"/>
    <x v="5"/>
    <s v="Ceiling Fan"/>
    <n v="-1"/>
    <n v="9210.9"/>
    <n v="-9210.9"/>
    <n v="0"/>
    <x v="0"/>
    <s v="A. Menon"/>
  </r>
  <r>
    <n v="101592"/>
    <d v="2024-08-29T00:00:00"/>
    <x v="5"/>
    <s v="Kiara Mehta"/>
    <x v="3"/>
    <x v="6"/>
    <x v="3"/>
    <s v="Wheat Flour 10kg"/>
    <n v="-1"/>
    <n v="154.97999999999999"/>
    <n v="-154.97999999999999"/>
    <n v="0"/>
    <x v="1"/>
    <s v="S. Bhat"/>
  </r>
  <r>
    <n v="100484"/>
    <d v="2024-03-06T00:00:00"/>
    <x v="3"/>
    <s v="Reyansh Sharma"/>
    <x v="2"/>
    <x v="2"/>
    <x v="1"/>
    <s v="Men's Denim Jacket"/>
    <n v="11"/>
    <n v="1494.33"/>
    <n v="16437.629999999997"/>
    <n v="0"/>
    <x v="1"/>
    <s v="P. Trivedi"/>
  </r>
  <r>
    <n v="101476"/>
    <d v="2024-11-23T00:00:00"/>
    <x v="7"/>
    <s v="Aadhya Sharma"/>
    <x v="1"/>
    <x v="9"/>
    <x v="6"/>
    <s v="Leather Formal Shoes"/>
    <n v="5"/>
    <n v="3243.59"/>
    <n v="16217.95"/>
    <n v="0"/>
    <x v="4"/>
    <s v="A. Menon"/>
  </r>
  <r>
    <n v="100792"/>
    <d v="2024-12-12T00:00:00"/>
    <x v="2"/>
    <s v="Anika Gupta"/>
    <x v="4"/>
    <x v="7"/>
    <x v="4"/>
    <s v="Smartwatch S3"/>
    <n v="5"/>
    <n v="1853"/>
    <n v="9265"/>
    <n v="0.25"/>
    <x v="0"/>
    <s v="K. Iyer"/>
  </r>
  <r>
    <n v="100800"/>
    <d v="2024-08-08T00:00:00"/>
    <x v="5"/>
    <s v="Rohan Das"/>
    <x v="1"/>
    <x v="1"/>
    <x v="4"/>
    <s v="Smartwatch S3"/>
    <n v="10"/>
    <n v="26607.7"/>
    <n v="266077"/>
    <n v="0"/>
    <x v="0"/>
    <s v="R. Kulkarni"/>
  </r>
  <r>
    <n v="100385"/>
    <d v="2024-06-01T00:00:00"/>
    <x v="0"/>
    <s v="Neha Sharma"/>
    <x v="2"/>
    <x v="2"/>
    <x v="1"/>
    <s v="Formal Shirt"/>
    <n v="8"/>
    <n v="2787.41"/>
    <n v="22299.279999999999"/>
    <n v="0"/>
    <x v="5"/>
    <s v="K. Iyer"/>
  </r>
  <r>
    <n v="100751"/>
    <d v="2024-04-08T00:00:00"/>
    <x v="6"/>
    <s v="Sneha Mehta"/>
    <x v="3"/>
    <x v="3"/>
    <x v="5"/>
    <s v="Ceiling Fan"/>
    <n v="12"/>
    <n v="8952.99"/>
    <n v="107435.88"/>
    <n v="0"/>
    <x v="0"/>
    <s v="K. Iyer"/>
  </r>
  <r>
    <n v="100423"/>
    <d v="2024-04-28T00:00:00"/>
    <x v="6"/>
    <s v="Priya Kumar"/>
    <x v="0"/>
    <x v="0"/>
    <x v="1"/>
    <s v="Winter Sweater"/>
    <n v="11"/>
    <n v="1708.25"/>
    <n v="18790.75"/>
    <n v="0"/>
    <x v="2"/>
    <s v="M. Ghosh"/>
  </r>
  <r>
    <n v="100315"/>
    <d v="2024-11-07T00:00:00"/>
    <x v="7"/>
    <s v="Ishaan Malhotra"/>
    <x v="4"/>
    <x v="7"/>
    <x v="3"/>
    <s v="Wheat Flour 10kg"/>
    <n v="3"/>
    <n v="0"/>
    <n v="0"/>
    <n v="0.1"/>
    <x v="2"/>
    <s v="D. Chawla"/>
  </r>
  <r>
    <n v="101022"/>
    <d v="2024-01-05T00:00:00"/>
    <x v="9"/>
    <s v="(Unknown)"/>
    <x v="0"/>
    <x v="8"/>
    <x v="3"/>
    <s v="Cooking Oil 1L"/>
    <n v="2"/>
    <n v="892.61"/>
    <n v="1785.22"/>
    <n v="0.2"/>
    <x v="2"/>
    <s v="T. Rana"/>
  </r>
  <r>
    <n v="100544"/>
    <d v="2024-09-10T00:00:00"/>
    <x v="4"/>
    <s v="Ishaan Kapoor"/>
    <x v="1"/>
    <x v="1"/>
    <x v="6"/>
    <s v="Sandals"/>
    <n v="2"/>
    <n v="878.86"/>
    <n v="1757.72"/>
    <n v="0"/>
    <x v="4"/>
    <s v="T. Rana"/>
  </r>
  <r>
    <n v="100914"/>
    <d v="2024-05-18T00:00:00"/>
    <x v="8"/>
    <s v="Priya Agarwal"/>
    <x v="1"/>
    <x v="9"/>
    <x v="0"/>
    <s v="Wooden Dining Table"/>
    <n v="5"/>
    <n v="2770.17"/>
    <n v="13850.85"/>
    <n v="0"/>
    <x v="2"/>
    <s v="T. Rana"/>
  </r>
  <r>
    <n v="100663"/>
    <d v="2024-08-27T00:00:00"/>
    <x v="5"/>
    <s v="Ananya Reddy"/>
    <x v="0"/>
    <x v="8"/>
    <x v="3"/>
    <s v="Cooking Oil 1L"/>
    <n v="5"/>
    <n v="505.8"/>
    <n v="2529"/>
    <n v="0.2"/>
    <x v="3"/>
    <s v="M. Ghosh"/>
  </r>
  <r>
    <n v="100903"/>
    <d v="2024-08-14T00:00:00"/>
    <x v="5"/>
    <s v="Rohan Agarwal"/>
    <x v="4"/>
    <x v="7"/>
    <x v="0"/>
    <s v="Sofa 3-Seater"/>
    <n v="6"/>
    <n v="17523.849999999999"/>
    <n v="105143.09999999999"/>
    <n v="0.25"/>
    <x v="5"/>
    <s v="P. Trivedi"/>
  </r>
  <r>
    <n v="101413"/>
    <d v="2024-11-09T00:00:00"/>
    <x v="7"/>
    <s v="Saanvi Singh"/>
    <x v="1"/>
    <x v="9"/>
    <x v="2"/>
    <s v="Notebook Pack"/>
    <n v="7"/>
    <n v="34.42"/>
    <n v="240.94"/>
    <n v="0.05"/>
    <x v="2"/>
    <s v="D. Chawla"/>
  </r>
  <r>
    <n v="100686"/>
    <d v="2024-11-22T00:00:00"/>
    <x v="7"/>
    <s v="Kiara Pillai"/>
    <x v="0"/>
    <x v="8"/>
    <x v="2"/>
    <s v="Gel Pen Set"/>
    <n v="3"/>
    <n v="147.27000000000001"/>
    <n v="441.81000000000006"/>
    <n v="0.15"/>
    <x v="3"/>
    <s v="M. Ghosh"/>
  </r>
  <r>
    <n v="101697"/>
    <d v="2024-09-25T00:00:00"/>
    <x v="4"/>
    <s v="Sai Malhotra"/>
    <x v="2"/>
    <x v="5"/>
    <x v="1"/>
    <s v="Formal Shirt"/>
    <n v="8"/>
    <n v="1633.29"/>
    <n v="13066.32"/>
    <n v="0.1"/>
    <x v="2"/>
    <s v="P. Trivedi"/>
  </r>
  <r>
    <n v="100160"/>
    <d v="2024-05-10T00:00:00"/>
    <x v="8"/>
    <s v="Krishna Kapoor"/>
    <x v="4"/>
    <x v="4"/>
    <x v="1"/>
    <s v="Kids T-Shirt"/>
    <n v="8"/>
    <n v="2933.9"/>
    <n v="23471.200000000001"/>
    <n v="0.05"/>
    <x v="1"/>
    <s v="P. Trivedi"/>
  </r>
  <r>
    <n v="101000"/>
    <d v="2024-02-06T00:00:00"/>
    <x v="11"/>
    <s v="Vihaan Das"/>
    <x v="3"/>
    <x v="6"/>
    <x v="4"/>
    <s v="Bluetooth Speaker"/>
    <n v="5"/>
    <n v="39048.76"/>
    <n v="195243.80000000002"/>
    <n v="0.2"/>
    <x v="0"/>
    <s v="A. Menon"/>
  </r>
  <r>
    <n v="101554"/>
    <d v="2024-09-07T00:00:00"/>
    <x v="4"/>
    <s v="Krishna Sharma"/>
    <x v="2"/>
    <x v="5"/>
    <x v="3"/>
    <s v="Basmati Rice 5kg"/>
    <n v="4"/>
    <n v="346.54"/>
    <n v="1386.16"/>
    <n v="0.1"/>
    <x v="1"/>
    <s v="A. Menon"/>
  </r>
  <r>
    <n v="101797"/>
    <d v="2024-05-01T00:00:00"/>
    <x v="8"/>
    <s v="(Unknown)"/>
    <x v="4"/>
    <x v="4"/>
    <x v="0"/>
    <s v="Sofa 3-Seater"/>
    <n v="11"/>
    <n v="22866.13"/>
    <n v="251527.43000000002"/>
    <n v="0"/>
    <x v="5"/>
    <s v="D. Chawla"/>
  </r>
  <r>
    <n v="100203"/>
    <d v="2024-01-03T00:00:00"/>
    <x v="9"/>
    <s v="Pooja Nair"/>
    <x v="2"/>
    <x v="5"/>
    <x v="5"/>
    <s v="Air Cooler"/>
    <n v="7"/>
    <n v="5661.41"/>
    <n v="39629.869999999995"/>
    <n v="0"/>
    <x v="4"/>
    <s v="T. Rana"/>
  </r>
  <r>
    <n v="101024"/>
    <d v="2024-03-02T00:00:00"/>
    <x v="3"/>
    <s v="Ira Verma"/>
    <x v="2"/>
    <x v="2"/>
    <x v="4"/>
    <s v="Smartwatch S3"/>
    <n v="3"/>
    <n v="32596.78"/>
    <n v="97790.34"/>
    <n v="0"/>
    <x v="3"/>
    <s v="P. Trivedi"/>
  </r>
  <r>
    <n v="101551"/>
    <d v="2024-05-04T00:00:00"/>
    <x v="8"/>
    <s v="Aarav Singh"/>
    <x v="0"/>
    <x v="0"/>
    <x v="0"/>
    <s v="Bookshelf"/>
    <n v="11"/>
    <n v="16270.35"/>
    <n v="178973.85"/>
    <n v="0.25"/>
    <x v="2"/>
    <s v="S. Bhat"/>
  </r>
  <r>
    <n v="101600"/>
    <d v="2024-07-30T00:00:00"/>
    <x v="1"/>
    <s v="Ayaan Sharma"/>
    <x v="0"/>
    <x v="8"/>
    <x v="3"/>
    <s v="Sugar 1kg"/>
    <n v="10"/>
    <n v="368"/>
    <n v="3680"/>
    <n v="0"/>
    <x v="3"/>
    <s v="K. Iyer"/>
  </r>
  <r>
    <n v="100113"/>
    <d v="2024-02-26T00:00:00"/>
    <x v="11"/>
    <s v="Kiara Chopra"/>
    <x v="1"/>
    <x v="9"/>
    <x v="4"/>
    <s v="Bluetooth Speaker"/>
    <n v="12"/>
    <n v="32520.22"/>
    <n v="390242.64"/>
    <n v="0.2"/>
    <x v="3"/>
    <s v="A. Menon"/>
  </r>
  <r>
    <n v="101827"/>
    <d v="2024-03-06T00:00:00"/>
    <x v="3"/>
    <s v="Krishna Sharma"/>
    <x v="4"/>
    <x v="4"/>
    <x v="6"/>
    <s v="Sneakers"/>
    <n v="12"/>
    <n v="3274.82"/>
    <n v="39297.840000000004"/>
    <n v="0"/>
    <x v="1"/>
    <s v="P. Trivedi"/>
  </r>
  <r>
    <n v="101248"/>
    <d v="2024-08-18T00:00:00"/>
    <x v="5"/>
    <s v="Karan Patel"/>
    <x v="1"/>
    <x v="9"/>
    <x v="4"/>
    <s v="LED TV 42in"/>
    <n v="10"/>
    <n v="21953.98"/>
    <n v="219539.8"/>
    <n v="0.1"/>
    <x v="5"/>
    <s v="K. Iyer"/>
  </r>
  <r>
    <n v="100981"/>
    <d v="2024-07-07T00:00:00"/>
    <x v="1"/>
    <s v="Myra Pillai"/>
    <x v="4"/>
    <x v="7"/>
    <x v="1"/>
    <s v="Winter Sweater"/>
    <n v="9"/>
    <n v="3258.78"/>
    <n v="29329.02"/>
    <n v="0.1"/>
    <x v="4"/>
    <s v="T. Rana"/>
  </r>
  <r>
    <n v="100923"/>
    <d v="2024-10-18T00:00:00"/>
    <x v="10"/>
    <s v="Vihaan Patel"/>
    <x v="4"/>
    <x v="4"/>
    <x v="2"/>
    <s v="Gel Pen Set"/>
    <n v="10"/>
    <n v="371.01"/>
    <n v="3710.1"/>
    <n v="0"/>
    <x v="1"/>
    <s v="M. Ghosh"/>
  </r>
  <r>
    <n v="101500"/>
    <d v="2024-08-27T00:00:00"/>
    <x v="5"/>
    <s v="Rohan Bose"/>
    <x v="4"/>
    <x v="7"/>
    <x v="0"/>
    <s v="Wooden Dining Table"/>
    <n v="9"/>
    <n v="17704.400000000001"/>
    <n v="159339.6"/>
    <n v="0.2"/>
    <x v="3"/>
    <s v="M. Ghosh"/>
  </r>
  <r>
    <n v="101607"/>
    <d v="2024-07-20T00:00:00"/>
    <x v="1"/>
    <s v="Ayaan Chopra"/>
    <x v="2"/>
    <x v="5"/>
    <x v="2"/>
    <s v="Gel Pen Set"/>
    <n v="2"/>
    <n v="236.97"/>
    <n v="473.94"/>
    <n v="0.25"/>
    <x v="4"/>
    <s v="K. Iyer"/>
  </r>
  <r>
    <n v="101433"/>
    <d v="2024-06-04T00:00:00"/>
    <x v="0"/>
    <s v="Arjun Rao"/>
    <x v="3"/>
    <x v="6"/>
    <x v="6"/>
    <s v="Running Shoes"/>
    <n v="11"/>
    <n v="3679.59"/>
    <n v="40475.490000000005"/>
    <n v="0.25"/>
    <x v="3"/>
    <s v="A. Menon"/>
  </r>
  <r>
    <n v="101257"/>
    <d v="2024-01-07T00:00:00"/>
    <x v="9"/>
    <s v="Ayaan Nair"/>
    <x v="0"/>
    <x v="8"/>
    <x v="2"/>
    <s v="Gel Pen Set"/>
    <n v="11"/>
    <n v="303.76"/>
    <n v="3341.3599999999997"/>
    <n v="0"/>
    <x v="5"/>
    <s v="S. Bhat"/>
  </r>
  <r>
    <n v="100816"/>
    <d v="2024-12-28T00:00:00"/>
    <x v="2"/>
    <s v="Anika Rao"/>
    <x v="0"/>
    <x v="0"/>
    <x v="5"/>
    <s v="Mixer Grinder"/>
    <n v="7"/>
    <n v="8797.5"/>
    <n v="61582.5"/>
    <n v="0"/>
    <x v="0"/>
    <s v="S. Bhat"/>
  </r>
  <r>
    <n v="101380"/>
    <d v="2024-01-29T00:00:00"/>
    <x v="9"/>
    <s v="Ishaan Gupta"/>
    <x v="1"/>
    <x v="9"/>
    <x v="1"/>
    <s v="Winter Sweater"/>
    <n v="-1"/>
    <n v="2344.9"/>
    <n v="-2344.9"/>
    <n v="0"/>
    <x v="5"/>
    <s v="S. Bhat"/>
  </r>
  <r>
    <n v="101305"/>
    <d v="2024-09-10T00:00:00"/>
    <x v="4"/>
    <s v="Krishna Reddy"/>
    <x v="0"/>
    <x v="0"/>
    <x v="2"/>
    <s v="Geometry Box"/>
    <n v="6"/>
    <n v="280.79000000000002"/>
    <n v="1684.7400000000002"/>
    <n v="0"/>
    <x v="1"/>
    <s v="D. Chawla"/>
  </r>
  <r>
    <n v="100680"/>
    <d v="2024-10-31T00:00:00"/>
    <x v="10"/>
    <s v="Anika Iyer"/>
    <x v="0"/>
    <x v="0"/>
    <x v="4"/>
    <s v="Wireless Earbuds"/>
    <n v="3"/>
    <n v="19476.63"/>
    <n v="58429.89"/>
    <n v="0"/>
    <x v="0"/>
    <s v="K. Iyer"/>
  </r>
  <r>
    <n v="101094"/>
    <d v="2024-04-09T00:00:00"/>
    <x v="6"/>
    <s v="Neha Verma"/>
    <x v="0"/>
    <x v="8"/>
    <x v="0"/>
    <s v="Office Chair"/>
    <n v="5"/>
    <n v="9706.34"/>
    <n v="48531.7"/>
    <n v="0"/>
    <x v="3"/>
    <s v="T. Rana"/>
  </r>
  <r>
    <n v="100081"/>
    <d v="2024-11-09T00:00:00"/>
    <x v="7"/>
    <s v="Anika Kumar"/>
    <x v="2"/>
    <x v="2"/>
    <x v="1"/>
    <s v="Men's Denim Jacket"/>
    <n v="9"/>
    <n v="1794.92"/>
    <n v="16154.28"/>
    <n v="0"/>
    <x v="2"/>
    <s v="P. Trivedi"/>
  </r>
  <r>
    <n v="101780"/>
    <d v="2024-10-07T00:00:00"/>
    <x v="10"/>
    <s v="Vikram Verma"/>
    <x v="3"/>
    <x v="3"/>
    <x v="4"/>
    <s v="Smartphone X200"/>
    <n v="3"/>
    <n v="10737.02"/>
    <n v="32211.06"/>
    <n v="0"/>
    <x v="4"/>
    <s v="R. Kulkarni"/>
  </r>
  <r>
    <n v="101738"/>
    <d v="2024-02-03T00:00:00"/>
    <x v="11"/>
    <s v="Ayaan Rao"/>
    <x v="0"/>
    <x v="8"/>
    <x v="1"/>
    <s v="Men's Denim Jacket"/>
    <n v="11"/>
    <n v="3462.14"/>
    <n v="38083.54"/>
    <n v="0"/>
    <x v="0"/>
    <s v="S. Bhat"/>
  </r>
  <r>
    <n v="101550"/>
    <d v="2024-06-08T00:00:00"/>
    <x v="0"/>
    <s v="Sai Kapoor"/>
    <x v="0"/>
    <x v="0"/>
    <x v="3"/>
    <s v="Sugar 1kg"/>
    <n v="3"/>
    <n v="373.76"/>
    <n v="1121.28"/>
    <n v="0.2"/>
    <x v="3"/>
    <s v="K. Iyer"/>
  </r>
  <r>
    <n v="100753"/>
    <d v="2024-12-18T00:00:00"/>
    <x v="2"/>
    <s v="Myra Joshi"/>
    <x v="2"/>
    <x v="2"/>
    <x v="3"/>
    <s v="Wheat Flour 10kg"/>
    <n v="7"/>
    <n v="899.53"/>
    <n v="6296.71"/>
    <n v="0"/>
    <x v="4"/>
    <s v="T. Rana"/>
  </r>
  <r>
    <n v="101333"/>
    <d v="2024-12-09T00:00:00"/>
    <x v="2"/>
    <s v="Vivaan Bansal"/>
    <x v="2"/>
    <x v="5"/>
    <x v="3"/>
    <s v="Sugar 1kg"/>
    <n v="11"/>
    <n v="669.58"/>
    <n v="7365.38"/>
    <n v="0.05"/>
    <x v="1"/>
    <s v="D. Chawla"/>
  </r>
  <r>
    <n v="101055"/>
    <d v="2024-10-04T00:00:00"/>
    <x v="10"/>
    <s v="Sai Malhotra"/>
    <x v="4"/>
    <x v="7"/>
    <x v="6"/>
    <s v="Sneakers"/>
    <n v="1"/>
    <n v="3023.24"/>
    <n v="3023.24"/>
    <n v="0"/>
    <x v="1"/>
    <s v="A. Menon"/>
  </r>
  <r>
    <n v="100243"/>
    <d v="2024-12-10T00:00:00"/>
    <x v="2"/>
    <s v="Ananya Rao"/>
    <x v="1"/>
    <x v="9"/>
    <x v="3"/>
    <s v="Cooking Oil 1L"/>
    <n v="10"/>
    <n v="124.63"/>
    <n v="1246.3"/>
    <n v="0.2"/>
    <x v="0"/>
    <s v="P. Trivedi"/>
  </r>
  <r>
    <n v="101355"/>
    <d v="2024-10-20T00:00:00"/>
    <x v="10"/>
    <s v="Sai Das"/>
    <x v="2"/>
    <x v="5"/>
    <x v="6"/>
    <s v="Leather Formal Shoes"/>
    <n v="-2"/>
    <n v="1723.11"/>
    <n v="-3446.22"/>
    <n v="0"/>
    <x v="5"/>
    <s v="D. Chawla"/>
  </r>
  <r>
    <n v="100642"/>
    <d v="2024-06-16T00:00:00"/>
    <x v="0"/>
    <s v="Diya Joshi"/>
    <x v="2"/>
    <x v="2"/>
    <x v="5"/>
    <s v="Air Cooler"/>
    <n v="10"/>
    <n v="8538.15"/>
    <n v="85381.5"/>
    <n v="0"/>
    <x v="3"/>
    <s v="A. Menon"/>
  </r>
  <r>
    <n v="100697"/>
    <d v="2024-02-08T00:00:00"/>
    <x v="11"/>
    <s v="Vikram Das"/>
    <x v="1"/>
    <x v="1"/>
    <x v="2"/>
    <s v="Gel Pen Set"/>
    <n v="7"/>
    <n v="0"/>
    <n v="0"/>
    <n v="0.25"/>
    <x v="4"/>
    <s v="K. Iyer"/>
  </r>
  <r>
    <n v="100210"/>
    <d v="2024-11-04T00:00:00"/>
    <x v="7"/>
    <s v="Aditya Pillai"/>
    <x v="4"/>
    <x v="7"/>
    <x v="3"/>
    <s v="Cooking Oil 1L"/>
    <m/>
    <n v="625.38"/>
    <n v="0"/>
    <n v="0"/>
    <x v="5"/>
    <s v="P. Trivedi"/>
  </r>
  <r>
    <n v="100771"/>
    <d v="2024-03-10T00:00:00"/>
    <x v="3"/>
    <s v="Saanvi Singh"/>
    <x v="4"/>
    <x v="7"/>
    <x v="2"/>
    <s v="Notebook Pack"/>
    <n v="2"/>
    <n v="373.67"/>
    <n v="747.34"/>
    <n v="0.15"/>
    <x v="2"/>
    <s v="M. Ghosh"/>
  </r>
  <r>
    <n v="101774"/>
    <d v="2024-05-06T00:00:00"/>
    <x v="8"/>
    <s v="Priya Agarwal"/>
    <x v="2"/>
    <x v="5"/>
    <x v="5"/>
    <s v="Microwave Oven"/>
    <n v="3"/>
    <n v="5494.63"/>
    <n v="16483.89"/>
    <n v="0.2"/>
    <x v="0"/>
    <s v="M. Ghosh"/>
  </r>
  <r>
    <n v="100436"/>
    <d v="2024-08-09T00:00:00"/>
    <x v="5"/>
    <s v="Ananya Verma"/>
    <x v="2"/>
    <x v="5"/>
    <x v="2"/>
    <s v="Gel Pen Set"/>
    <n v="11"/>
    <n v="221.62"/>
    <n v="2437.8200000000002"/>
    <n v="0.15"/>
    <x v="2"/>
    <s v="K. Iyer"/>
  </r>
  <r>
    <n v="101064"/>
    <d v="2024-05-20T00:00:00"/>
    <x v="8"/>
    <s v="Neha Reddy"/>
    <x v="3"/>
    <x v="3"/>
    <x v="1"/>
    <s v="Women's Kurti"/>
    <n v="5"/>
    <n v="1189.9000000000001"/>
    <n v="5949.5"/>
    <n v="0"/>
    <x v="0"/>
    <s v="A. Menon"/>
  </r>
  <r>
    <n v="100975"/>
    <d v="2024-07-02T00:00:00"/>
    <x v="1"/>
    <s v="Riya Chopra"/>
    <x v="1"/>
    <x v="9"/>
    <x v="3"/>
    <s v="Cooking Oil 1L"/>
    <n v="1"/>
    <n v="97.68"/>
    <n v="97.68"/>
    <n v="0.05"/>
    <x v="4"/>
    <s v="R. Kulkarni"/>
  </r>
  <r>
    <n v="100552"/>
    <d v="2024-03-24T00:00:00"/>
    <x v="3"/>
    <s v="Rahul Reddy"/>
    <x v="0"/>
    <x v="8"/>
    <x v="4"/>
    <s v="Bluetooth Speaker"/>
    <n v="1"/>
    <n v="33235.440000000002"/>
    <n v="33235.440000000002"/>
    <n v="0.05"/>
    <x v="5"/>
    <s v="R. Kulkarni"/>
  </r>
  <r>
    <n v="101410"/>
    <d v="2024-02-28T00:00:00"/>
    <x v="11"/>
    <s v="Amit Mehta"/>
    <x v="3"/>
    <x v="3"/>
    <x v="4"/>
    <s v="Smartphone X200"/>
    <n v="1"/>
    <n v="36401.86"/>
    <n v="36401.86"/>
    <n v="0"/>
    <x v="4"/>
    <s v="P. Trivedi"/>
  </r>
  <r>
    <n v="101523"/>
    <d v="2024-03-24T00:00:00"/>
    <x v="3"/>
    <s v="Priya Pillai"/>
    <x v="4"/>
    <x v="4"/>
    <x v="5"/>
    <s v="Ceiling Fan"/>
    <n v="3"/>
    <n v="4888.34"/>
    <n v="14665.02"/>
    <n v="0.2"/>
    <x v="2"/>
    <s v="T. Rana"/>
  </r>
  <r>
    <n v="101014"/>
    <d v="2024-10-20T00:00:00"/>
    <x v="10"/>
    <s v="Arjun Reddy"/>
    <x v="1"/>
    <x v="9"/>
    <x v="2"/>
    <s v="Gel Pen Set"/>
    <n v="12"/>
    <n v="111.98"/>
    <n v="1343.76"/>
    <n v="0.2"/>
    <x v="4"/>
    <s v="D. Chawla"/>
  </r>
  <r>
    <n v="101906"/>
    <d v="2024-02-07T00:00:00"/>
    <x v="11"/>
    <s v="Ishaan Verma"/>
    <x v="3"/>
    <x v="6"/>
    <x v="6"/>
    <s v="Sneakers"/>
    <n v="9"/>
    <n v="4231.1099999999997"/>
    <n v="38079.99"/>
    <n v="0.2"/>
    <x v="0"/>
    <s v="R. Kulkarni"/>
  </r>
  <r>
    <n v="100467"/>
    <d v="2024-08-17T00:00:00"/>
    <x v="5"/>
    <s v="Kiara Kapoor"/>
    <x v="3"/>
    <x v="6"/>
    <x v="1"/>
    <s v="Men's Denim Jacket"/>
    <n v="7"/>
    <n v="2567.88"/>
    <n v="17975.16"/>
    <n v="0.2"/>
    <x v="0"/>
    <s v="T. Rana"/>
  </r>
  <r>
    <n v="101491"/>
    <d v="2024-10-07T00:00:00"/>
    <x v="10"/>
    <s v="Saanvi Bose"/>
    <x v="4"/>
    <x v="4"/>
    <x v="6"/>
    <s v="Running Shoes"/>
    <n v="2"/>
    <n v="3030.09"/>
    <n v="6060.18"/>
    <n v="0"/>
    <x v="4"/>
    <s v="T. Rana"/>
  </r>
  <r>
    <n v="101320"/>
    <d v="2024-04-27T00:00:00"/>
    <x v="6"/>
    <s v="Aadhya Bose"/>
    <x v="4"/>
    <x v="7"/>
    <x v="3"/>
    <s v="Sugar 1kg"/>
    <n v="9"/>
    <n v="226"/>
    <n v="2034"/>
    <n v="0.1"/>
    <x v="0"/>
    <s v="D. Chawla"/>
  </r>
  <r>
    <n v="100278"/>
    <d v="2024-03-11T00:00:00"/>
    <x v="3"/>
    <s v="Riya Iyer"/>
    <x v="2"/>
    <x v="5"/>
    <x v="0"/>
    <s v="Sofa 3-Seater"/>
    <n v="7"/>
    <n v="6104.17"/>
    <n v="42729.19"/>
    <n v="0.25"/>
    <x v="1"/>
    <s v="A. Menon"/>
  </r>
  <r>
    <n v="101070"/>
    <d v="2024-11-28T00:00:00"/>
    <x v="7"/>
    <s v="(Unknown)"/>
    <x v="4"/>
    <x v="4"/>
    <x v="5"/>
    <s v="Air Cooler"/>
    <n v="1"/>
    <n v="3100.86"/>
    <n v="3100.86"/>
    <n v="0.1"/>
    <x v="1"/>
    <s v="R. Kulkarni"/>
  </r>
  <r>
    <n v="101018"/>
    <d v="2024-06-18T00:00:00"/>
    <x v="0"/>
    <s v="Vihaan Kapoor"/>
    <x v="2"/>
    <x v="2"/>
    <x v="3"/>
    <s v="Tea Pack 500g"/>
    <n v="9"/>
    <n v="189.72"/>
    <n v="1707.48"/>
    <n v="0.2"/>
    <x v="4"/>
    <s v="A. Menon"/>
  </r>
  <r>
    <n v="101356"/>
    <d v="2024-06-17T00:00:00"/>
    <x v="0"/>
    <s v="Ishaan Singh"/>
    <x v="1"/>
    <x v="1"/>
    <x v="0"/>
    <s v="Office Chair"/>
    <n v="11"/>
    <n v="23487.84"/>
    <n v="258366.24"/>
    <n v="0"/>
    <x v="1"/>
    <s v="M. Ghosh"/>
  </r>
  <r>
    <n v="100723"/>
    <d v="2024-04-24T00:00:00"/>
    <x v="6"/>
    <s v="Ira Bansal"/>
    <x v="2"/>
    <x v="5"/>
    <x v="1"/>
    <s v="Men's Denim Jacket"/>
    <n v="12"/>
    <n v="3422.9"/>
    <n v="41074.800000000003"/>
    <n v="0.1"/>
    <x v="3"/>
    <s v="M. Ghosh"/>
  </r>
  <r>
    <n v="101973"/>
    <d v="2024-11-14T00:00:00"/>
    <x v="7"/>
    <s v="Sneha Gupta"/>
    <x v="1"/>
    <x v="1"/>
    <x v="4"/>
    <s v="LED TV 42in"/>
    <n v="12"/>
    <n v="10579.15"/>
    <n v="126949.79999999999"/>
    <n v="0"/>
    <x v="5"/>
    <s v="R. Kulkarni"/>
  </r>
  <r>
    <n v="100787"/>
    <d v="2024-08-19T00:00:00"/>
    <x v="5"/>
    <s v="Amit Kapoor"/>
    <x v="0"/>
    <x v="8"/>
    <x v="6"/>
    <s v="Leather Formal Shoes"/>
    <n v="6"/>
    <n v="3531.06"/>
    <n v="21186.36"/>
    <n v="0.15"/>
    <x v="4"/>
    <s v="T. Rana"/>
  </r>
  <r>
    <n v="101563"/>
    <d v="2024-06-28T00:00:00"/>
    <x v="0"/>
    <s v="Priya Sharma"/>
    <x v="2"/>
    <x v="5"/>
    <x v="3"/>
    <s v="Wheat Flour 10kg"/>
    <n v="5"/>
    <n v="0"/>
    <n v="0"/>
    <n v="0.25"/>
    <x v="4"/>
    <s v="A. Menon"/>
  </r>
  <r>
    <n v="101777"/>
    <d v="2024-07-01T00:00:00"/>
    <x v="1"/>
    <s v="Navya Pillai"/>
    <x v="2"/>
    <x v="5"/>
    <x v="2"/>
    <s v="A4 Paper Ream"/>
    <n v="8"/>
    <n v="49.57"/>
    <n v="396.56"/>
    <n v="0"/>
    <x v="3"/>
    <s v="T. Rana"/>
  </r>
  <r>
    <n v="101450"/>
    <d v="2024-09-08T00:00:00"/>
    <x v="4"/>
    <s v="Ananya Das"/>
    <x v="4"/>
    <x v="7"/>
    <x v="3"/>
    <s v="Cooking Oil 1L"/>
    <n v="1"/>
    <n v="523.96"/>
    <n v="523.96"/>
    <n v="0.15"/>
    <x v="1"/>
    <s v="K. Iyer"/>
  </r>
  <r>
    <n v="101317"/>
    <d v="2024-03-03T00:00:00"/>
    <x v="3"/>
    <s v="Rohan Iyer"/>
    <x v="1"/>
    <x v="1"/>
    <x v="4"/>
    <s v="Smartwatch S3"/>
    <n v="6"/>
    <n v="25275.11"/>
    <n v="151650.66"/>
    <n v="0.2"/>
    <x v="0"/>
    <s v="A. Menon"/>
  </r>
  <r>
    <n v="100907"/>
    <d v="2024-12-04T00:00:00"/>
    <x v="2"/>
    <s v="Sai Das"/>
    <x v="2"/>
    <x v="2"/>
    <x v="4"/>
    <s v="Bluetooth Speaker"/>
    <n v="1"/>
    <n v="26264.97"/>
    <n v="26264.97"/>
    <n v="0"/>
    <x v="0"/>
    <s v="T. Rana"/>
  </r>
  <r>
    <n v="100564"/>
    <d v="2024-08-13T00:00:00"/>
    <x v="5"/>
    <s v="Navya Malhotra"/>
    <x v="3"/>
    <x v="6"/>
    <x v="2"/>
    <s v="Notebook Pack"/>
    <n v="1"/>
    <n v="339.37"/>
    <n v="339.37"/>
    <n v="0"/>
    <x v="3"/>
    <s v="A. Menon"/>
  </r>
  <r>
    <n v="100389"/>
    <d v="2024-09-02T00:00:00"/>
    <x v="4"/>
    <s v="(Unknown)"/>
    <x v="1"/>
    <x v="9"/>
    <x v="6"/>
    <s v="Sneakers"/>
    <n v="3"/>
    <n v="1601.76"/>
    <n v="4805.28"/>
    <n v="0.05"/>
    <x v="2"/>
    <s v="D. Chawla"/>
  </r>
  <r>
    <n v="100023"/>
    <d v="2024-10-20T00:00:00"/>
    <x v="10"/>
    <s v="Arjun Rao"/>
    <x v="2"/>
    <x v="5"/>
    <x v="3"/>
    <s v="Cooking Oil 1L"/>
    <n v="2"/>
    <n v="175.44"/>
    <n v="350.88"/>
    <n v="0.25"/>
    <x v="4"/>
    <s v="K. Iyer"/>
  </r>
  <r>
    <n v="101735"/>
    <d v="2024-04-25T00:00:00"/>
    <x v="6"/>
    <s v="Ishaan Patel"/>
    <x v="1"/>
    <x v="1"/>
    <x v="1"/>
    <s v="Women's Kurti"/>
    <n v="5"/>
    <n v="2334.5300000000002"/>
    <n v="11672.650000000001"/>
    <n v="0"/>
    <x v="1"/>
    <s v="A. Menon"/>
  </r>
  <r>
    <n v="100125"/>
    <d v="2024-03-03T00:00:00"/>
    <x v="3"/>
    <s v="Reyansh Kapoor"/>
    <x v="1"/>
    <x v="9"/>
    <x v="0"/>
    <s v="Study Desk"/>
    <n v="2"/>
    <n v="19077.919999999998"/>
    <n v="38155.839999999997"/>
    <n v="0.15"/>
    <x v="0"/>
    <s v="M. Ghosh"/>
  </r>
  <r>
    <n v="101260"/>
    <d v="2024-10-11T00:00:00"/>
    <x v="10"/>
    <s v="Ayaan Agarwal"/>
    <x v="0"/>
    <x v="0"/>
    <x v="4"/>
    <s v="Smartphone X200"/>
    <n v="6"/>
    <n v="0"/>
    <n v="0"/>
    <n v="0.15"/>
    <x v="1"/>
    <s v="M. Ghosh"/>
  </r>
  <r>
    <n v="100774"/>
    <d v="2024-12-17T00:00:00"/>
    <x v="2"/>
    <s v="Neha Sharma"/>
    <x v="0"/>
    <x v="8"/>
    <x v="5"/>
    <s v="Electric Kettle"/>
    <n v="9"/>
    <n v="10609.54"/>
    <n v="95485.860000000015"/>
    <n v="0.15"/>
    <x v="4"/>
    <s v="T. Rana"/>
  </r>
  <r>
    <n v="100881"/>
    <d v="2024-07-16T00:00:00"/>
    <x v="1"/>
    <s v="(Unknown)"/>
    <x v="3"/>
    <x v="6"/>
    <x v="6"/>
    <s v="Sandals"/>
    <n v="7"/>
    <n v="1702.01"/>
    <n v="11914.07"/>
    <n v="0.1"/>
    <x v="1"/>
    <s v="A. Menon"/>
  </r>
  <r>
    <n v="101145"/>
    <d v="2024-11-07T00:00:00"/>
    <x v="7"/>
    <s v="Saanvi Reddy"/>
    <x v="4"/>
    <x v="4"/>
    <x v="6"/>
    <s v="Sneakers"/>
    <n v="1"/>
    <n v="3758.07"/>
    <n v="3758.07"/>
    <n v="0.1"/>
    <x v="1"/>
    <s v="T. Rana"/>
  </r>
  <r>
    <n v="101167"/>
    <d v="2024-01-08T00:00:00"/>
    <x v="9"/>
    <s v="Rohan Bansal"/>
    <x v="4"/>
    <x v="4"/>
    <x v="2"/>
    <s v="Geometry Box"/>
    <n v="4"/>
    <n v="365.02"/>
    <n v="1460.08"/>
    <n v="0.05"/>
    <x v="5"/>
    <s v="D. Chawla"/>
  </r>
  <r>
    <n v="100051"/>
    <d v="2024-03-20T00:00:00"/>
    <x v="3"/>
    <s v="Navya Chopra"/>
    <x v="0"/>
    <x v="0"/>
    <x v="2"/>
    <s v="A4 Paper Ream"/>
    <n v="12"/>
    <n v="380.92"/>
    <n v="4571.04"/>
    <n v="0"/>
    <x v="3"/>
    <s v="D. Chawla"/>
  </r>
  <r>
    <n v="101657"/>
    <d v="2024-09-24T00:00:00"/>
    <x v="4"/>
    <s v="Navya Das"/>
    <x v="2"/>
    <x v="5"/>
    <x v="5"/>
    <s v="Air Cooler"/>
    <n v="5"/>
    <n v="5234.75"/>
    <n v="26173.75"/>
    <n v="0"/>
    <x v="4"/>
    <s v="T. Rana"/>
  </r>
  <r>
    <n v="101767"/>
    <d v="2024-02-25T00:00:00"/>
    <x v="11"/>
    <s v="(Unknown)"/>
    <x v="2"/>
    <x v="2"/>
    <x v="0"/>
    <s v="Sofa 3-Seater"/>
    <n v="12"/>
    <n v="6336.95"/>
    <n v="76043.399999999994"/>
    <n v="0.2"/>
    <x v="3"/>
    <s v="R. Kulkarni"/>
  </r>
  <r>
    <n v="101106"/>
    <d v="2024-10-05T00:00:00"/>
    <x v="10"/>
    <s v="Ananya Bose"/>
    <x v="1"/>
    <x v="9"/>
    <x v="6"/>
    <s v="Running Shoes"/>
    <n v="6"/>
    <n v="1695.3"/>
    <n v="10171.799999999999"/>
    <n v="0.25"/>
    <x v="4"/>
    <s v="M. Ghosh"/>
  </r>
  <r>
    <n v="100704"/>
    <d v="2024-08-04T00:00:00"/>
    <x v="5"/>
    <s v="Anika Iyer"/>
    <x v="4"/>
    <x v="4"/>
    <x v="5"/>
    <s v="Air Cooler"/>
    <n v="5"/>
    <n v="8979.93"/>
    <n v="44899.65"/>
    <n v="0.15"/>
    <x v="0"/>
    <s v="P. Trivedi"/>
  </r>
  <r>
    <n v="100483"/>
    <d v="2024-07-19T00:00:00"/>
    <x v="1"/>
    <s v="Ayaan Agarwal"/>
    <x v="3"/>
    <x v="6"/>
    <x v="2"/>
    <s v="Gel Pen Set"/>
    <n v="3"/>
    <n v="362.57"/>
    <n v="1087.71"/>
    <n v="0.2"/>
    <x v="5"/>
    <s v="K. Iyer"/>
  </r>
  <r>
    <n v="101146"/>
    <d v="2024-11-04T00:00:00"/>
    <x v="7"/>
    <s v="Arjun Agarwal"/>
    <x v="1"/>
    <x v="9"/>
    <x v="5"/>
    <s v="Air Cooler"/>
    <n v="12"/>
    <n v="11905.59"/>
    <n v="142867.08000000002"/>
    <n v="0.05"/>
    <x v="5"/>
    <s v="R. Kulkarni"/>
  </r>
  <r>
    <n v="101931"/>
    <d v="2024-10-21T00:00:00"/>
    <x v="10"/>
    <s v="Nisha Singh"/>
    <x v="1"/>
    <x v="1"/>
    <x v="1"/>
    <s v="Women's Kurti"/>
    <n v="8"/>
    <n v="1265.73"/>
    <n v="10125.84"/>
    <n v="0.25"/>
    <x v="0"/>
    <s v="R. Kulkarni"/>
  </r>
  <r>
    <n v="100067"/>
    <d v="2024-12-04T00:00:00"/>
    <x v="2"/>
    <s v="Diya Sharma"/>
    <x v="1"/>
    <x v="1"/>
    <x v="1"/>
    <s v="Formal Shirt"/>
    <n v="12"/>
    <n v="2394.83"/>
    <n v="28737.96"/>
    <n v="0"/>
    <x v="0"/>
    <s v="K. Iyer"/>
  </r>
  <r>
    <n v="101740"/>
    <d v="2024-02-12T00:00:00"/>
    <x v="11"/>
    <s v="Krishna Bansal"/>
    <x v="1"/>
    <x v="1"/>
    <x v="6"/>
    <s v="Sneakers"/>
    <n v="4"/>
    <n v="3656.81"/>
    <n v="14627.24"/>
    <n v="0"/>
    <x v="3"/>
    <s v="D. Chawla"/>
  </r>
  <r>
    <n v="100734"/>
    <d v="2024-08-16T00:00:00"/>
    <x v="5"/>
    <s v="Riya Chopra"/>
    <x v="0"/>
    <x v="8"/>
    <x v="3"/>
    <s v="Cooking Oil 1L"/>
    <n v="5"/>
    <n v="142.19999999999999"/>
    <n v="711"/>
    <n v="0.05"/>
    <x v="0"/>
    <s v="P. Trivedi"/>
  </r>
  <r>
    <n v="101804"/>
    <d v="2024-10-08T00:00:00"/>
    <x v="10"/>
    <s v="Diya Iyer"/>
    <x v="3"/>
    <x v="6"/>
    <x v="3"/>
    <s v="Basmati Rice 5kg"/>
    <n v="11"/>
    <n v="264.69"/>
    <n v="2911.59"/>
    <n v="0"/>
    <x v="4"/>
    <s v="A. Menon"/>
  </r>
  <r>
    <n v="100802"/>
    <d v="2024-08-05T00:00:00"/>
    <x v="5"/>
    <s v="Pooja Rao"/>
    <x v="4"/>
    <x v="7"/>
    <x v="4"/>
    <s v="Laptop Air 14"/>
    <n v="2"/>
    <n v="19017.29"/>
    <n v="38034.58"/>
    <n v="0"/>
    <x v="4"/>
    <s v="P. Trivedi"/>
  </r>
  <r>
    <n v="101564"/>
    <d v="2024-07-22T00:00:00"/>
    <x v="1"/>
    <s v="Myra Das"/>
    <x v="2"/>
    <x v="2"/>
    <x v="6"/>
    <s v="Leather Formal Shoes"/>
    <n v="9"/>
    <n v="970.74"/>
    <n v="8736.66"/>
    <n v="0.2"/>
    <x v="5"/>
    <s v="M. Ghosh"/>
  </r>
  <r>
    <n v="101485"/>
    <d v="2024-06-24T00:00:00"/>
    <x v="0"/>
    <s v="Krishna Mehta"/>
    <x v="3"/>
    <x v="3"/>
    <x v="2"/>
    <s v="Geometry Box"/>
    <n v="-1"/>
    <n v="511.5"/>
    <n v="-511.5"/>
    <n v="0"/>
    <x v="5"/>
    <s v="K. Iyer"/>
  </r>
  <r>
    <n v="100908"/>
    <d v="2024-05-05T00:00:00"/>
    <x v="8"/>
    <s v="Ishaan Joshi"/>
    <x v="3"/>
    <x v="3"/>
    <x v="5"/>
    <s v="Air Cooler"/>
    <n v="10"/>
    <n v="4118.79"/>
    <n v="41187.9"/>
    <n v="0.15"/>
    <x v="5"/>
    <s v="P. Trivedi"/>
  </r>
  <r>
    <n v="100032"/>
    <d v="2024-08-07T00:00:00"/>
    <x v="5"/>
    <s v="Ananya Chopra"/>
    <x v="2"/>
    <x v="5"/>
    <x v="2"/>
    <s v="A4 Paper Ream"/>
    <n v="12"/>
    <n v="481.97"/>
    <n v="5783.64"/>
    <n v="0.15"/>
    <x v="5"/>
    <s v="P. Trivedi"/>
  </r>
  <r>
    <n v="100418"/>
    <d v="2024-04-26T00:00:00"/>
    <x v="6"/>
    <s v="Ishaan Bansal"/>
    <x v="4"/>
    <x v="4"/>
    <x v="3"/>
    <s v="Basmati Rice 5kg"/>
    <n v="7"/>
    <n v="149.74"/>
    <n v="1048.18"/>
    <n v="0.2"/>
    <x v="1"/>
    <s v="S. Bhat"/>
  </r>
  <r>
    <n v="100882"/>
    <d v="2024-12-28T00:00:00"/>
    <x v="2"/>
    <s v="Priya Joshi"/>
    <x v="2"/>
    <x v="2"/>
    <x v="5"/>
    <s v="Microwave Oven"/>
    <n v="5"/>
    <n v="2395.0500000000002"/>
    <n v="11975.25"/>
    <n v="0.2"/>
    <x v="2"/>
    <s v="R. Kulkarni"/>
  </r>
  <r>
    <n v="100633"/>
    <d v="2024-03-16T00:00:00"/>
    <x v="3"/>
    <s v="Anika Mehta"/>
    <x v="2"/>
    <x v="2"/>
    <x v="3"/>
    <s v="Cooking Oil 1L"/>
    <n v="11"/>
    <n v="854.8"/>
    <n v="9402.7999999999993"/>
    <n v="0.25"/>
    <x v="5"/>
    <s v="R. Kulkarni"/>
  </r>
  <r>
    <n v="101579"/>
    <d v="2024-07-17T00:00:00"/>
    <x v="1"/>
    <s v="Sai Verma"/>
    <x v="4"/>
    <x v="7"/>
    <x v="6"/>
    <s v="Sandals"/>
    <n v="2"/>
    <n v="3084.92"/>
    <n v="6169.84"/>
    <n v="0"/>
    <x v="3"/>
    <s v="P. Trivedi"/>
  </r>
  <r>
    <n v="101454"/>
    <d v="2024-02-25T00:00:00"/>
    <x v="11"/>
    <s v="Krishna Chopra"/>
    <x v="1"/>
    <x v="1"/>
    <x v="6"/>
    <s v="Sneakers"/>
    <m/>
    <n v="2744.15"/>
    <n v="0"/>
    <n v="0"/>
    <x v="2"/>
    <s v="K. Iyer"/>
  </r>
  <r>
    <n v="101625"/>
    <d v="2024-01-24T00:00:00"/>
    <x v="9"/>
    <s v="Saanvi Patel"/>
    <x v="1"/>
    <x v="1"/>
    <x v="1"/>
    <s v="Winter Sweater"/>
    <n v="3"/>
    <n v="2779.26"/>
    <n v="8337.7800000000007"/>
    <n v="0"/>
    <x v="3"/>
    <s v="P. Trivedi"/>
  </r>
  <r>
    <n v="100078"/>
    <d v="2024-08-25T00:00:00"/>
    <x v="5"/>
    <s v="Vihaan Iyer"/>
    <x v="3"/>
    <x v="6"/>
    <x v="5"/>
    <s v="Air Cooler"/>
    <n v="5"/>
    <n v="2428.42"/>
    <n v="12142.1"/>
    <n v="0"/>
    <x v="0"/>
    <s v="M. Ghosh"/>
  </r>
  <r>
    <n v="100492"/>
    <d v="2024-10-25T00:00:00"/>
    <x v="10"/>
    <s v="Vikram Pillai"/>
    <x v="1"/>
    <x v="1"/>
    <x v="2"/>
    <s v="Geometry Box"/>
    <n v="7"/>
    <n v="313.76"/>
    <n v="2196.3199999999997"/>
    <n v="0.05"/>
    <x v="4"/>
    <s v="A. Menon"/>
  </r>
  <r>
    <n v="101684"/>
    <d v="2024-08-12T00:00:00"/>
    <x v="5"/>
    <s v="Sneha Iyer"/>
    <x v="4"/>
    <x v="4"/>
    <x v="1"/>
    <s v="Formal Shirt"/>
    <n v="8"/>
    <n v="1923.81"/>
    <n v="15390.48"/>
    <n v="0.15"/>
    <x v="4"/>
    <s v="K. Iyer"/>
  </r>
  <r>
    <n v="101759"/>
    <d v="2024-12-11T00:00:00"/>
    <x v="2"/>
    <s v="Vikram Mehta"/>
    <x v="3"/>
    <x v="6"/>
    <x v="3"/>
    <s v="Wheat Flour 10kg"/>
    <n v="2"/>
    <n v="0"/>
    <n v="0"/>
    <n v="0.25"/>
    <x v="2"/>
    <s v="P. Trivedi"/>
  </r>
  <r>
    <n v="100533"/>
    <d v="2024-09-19T00:00:00"/>
    <x v="4"/>
    <s v="Karan Singh"/>
    <x v="2"/>
    <x v="5"/>
    <x v="6"/>
    <s v="Sandals"/>
    <n v="5"/>
    <n v="886.13"/>
    <n v="4430.6499999999996"/>
    <n v="0.05"/>
    <x v="0"/>
    <s v="D. Chawla"/>
  </r>
  <r>
    <n v="100066"/>
    <d v="2024-07-07T00:00:00"/>
    <x v="1"/>
    <s v="Nisha Chopra"/>
    <x v="2"/>
    <x v="5"/>
    <x v="2"/>
    <s v="Geometry Box"/>
    <n v="5"/>
    <n v="67.569999999999993"/>
    <n v="337.84999999999997"/>
    <n v="0"/>
    <x v="2"/>
    <s v="T. Rana"/>
  </r>
  <r>
    <n v="101709"/>
    <d v="2024-09-01T00:00:00"/>
    <x v="4"/>
    <s v="Arjun Mehta"/>
    <x v="1"/>
    <x v="1"/>
    <x v="6"/>
    <s v="Leather Formal Shoes"/>
    <n v="7"/>
    <n v="3136.92"/>
    <n v="21958.440000000002"/>
    <n v="0"/>
    <x v="1"/>
    <s v="T. Rana"/>
  </r>
  <r>
    <n v="100297"/>
    <d v="2024-06-13T00:00:00"/>
    <x v="0"/>
    <s v="Priya Pillai"/>
    <x v="2"/>
    <x v="2"/>
    <x v="5"/>
    <s v="Electric Kettle"/>
    <n v="5"/>
    <n v="9660.8700000000008"/>
    <n v="48304.350000000006"/>
    <n v="0.15"/>
    <x v="2"/>
    <s v="A. Menon"/>
  </r>
  <r>
    <n v="100592"/>
    <d v="2024-07-16T00:00:00"/>
    <x v="1"/>
    <s v="Riya Rao"/>
    <x v="4"/>
    <x v="4"/>
    <x v="4"/>
    <s v="Wireless Earbuds"/>
    <n v="12"/>
    <n v="22902.41"/>
    <n v="274828.92"/>
    <n v="0"/>
    <x v="3"/>
    <s v="T. Rana"/>
  </r>
  <r>
    <n v="100768"/>
    <d v="2024-10-12T00:00:00"/>
    <x v="10"/>
    <s v="Rohan Iyer"/>
    <x v="3"/>
    <x v="6"/>
    <x v="4"/>
    <s v="Laptop Air 14"/>
    <n v="10"/>
    <n v="35153.96"/>
    <n v="351539.6"/>
    <n v="0"/>
    <x v="1"/>
    <s v="D. Chawla"/>
  </r>
  <r>
    <n v="100725"/>
    <d v="2024-09-24T00:00:00"/>
    <x v="4"/>
    <s v="Myra Chopra"/>
    <x v="2"/>
    <x v="5"/>
    <x v="3"/>
    <s v="Wheat Flour 10kg"/>
    <n v="2"/>
    <n v="278.69"/>
    <n v="557.38"/>
    <n v="0"/>
    <x v="0"/>
    <s v="P. Trivedi"/>
  </r>
  <r>
    <n v="101938"/>
    <d v="2024-07-27T00:00:00"/>
    <x v="1"/>
    <s v="Nisha Chopra"/>
    <x v="4"/>
    <x v="7"/>
    <x v="3"/>
    <s v="Wheat Flour 10kg"/>
    <n v="6"/>
    <n v="538.63"/>
    <n v="3231.7799999999997"/>
    <n v="0"/>
    <x v="4"/>
    <s v="A. Menon"/>
  </r>
  <r>
    <n v="100627"/>
    <d v="2024-02-25T00:00:00"/>
    <x v="11"/>
    <s v="(Unknown)"/>
    <x v="0"/>
    <x v="8"/>
    <x v="4"/>
    <s v="Wireless Earbuds"/>
    <n v="6"/>
    <n v="34031.54"/>
    <n v="204189.24"/>
    <n v="0"/>
    <x v="1"/>
    <s v="A. Menon"/>
  </r>
  <r>
    <n v="101967"/>
    <d v="2024-05-18T00:00:00"/>
    <x v="8"/>
    <s v="Pooja Bose"/>
    <x v="3"/>
    <x v="3"/>
    <x v="0"/>
    <s v="Sofa 3-Seater"/>
    <n v="11"/>
    <n v="16199.95"/>
    <n v="178199.45"/>
    <n v="0.05"/>
    <x v="4"/>
    <s v="M. Ghosh"/>
  </r>
  <r>
    <n v="101213"/>
    <d v="2024-10-12T00:00:00"/>
    <x v="10"/>
    <s v="Navya Bose"/>
    <x v="4"/>
    <x v="4"/>
    <x v="6"/>
    <s v="Running Shoes"/>
    <n v="1"/>
    <n v="724.33"/>
    <n v="724.33"/>
    <n v="0.1"/>
    <x v="3"/>
    <s v="P. Trivedi"/>
  </r>
  <r>
    <n v="101750"/>
    <d v="2024-09-10T00:00:00"/>
    <x v="4"/>
    <s v="Aditya Das"/>
    <x v="2"/>
    <x v="5"/>
    <x v="0"/>
    <s v="Sofa 3-Seater"/>
    <n v="1"/>
    <n v="19200.25"/>
    <n v="19200.25"/>
    <n v="0.2"/>
    <x v="0"/>
    <s v="D. Chawla"/>
  </r>
  <r>
    <n v="100252"/>
    <d v="2024-06-15T00:00:00"/>
    <x v="0"/>
    <s v="Sai Patel"/>
    <x v="0"/>
    <x v="8"/>
    <x v="6"/>
    <s v="Leather Formal Shoes"/>
    <n v="1"/>
    <n v="695.68"/>
    <n v="695.68"/>
    <n v="0"/>
    <x v="2"/>
    <s v="A. Menon"/>
  </r>
  <r>
    <n v="101839"/>
    <d v="2024-10-01T00:00:00"/>
    <x v="10"/>
    <s v="Vivaan Das"/>
    <x v="2"/>
    <x v="5"/>
    <x v="3"/>
    <s v="Basmati Rice 5kg"/>
    <n v="6"/>
    <n v="229.42"/>
    <n v="1376.52"/>
    <n v="0.2"/>
    <x v="2"/>
    <s v="K. Iyer"/>
  </r>
  <r>
    <n v="101328"/>
    <d v="2024-10-30T00:00:00"/>
    <x v="10"/>
    <s v="Pooja Malhotra"/>
    <x v="4"/>
    <x v="7"/>
    <x v="3"/>
    <s v="Sugar 1kg"/>
    <n v="10"/>
    <n v="737.78"/>
    <n v="7377.7999999999993"/>
    <n v="0.2"/>
    <x v="1"/>
    <s v="R. Kulkarni"/>
  </r>
  <r>
    <n v="101923"/>
    <d v="2024-12-20T00:00:00"/>
    <x v="2"/>
    <s v="Aadhya Iyer"/>
    <x v="2"/>
    <x v="2"/>
    <x v="6"/>
    <s v="Sandals"/>
    <n v="4"/>
    <n v="891.19"/>
    <n v="3564.76"/>
    <n v="0"/>
    <x v="0"/>
    <s v="S. Bhat"/>
  </r>
  <r>
    <n v="100983"/>
    <d v="2024-09-29T00:00:00"/>
    <x v="4"/>
    <s v="Krishna Pillai"/>
    <x v="2"/>
    <x v="2"/>
    <x v="4"/>
    <s v="Wireless Earbuds"/>
    <n v="4"/>
    <n v="33558.5"/>
    <n v="134234"/>
    <n v="0"/>
    <x v="1"/>
    <s v="R. Kulkarni"/>
  </r>
  <r>
    <n v="101792"/>
    <d v="2024-12-29T00:00:00"/>
    <x v="2"/>
    <s v="Aarav Reddy"/>
    <x v="1"/>
    <x v="9"/>
    <x v="0"/>
    <s v="Bookshelf"/>
    <n v="6"/>
    <n v="12397.62"/>
    <n v="74385.72"/>
    <n v="0"/>
    <x v="2"/>
    <s v="A. Menon"/>
  </r>
  <r>
    <n v="100707"/>
    <d v="2024-03-19T00:00:00"/>
    <x v="3"/>
    <s v="Sneha Gupta"/>
    <x v="3"/>
    <x v="6"/>
    <x v="3"/>
    <s v="Sugar 1kg"/>
    <n v="4"/>
    <n v="231.92"/>
    <n v="927.68"/>
    <n v="0"/>
    <x v="2"/>
    <s v="R. Kulkarni"/>
  </r>
  <r>
    <n v="100488"/>
    <d v="2024-08-08T00:00:00"/>
    <x v="5"/>
    <s v="Myra Reddy"/>
    <x v="1"/>
    <x v="1"/>
    <x v="4"/>
    <s v="LED TV 42in"/>
    <n v="5"/>
    <n v="26522.53"/>
    <n v="132612.65"/>
    <n v="0.2"/>
    <x v="2"/>
    <s v="M. Ghosh"/>
  </r>
  <r>
    <n v="100274"/>
    <d v="2024-12-01T00:00:00"/>
    <x v="2"/>
    <s v="Sneha Kapoor"/>
    <x v="2"/>
    <x v="5"/>
    <x v="1"/>
    <s v="Winter Sweater"/>
    <n v="8"/>
    <n v="3097.86"/>
    <n v="24782.880000000001"/>
    <n v="0"/>
    <x v="5"/>
    <s v="K. Iyer"/>
  </r>
  <r>
    <n v="101521"/>
    <d v="2024-09-23T00:00:00"/>
    <x v="4"/>
    <s v="Sneha Bansal"/>
    <x v="1"/>
    <x v="1"/>
    <x v="6"/>
    <s v="Running Shoes"/>
    <n v="2"/>
    <n v="3825.85"/>
    <n v="7651.7"/>
    <n v="0"/>
    <x v="0"/>
    <s v="R. Kulkarni"/>
  </r>
  <r>
    <n v="101688"/>
    <d v="2024-03-29T00:00:00"/>
    <x v="3"/>
    <s v="Saanvi Singh"/>
    <x v="4"/>
    <x v="7"/>
    <x v="4"/>
    <s v="Smartwatch S3"/>
    <n v="6"/>
    <n v="2433.17"/>
    <n v="14599.02"/>
    <n v="0.15"/>
    <x v="1"/>
    <s v="D. Chawla"/>
  </r>
  <r>
    <n v="100964"/>
    <d v="2024-11-03T00:00:00"/>
    <x v="7"/>
    <s v="Diya Mehta"/>
    <x v="2"/>
    <x v="2"/>
    <x v="2"/>
    <s v="A4 Paper Ream"/>
    <m/>
    <n v="353.96"/>
    <n v="0"/>
    <n v="0.15"/>
    <x v="2"/>
    <s v="K. Iyer"/>
  </r>
  <r>
    <n v="100878"/>
    <d v="2024-01-07T00:00:00"/>
    <x v="9"/>
    <s v="Ira Gupta"/>
    <x v="1"/>
    <x v="1"/>
    <x v="1"/>
    <s v="Winter Sweater"/>
    <n v="6"/>
    <n v="1115.51"/>
    <n v="6693.0599999999995"/>
    <n v="0"/>
    <x v="2"/>
    <s v="S. Bhat"/>
  </r>
  <r>
    <n v="101498"/>
    <d v="2024-08-04T00:00:00"/>
    <x v="5"/>
    <s v="Kiara Kumar"/>
    <x v="3"/>
    <x v="6"/>
    <x v="2"/>
    <s v="Gel Pen Set"/>
    <n v="5"/>
    <n v="140.65"/>
    <n v="703.25"/>
    <n v="0.15"/>
    <x v="0"/>
    <s v="D. Chawla"/>
  </r>
  <r>
    <n v="101832"/>
    <d v="2024-10-14T00:00:00"/>
    <x v="10"/>
    <s v="Amit Reddy"/>
    <x v="3"/>
    <x v="6"/>
    <x v="4"/>
    <s v="Wireless Earbuds"/>
    <n v="2"/>
    <n v="39456.17"/>
    <n v="78912.34"/>
    <n v="0.1"/>
    <x v="5"/>
    <s v="R. Kulkarni"/>
  </r>
  <r>
    <n v="100412"/>
    <d v="2024-08-05T00:00:00"/>
    <x v="5"/>
    <s v="Rohan Joshi"/>
    <x v="3"/>
    <x v="6"/>
    <x v="2"/>
    <s v="Notebook Pack"/>
    <n v="8"/>
    <n v="409.32"/>
    <n v="3274.56"/>
    <n v="0.05"/>
    <x v="2"/>
    <s v="T. Rana"/>
  </r>
  <r>
    <n v="100668"/>
    <d v="2024-10-05T00:00:00"/>
    <x v="10"/>
    <s v="Vikram Verma"/>
    <x v="2"/>
    <x v="5"/>
    <x v="4"/>
    <s v="LED TV 42in"/>
    <n v="11"/>
    <n v="33317.379999999997"/>
    <n v="366491.18"/>
    <n v="0.2"/>
    <x v="5"/>
    <s v="M. Ghosh"/>
  </r>
  <r>
    <n v="101263"/>
    <d v="2024-03-28T00:00:00"/>
    <x v="3"/>
    <s v="Karan Singh"/>
    <x v="4"/>
    <x v="4"/>
    <x v="5"/>
    <s v="Mixer Grinder"/>
    <m/>
    <n v="4637.62"/>
    <n v="0"/>
    <n v="0.15"/>
    <x v="5"/>
    <s v="A. Menon"/>
  </r>
  <r>
    <n v="100150"/>
    <d v="2024-01-31T00:00:00"/>
    <x v="9"/>
    <s v="Amit Chopra"/>
    <x v="2"/>
    <x v="5"/>
    <x v="1"/>
    <s v="Women's Kurti"/>
    <n v="11"/>
    <n v="3425.17"/>
    <n v="37676.870000000003"/>
    <n v="0"/>
    <x v="0"/>
    <s v="T. Rana"/>
  </r>
  <r>
    <n v="100645"/>
    <d v="2024-10-01T00:00:00"/>
    <x v="10"/>
    <s v="Priya Joshi"/>
    <x v="0"/>
    <x v="0"/>
    <x v="3"/>
    <s v="Tea Pack 500g"/>
    <n v="11"/>
    <n v="373.01"/>
    <n v="4103.1099999999997"/>
    <n v="0.15"/>
    <x v="5"/>
    <s v="P. Trivedi"/>
  </r>
  <r>
    <n v="101623"/>
    <d v="2024-12-08T00:00:00"/>
    <x v="2"/>
    <s v="Priya Pillai"/>
    <x v="4"/>
    <x v="4"/>
    <x v="4"/>
    <s v="LED TV 42in"/>
    <n v="5"/>
    <n v="28438.67"/>
    <n v="142193.34999999998"/>
    <n v="0.2"/>
    <x v="4"/>
    <s v="S. Bhat"/>
  </r>
  <r>
    <n v="100219"/>
    <d v="2024-09-19T00:00:00"/>
    <x v="4"/>
    <s v="Vivaan Chopra"/>
    <x v="2"/>
    <x v="2"/>
    <x v="1"/>
    <s v="Women's Kurti"/>
    <n v="4"/>
    <n v="661.36"/>
    <n v="2645.44"/>
    <n v="0"/>
    <x v="1"/>
    <s v="D. Chawla"/>
  </r>
  <r>
    <n v="100240"/>
    <d v="2024-12-02T00:00:00"/>
    <x v="2"/>
    <s v="Reyansh Bansal"/>
    <x v="0"/>
    <x v="8"/>
    <x v="6"/>
    <s v="Sandals"/>
    <m/>
    <n v="2695.2"/>
    <n v="0"/>
    <n v="0"/>
    <x v="3"/>
    <s v="S. Bhat"/>
  </r>
  <r>
    <n v="101217"/>
    <d v="2024-04-30T00:00:00"/>
    <x v="6"/>
    <s v="Diya Das"/>
    <x v="4"/>
    <x v="4"/>
    <x v="5"/>
    <s v="Ceiling Fan"/>
    <n v="5"/>
    <n v="8069.95"/>
    <n v="40349.75"/>
    <n v="0.2"/>
    <x v="5"/>
    <s v="P. Trivedi"/>
  </r>
  <r>
    <n v="100793"/>
    <d v="2024-02-05T00:00:00"/>
    <x v="11"/>
    <s v="Saanvi Pillai"/>
    <x v="2"/>
    <x v="5"/>
    <x v="1"/>
    <s v="Kids T-Shirt"/>
    <n v="3"/>
    <n v="2142.33"/>
    <n v="6426.99"/>
    <n v="0"/>
    <x v="3"/>
    <s v="A. Menon"/>
  </r>
  <r>
    <n v="100192"/>
    <d v="2024-01-29T00:00:00"/>
    <x v="9"/>
    <s v="Sai Patel"/>
    <x v="1"/>
    <x v="9"/>
    <x v="4"/>
    <s v="LED TV 42in"/>
    <n v="9"/>
    <n v="3317.13"/>
    <n v="29854.170000000002"/>
    <n v="0.15"/>
    <x v="0"/>
    <s v="S. Bhat"/>
  </r>
  <r>
    <n v="100334"/>
    <d v="2024-12-20T00:00:00"/>
    <x v="2"/>
    <s v="Vivaan Reddy"/>
    <x v="3"/>
    <x v="6"/>
    <x v="1"/>
    <s v="Winter Sweater"/>
    <n v="7"/>
    <n v="2971.73"/>
    <n v="20802.11"/>
    <n v="0.25"/>
    <x v="3"/>
    <s v="D. Chawla"/>
  </r>
  <r>
    <n v="101335"/>
    <d v="2024-01-29T00:00:00"/>
    <x v="9"/>
    <s v="Rahul Malhotra"/>
    <x v="1"/>
    <x v="1"/>
    <x v="3"/>
    <s v="Cooking Oil 1L"/>
    <n v="4"/>
    <n v="294.31"/>
    <n v="1177.24"/>
    <n v="0.05"/>
    <x v="2"/>
    <s v="P. Trivedi"/>
  </r>
  <r>
    <n v="101559"/>
    <d v="2024-12-11T00:00:00"/>
    <x v="2"/>
    <s v="Aadhya Gupta"/>
    <x v="2"/>
    <x v="5"/>
    <x v="5"/>
    <s v="Air Cooler"/>
    <n v="5"/>
    <n v="4539.67"/>
    <n v="22698.35"/>
    <n v="0.25"/>
    <x v="5"/>
    <s v="D. Chawla"/>
  </r>
  <r>
    <n v="100963"/>
    <d v="2024-08-08T00:00:00"/>
    <x v="5"/>
    <s v="Nisha Das"/>
    <x v="2"/>
    <x v="2"/>
    <x v="2"/>
    <s v="Notebook Pack"/>
    <n v="6"/>
    <n v="0"/>
    <n v="0"/>
    <n v="0.05"/>
    <x v="1"/>
    <s v="A. Menon"/>
  </r>
  <r>
    <n v="101334"/>
    <d v="2024-04-13T00:00:00"/>
    <x v="6"/>
    <s v="Pooja Nair"/>
    <x v="2"/>
    <x v="5"/>
    <x v="4"/>
    <s v="Wireless Earbuds"/>
    <n v="4"/>
    <n v="26077.54"/>
    <n v="104310.16"/>
    <n v="0.25"/>
    <x v="4"/>
    <s v="T. Rana"/>
  </r>
  <r>
    <n v="101971"/>
    <d v="2024-08-21T00:00:00"/>
    <x v="5"/>
    <s v="Krishna Agarwal"/>
    <x v="0"/>
    <x v="0"/>
    <x v="3"/>
    <s v="Cooking Oil 1L"/>
    <n v="1"/>
    <n v="861.23"/>
    <n v="861.23"/>
    <n v="0"/>
    <x v="1"/>
    <s v="K. Iyer"/>
  </r>
  <r>
    <n v="101687"/>
    <d v="2024-12-18T00:00:00"/>
    <x v="2"/>
    <s v="Aditya Pillai"/>
    <x v="4"/>
    <x v="4"/>
    <x v="5"/>
    <s v="Electric Kettle"/>
    <n v="10"/>
    <n v="4288.72"/>
    <n v="42887.200000000004"/>
    <n v="0"/>
    <x v="0"/>
    <s v="P. Trivedi"/>
  </r>
  <r>
    <n v="101635"/>
    <d v="2024-07-14T00:00:00"/>
    <x v="1"/>
    <s v="Neha Joshi"/>
    <x v="1"/>
    <x v="1"/>
    <x v="0"/>
    <s v="Office Chair"/>
    <n v="10"/>
    <n v="12151.01"/>
    <n v="121510.1"/>
    <n v="0.05"/>
    <x v="3"/>
    <s v="S. Bhat"/>
  </r>
  <r>
    <n v="100583"/>
    <d v="2024-05-20T00:00:00"/>
    <x v="8"/>
    <s v="Neha Rao"/>
    <x v="0"/>
    <x v="0"/>
    <x v="5"/>
    <s v="Electric Kettle"/>
    <n v="2"/>
    <n v="6209.12"/>
    <n v="12418.24"/>
    <n v="0"/>
    <x v="2"/>
    <s v="D. Chawla"/>
  </r>
  <r>
    <n v="101929"/>
    <d v="2024-08-21T00:00:00"/>
    <x v="5"/>
    <s v="Pooja Singh"/>
    <x v="3"/>
    <x v="6"/>
    <x v="0"/>
    <s v="Sofa 3-Seater"/>
    <n v="9"/>
    <n v="13794.39"/>
    <n v="124149.51"/>
    <n v="0"/>
    <x v="3"/>
    <s v="D. Chawla"/>
  </r>
  <r>
    <n v="101449"/>
    <d v="2024-08-14T00:00:00"/>
    <x v="5"/>
    <s v="Aadhya Reddy"/>
    <x v="1"/>
    <x v="1"/>
    <x v="0"/>
    <s v="Wooden Dining Table"/>
    <n v="8"/>
    <n v="20593.8"/>
    <n v="164750.39999999999"/>
    <n v="0"/>
    <x v="3"/>
    <s v="A. Menon"/>
  </r>
  <r>
    <n v="100840"/>
    <d v="2024-07-15T00:00:00"/>
    <x v="1"/>
    <s v="Myra Bansal"/>
    <x v="0"/>
    <x v="0"/>
    <x v="1"/>
    <s v="Kids T-Shirt"/>
    <n v="5"/>
    <n v="1187.72"/>
    <n v="5938.6"/>
    <n v="0.05"/>
    <x v="4"/>
    <s v="S. Bhat"/>
  </r>
  <r>
    <n v="100628"/>
    <d v="2024-07-23T00:00:00"/>
    <x v="1"/>
    <s v="Vikram Singh"/>
    <x v="0"/>
    <x v="8"/>
    <x v="0"/>
    <s v="Sofa 3-Seater"/>
    <n v="2"/>
    <n v="23849.18"/>
    <n v="47698.36"/>
    <n v="0"/>
    <x v="0"/>
    <s v="K. Iyer"/>
  </r>
  <r>
    <n v="100324"/>
    <d v="2024-08-15T00:00:00"/>
    <x v="5"/>
    <s v="Aadhya Iyer"/>
    <x v="2"/>
    <x v="2"/>
    <x v="6"/>
    <s v="Sandals"/>
    <n v="12"/>
    <n v="1817.14"/>
    <n v="21805.68"/>
    <n v="0.05"/>
    <x v="4"/>
    <s v="K. Iyer"/>
  </r>
  <r>
    <n v="101661"/>
    <d v="2024-02-20T00:00:00"/>
    <x v="11"/>
    <s v="Vikram Singh"/>
    <x v="1"/>
    <x v="9"/>
    <x v="4"/>
    <s v="Wireless Earbuds"/>
    <n v="6"/>
    <n v="41099.24"/>
    <n v="246595.44"/>
    <n v="0.15"/>
    <x v="2"/>
    <s v="S. Bhat"/>
  </r>
  <r>
    <n v="101161"/>
    <d v="2024-12-29T00:00:00"/>
    <x v="2"/>
    <s v="Sai Das"/>
    <x v="0"/>
    <x v="0"/>
    <x v="6"/>
    <s v="Leather Formal Shoes"/>
    <n v="4"/>
    <n v="1992.1"/>
    <n v="7968.4"/>
    <n v="0.15"/>
    <x v="3"/>
    <s v="T. Rana"/>
  </r>
  <r>
    <n v="100779"/>
    <d v="2024-07-22T00:00:00"/>
    <x v="1"/>
    <s v="Arjun Bansal"/>
    <x v="2"/>
    <x v="5"/>
    <x v="0"/>
    <s v="Wooden Dining Table"/>
    <n v="2"/>
    <n v="2603.0100000000002"/>
    <n v="5206.0200000000004"/>
    <n v="0.25"/>
    <x v="1"/>
    <s v="A. Menon"/>
  </r>
  <r>
    <n v="101077"/>
    <d v="2024-05-11T00:00:00"/>
    <x v="8"/>
    <s v="Sai Singh"/>
    <x v="1"/>
    <x v="1"/>
    <x v="0"/>
    <s v="Wooden Dining Table"/>
    <n v="9"/>
    <n v="20647.41"/>
    <n v="185826.69"/>
    <n v="0"/>
    <x v="3"/>
    <s v="M. Ghosh"/>
  </r>
  <r>
    <n v="100940"/>
    <d v="2024-01-03T00:00:00"/>
    <x v="9"/>
    <s v="Vikram Kumar"/>
    <x v="3"/>
    <x v="3"/>
    <x v="1"/>
    <s v="Winter Sweater"/>
    <n v="6"/>
    <n v="2238.85"/>
    <n v="13433.099999999999"/>
    <n v="0"/>
    <x v="1"/>
    <s v="M. Ghosh"/>
  </r>
  <r>
    <n v="100438"/>
    <d v="2024-10-10T00:00:00"/>
    <x v="10"/>
    <s v="Navya Bansal"/>
    <x v="1"/>
    <x v="1"/>
    <x v="6"/>
    <s v="Running Shoes"/>
    <n v="2"/>
    <n v="4048.78"/>
    <n v="8097.56"/>
    <n v="0.05"/>
    <x v="0"/>
    <s v="A. Menon"/>
  </r>
  <r>
    <n v="100120"/>
    <d v="2024-07-04T00:00:00"/>
    <x v="1"/>
    <s v="Aarav Joshi"/>
    <x v="3"/>
    <x v="3"/>
    <x v="4"/>
    <s v="Smartphone X200"/>
    <n v="8"/>
    <n v="15067.23"/>
    <n v="120537.84"/>
    <n v="0.25"/>
    <x v="0"/>
    <s v="P. Trivedi"/>
  </r>
  <r>
    <n v="101853"/>
    <d v="2024-11-26T00:00:00"/>
    <x v="7"/>
    <s v="Vihaan Sharma"/>
    <x v="0"/>
    <x v="0"/>
    <x v="0"/>
    <s v="Office Chair"/>
    <n v="5"/>
    <n v="9401.66"/>
    <n v="47008.3"/>
    <n v="0"/>
    <x v="2"/>
    <s v="M. Ghosh"/>
  </r>
  <r>
    <n v="101601"/>
    <d v="2024-02-12T00:00:00"/>
    <x v="11"/>
    <s v="Vivaan Malhotra"/>
    <x v="3"/>
    <x v="6"/>
    <x v="6"/>
    <s v="Leather Formal Shoes"/>
    <n v="4"/>
    <n v="1489.39"/>
    <n v="5957.56"/>
    <n v="0.25"/>
    <x v="2"/>
    <s v="M. Ghosh"/>
  </r>
  <r>
    <n v="101027"/>
    <d v="2024-10-08T00:00:00"/>
    <x v="10"/>
    <s v="Ayaan Bose"/>
    <x v="4"/>
    <x v="4"/>
    <x v="5"/>
    <s v="Mixer Grinder"/>
    <n v="6"/>
    <n v="2694.78"/>
    <n v="16168.68"/>
    <n v="0"/>
    <x v="1"/>
    <s v="M. Ghosh"/>
  </r>
  <r>
    <n v="101254"/>
    <d v="2024-02-01T00:00:00"/>
    <x v="11"/>
    <s v="Arjun Sharma"/>
    <x v="4"/>
    <x v="7"/>
    <x v="0"/>
    <s v="Wooden Dining Table"/>
    <n v="9"/>
    <n v="0"/>
    <n v="0"/>
    <n v="0.1"/>
    <x v="5"/>
    <s v="R. Kulkarni"/>
  </r>
  <r>
    <n v="101533"/>
    <d v="2024-03-23T00:00:00"/>
    <x v="3"/>
    <s v="Myra Rao"/>
    <x v="0"/>
    <x v="8"/>
    <x v="4"/>
    <s v="Bluetooth Speaker"/>
    <n v="8"/>
    <n v="38975.919999999998"/>
    <n v="311807.35999999999"/>
    <n v="0.2"/>
    <x v="5"/>
    <s v="A. Menon"/>
  </r>
  <r>
    <n v="100077"/>
    <d v="2024-03-19T00:00:00"/>
    <x v="3"/>
    <s v="Diya Malhotra"/>
    <x v="3"/>
    <x v="3"/>
    <x v="2"/>
    <s v="Geometry Box"/>
    <n v="1"/>
    <n v="322.45999999999998"/>
    <n v="322.45999999999998"/>
    <n v="0"/>
    <x v="0"/>
    <s v="D. Chawla"/>
  </r>
  <r>
    <n v="101054"/>
    <d v="2024-05-09T00:00:00"/>
    <x v="8"/>
    <s v="Vikram Das"/>
    <x v="3"/>
    <x v="3"/>
    <x v="1"/>
    <s v="Winter Sweater"/>
    <n v="1"/>
    <n v="2197.6799999999998"/>
    <n v="2197.6799999999998"/>
    <n v="0.1"/>
    <x v="1"/>
    <s v="R. Kulkarni"/>
  </r>
  <r>
    <n v="100901"/>
    <d v="2024-05-29T00:00:00"/>
    <x v="8"/>
    <s v="Karan Sharma"/>
    <x v="0"/>
    <x v="8"/>
    <x v="6"/>
    <s v="Sneakers"/>
    <n v="8"/>
    <n v="2688.49"/>
    <n v="21507.919999999998"/>
    <n v="0"/>
    <x v="1"/>
    <s v="S. Bhat"/>
  </r>
  <r>
    <n v="100372"/>
    <d v="2024-12-21T00:00:00"/>
    <x v="2"/>
    <s v="Vivaan Mehta"/>
    <x v="3"/>
    <x v="3"/>
    <x v="5"/>
    <s v="Mixer Grinder"/>
    <n v="1"/>
    <n v="7841.37"/>
    <n v="7841.37"/>
    <n v="0"/>
    <x v="3"/>
    <s v="R. Kulkarni"/>
  </r>
  <r>
    <n v="101883"/>
    <d v="2024-01-23T00:00:00"/>
    <x v="9"/>
    <s v="Navya Malhotra"/>
    <x v="0"/>
    <x v="0"/>
    <x v="6"/>
    <s v="Running Shoes"/>
    <n v="4"/>
    <n v="2131.9899999999998"/>
    <n v="8527.9599999999991"/>
    <n v="0"/>
    <x v="3"/>
    <s v="T. Rana"/>
  </r>
  <r>
    <n v="101456"/>
    <d v="2024-04-16T00:00:00"/>
    <x v="6"/>
    <s v="Ananya Joshi"/>
    <x v="1"/>
    <x v="1"/>
    <x v="2"/>
    <s v="Gel Pen Set"/>
    <n v="1"/>
    <n v="343.93"/>
    <n v="343.93"/>
    <n v="0.1"/>
    <x v="4"/>
    <s v="P. Trivedi"/>
  </r>
  <r>
    <n v="101998"/>
    <d v="2024-05-03T00:00:00"/>
    <x v="8"/>
    <s v="Anika Verma"/>
    <x v="4"/>
    <x v="7"/>
    <x v="3"/>
    <s v="Cooking Oil 1L"/>
    <n v="7"/>
    <n v="444.49"/>
    <n v="3111.4300000000003"/>
    <n v="0"/>
    <x v="0"/>
    <s v="P. Trivedi"/>
  </r>
  <r>
    <n v="100942"/>
    <d v="2024-12-12T00:00:00"/>
    <x v="2"/>
    <s v="Navya Sharma"/>
    <x v="0"/>
    <x v="0"/>
    <x v="4"/>
    <s v="Laptop Air 14"/>
    <n v="11"/>
    <n v="12050.14"/>
    <n v="132551.53999999998"/>
    <n v="0"/>
    <x v="4"/>
    <s v="A. Menon"/>
  </r>
  <r>
    <n v="100578"/>
    <d v="2024-05-06T00:00:00"/>
    <x v="8"/>
    <s v="Arjun Bansal"/>
    <x v="0"/>
    <x v="8"/>
    <x v="0"/>
    <s v="Study Desk"/>
    <n v="3"/>
    <n v="10342.66"/>
    <n v="31027.98"/>
    <n v="0.25"/>
    <x v="2"/>
    <s v="P. Trivedi"/>
  </r>
  <r>
    <n v="100820"/>
    <d v="2024-07-16T00:00:00"/>
    <x v="1"/>
    <s v="Diya Nair"/>
    <x v="1"/>
    <x v="9"/>
    <x v="2"/>
    <s v="Gel Pen Set"/>
    <n v="3"/>
    <n v="371.94"/>
    <n v="1115.82"/>
    <n v="0"/>
    <x v="3"/>
    <s v="T. Rana"/>
  </r>
  <r>
    <n v="101908"/>
    <d v="2024-08-05T00:00:00"/>
    <x v="5"/>
    <s v="Arjun Agarwal"/>
    <x v="0"/>
    <x v="0"/>
    <x v="6"/>
    <s v="Leather Formal Shoes"/>
    <n v="2"/>
    <n v="752.44"/>
    <n v="1504.88"/>
    <n v="0"/>
    <x v="5"/>
    <s v="M. Ghosh"/>
  </r>
  <r>
    <n v="101505"/>
    <d v="2024-08-31T00:00:00"/>
    <x v="5"/>
    <s v="Ishaan Reddy"/>
    <x v="1"/>
    <x v="9"/>
    <x v="2"/>
    <s v="Notebook Pack"/>
    <n v="8"/>
    <n v="161.72999999999999"/>
    <n v="1293.8399999999999"/>
    <n v="0.15"/>
    <x v="0"/>
    <s v="M. Ghosh"/>
  </r>
  <r>
    <n v="101752"/>
    <d v="2024-02-14T00:00:00"/>
    <x v="11"/>
    <s v="Rohan Bansal"/>
    <x v="1"/>
    <x v="1"/>
    <x v="6"/>
    <s v="Sandals"/>
    <n v="7"/>
    <n v="1625.49"/>
    <n v="11378.43"/>
    <n v="0"/>
    <x v="1"/>
    <s v="R. Kulkarni"/>
  </r>
  <r>
    <n v="101714"/>
    <d v="2024-09-05T00:00:00"/>
    <x v="4"/>
    <s v="Navya Sharma"/>
    <x v="1"/>
    <x v="1"/>
    <x v="6"/>
    <s v="Running Shoes"/>
    <n v="7"/>
    <n v="2080.17"/>
    <n v="14561.19"/>
    <n v="0.05"/>
    <x v="0"/>
    <s v="A. Menon"/>
  </r>
  <r>
    <n v="100887"/>
    <d v="2024-12-18T00:00:00"/>
    <x v="2"/>
    <s v="(Unknown)"/>
    <x v="3"/>
    <x v="6"/>
    <x v="1"/>
    <s v="Women's Kurti"/>
    <n v="5"/>
    <n v="0"/>
    <n v="0"/>
    <n v="0"/>
    <x v="5"/>
    <s v="P. Trivedi"/>
  </r>
  <r>
    <n v="100969"/>
    <d v="2024-10-17T00:00:00"/>
    <x v="10"/>
    <s v="Navya Singh"/>
    <x v="3"/>
    <x v="3"/>
    <x v="5"/>
    <s v="Air Cooler"/>
    <n v="2"/>
    <n v="9209.64"/>
    <n v="18419.28"/>
    <n v="0"/>
    <x v="5"/>
    <s v="R. Kulkarni"/>
  </r>
  <r>
    <n v="101823"/>
    <d v="2024-07-16T00:00:00"/>
    <x v="1"/>
    <s v="Nisha Nair"/>
    <x v="1"/>
    <x v="1"/>
    <x v="1"/>
    <s v="Winter Sweater"/>
    <n v="8"/>
    <n v="570.94000000000005"/>
    <n v="4567.5200000000004"/>
    <n v="0.2"/>
    <x v="0"/>
    <s v="K. Iyer"/>
  </r>
  <r>
    <n v="100786"/>
    <d v="2024-02-04T00:00:00"/>
    <x v="11"/>
    <s v="Pooja Chopra"/>
    <x v="2"/>
    <x v="2"/>
    <x v="5"/>
    <s v="Microwave Oven"/>
    <n v="10"/>
    <n v="10352.31"/>
    <n v="103523.09999999999"/>
    <n v="0"/>
    <x v="4"/>
    <s v="S. Bhat"/>
  </r>
  <r>
    <n v="101643"/>
    <d v="2024-07-29T00:00:00"/>
    <x v="1"/>
    <s v="Anika Joshi"/>
    <x v="2"/>
    <x v="5"/>
    <x v="4"/>
    <s v="Laptop Air 14"/>
    <n v="5"/>
    <n v="43340.06"/>
    <n v="216700.3"/>
    <n v="0"/>
    <x v="3"/>
    <s v="K. Iyer"/>
  </r>
  <r>
    <n v="101627"/>
    <d v="2024-12-05T00:00:00"/>
    <x v="2"/>
    <s v="Aarav Nair"/>
    <x v="2"/>
    <x v="5"/>
    <x v="1"/>
    <s v="Winter Sweater"/>
    <n v="3"/>
    <n v="2572.48"/>
    <n v="7717.4400000000005"/>
    <n v="0.15"/>
    <x v="5"/>
    <s v="S. Bhat"/>
  </r>
  <r>
    <n v="100302"/>
    <d v="2024-10-27T00:00:00"/>
    <x v="10"/>
    <s v="Reyansh Patel"/>
    <x v="1"/>
    <x v="9"/>
    <x v="3"/>
    <s v="Wheat Flour 10kg"/>
    <n v="-3"/>
    <n v="106.2"/>
    <n v="-318.60000000000002"/>
    <n v="0.2"/>
    <x v="1"/>
    <s v="R. Kulkarni"/>
  </r>
  <r>
    <n v="100690"/>
    <d v="2024-10-06T00:00:00"/>
    <x v="10"/>
    <s v="Reyansh Nair"/>
    <x v="2"/>
    <x v="2"/>
    <x v="0"/>
    <s v="Wooden Dining Table"/>
    <m/>
    <n v="7566.56"/>
    <n v="0"/>
    <n v="0.1"/>
    <x v="2"/>
    <s v="D. Chawla"/>
  </r>
  <r>
    <n v="100813"/>
    <d v="2024-12-05T00:00:00"/>
    <x v="2"/>
    <s v="Pooja Iyer"/>
    <x v="4"/>
    <x v="7"/>
    <x v="3"/>
    <s v="Tea Pack 500g"/>
    <n v="1"/>
    <n v="616.55999999999995"/>
    <n v="616.55999999999995"/>
    <n v="0.05"/>
    <x v="2"/>
    <s v="S. Bhat"/>
  </r>
  <r>
    <n v="101062"/>
    <d v="2024-01-27T00:00:00"/>
    <x v="9"/>
    <s v="(Unknown)"/>
    <x v="1"/>
    <x v="9"/>
    <x v="6"/>
    <s v="Leather Formal Shoes"/>
    <n v="5"/>
    <n v="1039.55"/>
    <n v="5197.75"/>
    <n v="0"/>
    <x v="3"/>
    <s v="D. Chawla"/>
  </r>
  <r>
    <n v="100237"/>
    <d v="2024-01-30T00:00:00"/>
    <x v="9"/>
    <s v="Saanvi Agarwal"/>
    <x v="3"/>
    <x v="6"/>
    <x v="6"/>
    <s v="Running Shoes"/>
    <n v="7"/>
    <n v="2692.61"/>
    <n v="18848.27"/>
    <n v="0"/>
    <x v="2"/>
    <s v="P. Trivedi"/>
  </r>
  <r>
    <n v="101116"/>
    <d v="2024-05-07T00:00:00"/>
    <x v="8"/>
    <s v="Karan Mehta"/>
    <x v="4"/>
    <x v="4"/>
    <x v="6"/>
    <s v="Leather Formal Shoes"/>
    <n v="7"/>
    <n v="2424.19"/>
    <n v="16969.330000000002"/>
    <n v="0.05"/>
    <x v="3"/>
    <s v="P. Trivedi"/>
  </r>
  <r>
    <n v="101369"/>
    <d v="2024-06-09T00:00:00"/>
    <x v="0"/>
    <s v="Rahul Reddy"/>
    <x v="1"/>
    <x v="9"/>
    <x v="1"/>
    <s v="Men's Denim Jacket"/>
    <n v="1"/>
    <n v="2440.37"/>
    <n v="2440.37"/>
    <n v="0"/>
    <x v="2"/>
    <s v="D. Chawla"/>
  </r>
  <r>
    <n v="100500"/>
    <d v="2024-08-14T00:00:00"/>
    <x v="5"/>
    <s v="Rahul Bansal"/>
    <x v="1"/>
    <x v="1"/>
    <x v="3"/>
    <s v="Sugar 1kg"/>
    <n v="2"/>
    <n v="427.24"/>
    <n v="854.48"/>
    <n v="0"/>
    <x v="4"/>
    <s v="S. Bhat"/>
  </r>
  <r>
    <n v="101675"/>
    <d v="2024-06-28T00:00:00"/>
    <x v="0"/>
    <s v="Nisha Rao"/>
    <x v="2"/>
    <x v="2"/>
    <x v="4"/>
    <s v="Smartphone X200"/>
    <n v="12"/>
    <n v="26512.11"/>
    <n v="318145.32"/>
    <n v="0"/>
    <x v="3"/>
    <s v="M. Ghosh"/>
  </r>
  <r>
    <n v="101080"/>
    <d v="2024-12-06T00:00:00"/>
    <x v="2"/>
    <s v="Ayaan Verma"/>
    <x v="1"/>
    <x v="1"/>
    <x v="2"/>
    <s v="Notebook Pack"/>
    <n v="-2"/>
    <n v="103.95"/>
    <n v="-207.9"/>
    <n v="0"/>
    <x v="3"/>
    <s v="K. Iyer"/>
  </r>
  <r>
    <n v="101327"/>
    <d v="2024-10-17T00:00:00"/>
    <x v="10"/>
    <s v="Ishaan Gupta"/>
    <x v="0"/>
    <x v="8"/>
    <x v="0"/>
    <s v="Study Desk"/>
    <n v="8"/>
    <n v="12437.3"/>
    <n v="99498.4"/>
    <n v="0.15"/>
    <x v="2"/>
    <s v="T. Rana"/>
  </r>
  <r>
    <n v="100795"/>
    <d v="2024-04-15T00:00:00"/>
    <x v="6"/>
    <s v="Amit Agarwal"/>
    <x v="2"/>
    <x v="2"/>
    <x v="2"/>
    <s v="Geometry Box"/>
    <n v="4"/>
    <n v="404.63"/>
    <n v="1618.52"/>
    <n v="0"/>
    <x v="5"/>
    <s v="M. Ghosh"/>
  </r>
  <r>
    <n v="101944"/>
    <d v="2024-09-01T00:00:00"/>
    <x v="4"/>
    <s v="Aarav Pillai"/>
    <x v="2"/>
    <x v="2"/>
    <x v="4"/>
    <s v="Bluetooth Speaker"/>
    <n v="6"/>
    <n v="0"/>
    <n v="0"/>
    <n v="0"/>
    <x v="1"/>
    <s v="M. Ghosh"/>
  </r>
  <r>
    <n v="101968"/>
    <d v="2024-04-02T00:00:00"/>
    <x v="6"/>
    <s v="Priya Patel"/>
    <x v="0"/>
    <x v="8"/>
    <x v="5"/>
    <s v="Microwave Oven"/>
    <n v="9"/>
    <n v="2739.73"/>
    <n v="24657.57"/>
    <n v="0"/>
    <x v="1"/>
    <s v="K. Iyer"/>
  </r>
  <r>
    <n v="101975"/>
    <d v="2024-02-07T00:00:00"/>
    <x v="11"/>
    <s v="Rahul Iyer"/>
    <x v="0"/>
    <x v="0"/>
    <x v="5"/>
    <s v="Microwave Oven"/>
    <n v="5"/>
    <n v="7637.16"/>
    <n v="38185.800000000003"/>
    <n v="0.15"/>
    <x v="5"/>
    <s v="R. Kulkarni"/>
  </r>
  <r>
    <n v="100991"/>
    <d v="2024-03-16T00:00:00"/>
    <x v="3"/>
    <s v="Vihaan Verma"/>
    <x v="4"/>
    <x v="7"/>
    <x v="5"/>
    <s v="Air Cooler"/>
    <n v="7"/>
    <n v="8683.5400000000009"/>
    <n v="60784.780000000006"/>
    <n v="0"/>
    <x v="0"/>
    <s v="R. Kulkarni"/>
  </r>
  <r>
    <n v="101385"/>
    <d v="2024-10-03T00:00:00"/>
    <x v="10"/>
    <s v="Myra Sharma"/>
    <x v="3"/>
    <x v="6"/>
    <x v="3"/>
    <s v="Cooking Oil 1L"/>
    <n v="11"/>
    <n v="247.51"/>
    <n v="2722.6099999999997"/>
    <n v="0.15"/>
    <x v="5"/>
    <s v="P. Trivedi"/>
  </r>
  <r>
    <n v="100935"/>
    <d v="2024-08-23T00:00:00"/>
    <x v="5"/>
    <s v="Ira Malhotra"/>
    <x v="0"/>
    <x v="8"/>
    <x v="4"/>
    <s v="Laptop Air 14"/>
    <n v="7"/>
    <n v="24728.21"/>
    <n v="173097.47"/>
    <n v="0"/>
    <x v="0"/>
    <s v="P. Trivedi"/>
  </r>
  <r>
    <n v="100388"/>
    <d v="2024-10-21T00:00:00"/>
    <x v="10"/>
    <s v="Saanvi Reddy"/>
    <x v="1"/>
    <x v="9"/>
    <x v="2"/>
    <s v="A4 Paper Ream"/>
    <n v="7"/>
    <n v="62.75"/>
    <n v="439.25"/>
    <n v="0"/>
    <x v="1"/>
    <s v="D. Chawla"/>
  </r>
  <r>
    <n v="101484"/>
    <d v="2024-10-03T00:00:00"/>
    <x v="10"/>
    <s v="Diya Iyer"/>
    <x v="1"/>
    <x v="9"/>
    <x v="4"/>
    <s v="Smartwatch S3"/>
    <n v="6"/>
    <n v="19768.8"/>
    <n v="118612.79999999999"/>
    <n v="0"/>
    <x v="1"/>
    <s v="K. Iyer"/>
  </r>
  <r>
    <n v="100391"/>
    <d v="2024-12-22T00:00:00"/>
    <x v="2"/>
    <s v="Saanvi Joshi"/>
    <x v="1"/>
    <x v="9"/>
    <x v="5"/>
    <s v="Ceiling Fan"/>
    <n v="6"/>
    <n v="1749.52"/>
    <n v="10497.119999999999"/>
    <n v="0.05"/>
    <x v="1"/>
    <s v="R. Kulkarni"/>
  </r>
  <r>
    <n v="100744"/>
    <d v="2024-06-17T00:00:00"/>
    <x v="0"/>
    <s v="Karan Agarwal"/>
    <x v="0"/>
    <x v="8"/>
    <x v="5"/>
    <s v="Electric Kettle"/>
    <n v="9"/>
    <n v="11871.27"/>
    <n v="106841.43000000001"/>
    <n v="0.1"/>
    <x v="4"/>
    <s v="S. Bhat"/>
  </r>
  <r>
    <n v="100353"/>
    <d v="2024-08-14T00:00:00"/>
    <x v="5"/>
    <s v="Reyansh Gupta"/>
    <x v="2"/>
    <x v="5"/>
    <x v="2"/>
    <s v="A4 Paper Ream"/>
    <n v="9"/>
    <n v="471.98"/>
    <n v="4247.82"/>
    <n v="0"/>
    <x v="5"/>
    <s v="A. Menon"/>
  </r>
  <r>
    <n v="101218"/>
    <d v="2024-03-21T00:00:00"/>
    <x v="3"/>
    <s v="Diya Das"/>
    <x v="3"/>
    <x v="6"/>
    <x v="2"/>
    <s v="Gel Pen Set"/>
    <n v="7"/>
    <n v="517.16999999999996"/>
    <n v="3620.1899999999996"/>
    <n v="0.05"/>
    <x v="4"/>
    <s v="M. Ghosh"/>
  </r>
  <r>
    <n v="100236"/>
    <d v="2024-12-08T00:00:00"/>
    <x v="2"/>
    <s v="Aditya Nair"/>
    <x v="2"/>
    <x v="5"/>
    <x v="6"/>
    <s v="Sandals"/>
    <n v="4"/>
    <n v="2659.72"/>
    <n v="10638.88"/>
    <n v="0.2"/>
    <x v="0"/>
    <s v="A. Menon"/>
  </r>
  <r>
    <n v="101726"/>
    <d v="2024-06-18T00:00:00"/>
    <x v="0"/>
    <s v="Amit Rao"/>
    <x v="4"/>
    <x v="4"/>
    <x v="4"/>
    <s v="Smartwatch S3"/>
    <n v="8"/>
    <n v="21904.27"/>
    <n v="175234.16"/>
    <n v="0.25"/>
    <x v="4"/>
    <s v="T. Rana"/>
  </r>
  <r>
    <n v="100481"/>
    <d v="2024-04-11T00:00:00"/>
    <x v="6"/>
    <s v="Myra Singh"/>
    <x v="3"/>
    <x v="3"/>
    <x v="3"/>
    <s v="Tea Pack 500g"/>
    <n v="7"/>
    <n v="664.77"/>
    <n v="4653.3899999999994"/>
    <n v="0.25"/>
    <x v="3"/>
    <s v="R. Kulkarni"/>
  </r>
  <r>
    <n v="100568"/>
    <d v="2024-06-16T00:00:00"/>
    <x v="0"/>
    <s v="Saanvi Bose"/>
    <x v="3"/>
    <x v="6"/>
    <x v="4"/>
    <s v="Bluetooth Speaker"/>
    <n v="5"/>
    <n v="2286.17"/>
    <n v="11430.85"/>
    <n v="0.25"/>
    <x v="5"/>
    <s v="K. Iyer"/>
  </r>
  <r>
    <n v="101141"/>
    <d v="2024-09-08T00:00:00"/>
    <x v="4"/>
    <s v="Nisha Malhotra"/>
    <x v="0"/>
    <x v="0"/>
    <x v="1"/>
    <s v="Kids T-Shirt"/>
    <n v="7"/>
    <n v="1865.47"/>
    <n v="13058.29"/>
    <n v="0"/>
    <x v="0"/>
    <s v="K. Iyer"/>
  </r>
  <r>
    <n v="101701"/>
    <d v="2024-02-28T00:00:00"/>
    <x v="11"/>
    <s v="Rohan Verma"/>
    <x v="2"/>
    <x v="2"/>
    <x v="3"/>
    <s v="Wheat Flour 10kg"/>
    <n v="10"/>
    <n v="263.33"/>
    <n v="2633.2999999999997"/>
    <n v="0"/>
    <x v="1"/>
    <s v="T. Rana"/>
  </r>
  <r>
    <n v="101884"/>
    <d v="2024-06-02T00:00:00"/>
    <x v="0"/>
    <s v="Myra Kumar"/>
    <x v="2"/>
    <x v="5"/>
    <x v="1"/>
    <s v="Kids T-Shirt"/>
    <n v="6"/>
    <n v="1791.6"/>
    <n v="10749.599999999999"/>
    <n v="0.15"/>
    <x v="3"/>
    <s v="A. Menon"/>
  </r>
  <r>
    <n v="101583"/>
    <d v="2024-01-19T00:00:00"/>
    <x v="9"/>
    <s v="Saanvi Mehta"/>
    <x v="0"/>
    <x v="0"/>
    <x v="3"/>
    <s v="Tea Pack 500g"/>
    <n v="7"/>
    <n v="614.19000000000005"/>
    <n v="4299.33"/>
    <n v="0.15"/>
    <x v="5"/>
    <s v="R. Kulkarni"/>
  </r>
  <r>
    <n v="100121"/>
    <d v="2024-02-29T00:00:00"/>
    <x v="11"/>
    <s v="Riya Kapoor"/>
    <x v="0"/>
    <x v="8"/>
    <x v="1"/>
    <s v="Formal Shirt"/>
    <n v="3"/>
    <n v="3371.23"/>
    <n v="10113.69"/>
    <n v="0.2"/>
    <x v="0"/>
    <s v="M. Ghosh"/>
  </r>
  <r>
    <n v="101389"/>
    <d v="2024-01-05T00:00:00"/>
    <x v="9"/>
    <s v="Myra Sharma"/>
    <x v="4"/>
    <x v="7"/>
    <x v="1"/>
    <s v="Formal Shirt"/>
    <m/>
    <n v="1337"/>
    <n v="0"/>
    <n v="0.1"/>
    <x v="2"/>
    <s v="P. Trivedi"/>
  </r>
  <r>
    <n v="101747"/>
    <d v="2024-05-08T00:00:00"/>
    <x v="8"/>
    <s v="Pooja Patel"/>
    <x v="1"/>
    <x v="1"/>
    <x v="0"/>
    <s v="Bookshelf"/>
    <n v="7"/>
    <n v="23578.86"/>
    <n v="165052.02000000002"/>
    <n v="0"/>
    <x v="4"/>
    <s v="A. Menon"/>
  </r>
  <r>
    <n v="101025"/>
    <d v="2024-07-25T00:00:00"/>
    <x v="1"/>
    <s v="Vikram Nair"/>
    <x v="1"/>
    <x v="9"/>
    <x v="0"/>
    <s v="Wooden Dining Table"/>
    <n v="2"/>
    <n v="5986.2"/>
    <n v="11972.4"/>
    <n v="0.15"/>
    <x v="2"/>
    <s v="R. Kulkarni"/>
  </r>
  <r>
    <n v="101087"/>
    <d v="2024-10-07T00:00:00"/>
    <x v="10"/>
    <s v="Riya Reddy"/>
    <x v="1"/>
    <x v="9"/>
    <x v="2"/>
    <s v="Notebook Pack"/>
    <n v="12"/>
    <n v="212.01"/>
    <n v="2544.12"/>
    <n v="0.2"/>
    <x v="3"/>
    <s v="P. Trivedi"/>
  </r>
  <r>
    <n v="101273"/>
    <d v="2024-04-01T00:00:00"/>
    <x v="6"/>
    <s v="Kiara Sharma"/>
    <x v="3"/>
    <x v="6"/>
    <x v="0"/>
    <s v="Wooden Dining Table"/>
    <n v="11"/>
    <n v="0"/>
    <n v="0"/>
    <n v="0"/>
    <x v="3"/>
    <s v="S. Bhat"/>
  </r>
  <r>
    <n v="100927"/>
    <d v="2024-07-04T00:00:00"/>
    <x v="1"/>
    <s v="Ananya Kapoor"/>
    <x v="2"/>
    <x v="5"/>
    <x v="1"/>
    <s v="Men's Denim Jacket"/>
    <n v="6"/>
    <n v="0"/>
    <n v="0"/>
    <n v="0"/>
    <x v="5"/>
    <s v="K. Iyer"/>
  </r>
  <r>
    <n v="100516"/>
    <d v="2024-02-23T00:00:00"/>
    <x v="11"/>
    <s v="Nisha Sharma"/>
    <x v="2"/>
    <x v="2"/>
    <x v="6"/>
    <s v="Sandals"/>
    <n v="10"/>
    <n v="3934.06"/>
    <n v="39340.6"/>
    <n v="0.1"/>
    <x v="5"/>
    <s v="S. Bhat"/>
  </r>
  <r>
    <n v="100224"/>
    <d v="2024-05-16T00:00:00"/>
    <x v="8"/>
    <s v="Rahul Sharma"/>
    <x v="2"/>
    <x v="5"/>
    <x v="2"/>
    <s v="Geometry Box"/>
    <n v="5"/>
    <n v="75.73"/>
    <n v="378.65000000000003"/>
    <n v="0.25"/>
    <x v="0"/>
    <s v="T. Rana"/>
  </r>
  <r>
    <n v="101492"/>
    <d v="2024-06-13T00:00:00"/>
    <x v="0"/>
    <s v="Arjun Singh"/>
    <x v="2"/>
    <x v="2"/>
    <x v="0"/>
    <s v="Sofa 3-Seater"/>
    <n v="4"/>
    <n v="10293.469999999999"/>
    <n v="41173.879999999997"/>
    <n v="0.15"/>
    <x v="3"/>
    <s v="P. Trivedi"/>
  </r>
  <r>
    <n v="100844"/>
    <d v="2024-10-28T00:00:00"/>
    <x v="10"/>
    <s v="Rahul Mehta"/>
    <x v="1"/>
    <x v="1"/>
    <x v="4"/>
    <s v="Smartwatch S3"/>
    <n v="1"/>
    <n v="24207.94"/>
    <n v="24207.94"/>
    <n v="0.25"/>
    <x v="3"/>
    <s v="M. Ghosh"/>
  </r>
  <r>
    <n v="101246"/>
    <d v="2024-09-27T00:00:00"/>
    <x v="4"/>
    <s v="Vihaan Kapoor"/>
    <x v="4"/>
    <x v="7"/>
    <x v="2"/>
    <s v="A4 Paper Ream"/>
    <n v="2"/>
    <n v="521.1"/>
    <n v="1042.2"/>
    <n v="0.15"/>
    <x v="0"/>
    <s v="D. Chawla"/>
  </r>
  <r>
    <n v="100053"/>
    <d v="2024-05-24T00:00:00"/>
    <x v="8"/>
    <s v="Riya Singh"/>
    <x v="4"/>
    <x v="7"/>
    <x v="1"/>
    <s v="Winter Sweater"/>
    <n v="12"/>
    <n v="1403.69"/>
    <n v="16844.28"/>
    <n v="0"/>
    <x v="4"/>
    <s v="R. Kulkarni"/>
  </r>
  <r>
    <n v="101863"/>
    <d v="2024-02-22T00:00:00"/>
    <x v="11"/>
    <s v="Arjun Malhotra"/>
    <x v="4"/>
    <x v="4"/>
    <x v="6"/>
    <s v="Running Shoes"/>
    <n v="-3"/>
    <n v="1802.63"/>
    <n v="-5407.89"/>
    <n v="0.05"/>
    <x v="5"/>
    <s v="T. Rana"/>
  </r>
  <r>
    <n v="100486"/>
    <d v="2024-03-04T00:00:00"/>
    <x v="3"/>
    <s v="Myra Das"/>
    <x v="4"/>
    <x v="4"/>
    <x v="0"/>
    <s v="Bookshelf"/>
    <n v="8"/>
    <n v="23884.38"/>
    <n v="191075.04"/>
    <n v="0.05"/>
    <x v="4"/>
    <s v="S. Bhat"/>
  </r>
  <r>
    <n v="101935"/>
    <d v="2024-06-07T00:00:00"/>
    <x v="0"/>
    <s v="Vivaan Agarwal"/>
    <x v="2"/>
    <x v="5"/>
    <x v="2"/>
    <s v="Gel Pen Set"/>
    <n v="4"/>
    <n v="150.34"/>
    <n v="601.36"/>
    <n v="0.25"/>
    <x v="3"/>
    <s v="P. Trivedi"/>
  </r>
  <r>
    <n v="100819"/>
    <d v="2024-02-24T00:00:00"/>
    <x v="11"/>
    <s v="Saanvi Agarwal"/>
    <x v="0"/>
    <x v="0"/>
    <x v="6"/>
    <s v="Sneakers"/>
    <n v="1"/>
    <n v="4230.03"/>
    <n v="4230.03"/>
    <n v="0.25"/>
    <x v="3"/>
    <s v="S. Bhat"/>
  </r>
  <r>
    <n v="100156"/>
    <d v="2024-07-03T00:00:00"/>
    <x v="1"/>
    <s v="Navya Verma"/>
    <x v="4"/>
    <x v="4"/>
    <x v="3"/>
    <s v="Cooking Oil 1L"/>
    <n v="12"/>
    <n v="761.52"/>
    <n v="9138.24"/>
    <n v="0.15"/>
    <x v="1"/>
    <s v="D. Chawla"/>
  </r>
  <r>
    <n v="101367"/>
    <d v="2024-08-30T00:00:00"/>
    <x v="5"/>
    <s v="Aadhya Joshi"/>
    <x v="1"/>
    <x v="1"/>
    <x v="5"/>
    <s v="Air Cooler"/>
    <m/>
    <n v="1441.84"/>
    <n v="0"/>
    <n v="0"/>
    <x v="1"/>
    <s v="D. Chawla"/>
  </r>
  <r>
    <n v="100601"/>
    <d v="2024-01-15T00:00:00"/>
    <x v="9"/>
    <s v="Vihaan Nair"/>
    <x v="0"/>
    <x v="8"/>
    <x v="3"/>
    <s v="Sugar 1kg"/>
    <n v="3"/>
    <n v="216.84"/>
    <n v="650.52"/>
    <n v="0"/>
    <x v="2"/>
    <s v="M. Ghosh"/>
  </r>
  <r>
    <n v="101621"/>
    <d v="2024-06-01T00:00:00"/>
    <x v="0"/>
    <s v="Sai Agarwal"/>
    <x v="2"/>
    <x v="5"/>
    <x v="2"/>
    <s v="Gel Pen Set"/>
    <n v="5"/>
    <n v="352.52"/>
    <n v="1762.6"/>
    <n v="0"/>
    <x v="4"/>
    <s v="S. Bhat"/>
  </r>
  <r>
    <n v="100249"/>
    <d v="2024-12-30T00:00:00"/>
    <x v="2"/>
    <s v="Vihaan Rao"/>
    <x v="2"/>
    <x v="5"/>
    <x v="3"/>
    <s v="Cooking Oil 1L"/>
    <n v="8"/>
    <n v="435.63"/>
    <n v="3485.04"/>
    <n v="0"/>
    <x v="2"/>
    <s v="T. Rana"/>
  </r>
  <r>
    <n v="100762"/>
    <d v="2024-05-19T00:00:00"/>
    <x v="8"/>
    <s v="Ira Reddy"/>
    <x v="4"/>
    <x v="4"/>
    <x v="0"/>
    <s v="Bookshelf"/>
    <n v="3"/>
    <n v="15323.43"/>
    <n v="45970.29"/>
    <n v="0"/>
    <x v="3"/>
    <s v="A. Menon"/>
  </r>
  <r>
    <n v="101847"/>
    <d v="2024-11-09T00:00:00"/>
    <x v="7"/>
    <s v="Anika Chopra"/>
    <x v="0"/>
    <x v="8"/>
    <x v="1"/>
    <s v="Kids T-Shirt"/>
    <n v="3"/>
    <n v="3143.72"/>
    <n v="9431.16"/>
    <n v="0"/>
    <x v="5"/>
    <s v="M. Ghosh"/>
  </r>
  <r>
    <n v="101131"/>
    <d v="2024-09-17T00:00:00"/>
    <x v="4"/>
    <s v="Saanvi Gupta"/>
    <x v="3"/>
    <x v="6"/>
    <x v="0"/>
    <s v="Study Desk"/>
    <n v="8"/>
    <n v="0"/>
    <n v="0"/>
    <n v="0"/>
    <x v="4"/>
    <s v="P. Trivedi"/>
  </r>
  <r>
    <n v="100543"/>
    <d v="2024-01-01T00:00:00"/>
    <x v="9"/>
    <s v="Ananya Kapoor"/>
    <x v="1"/>
    <x v="1"/>
    <x v="5"/>
    <s v="Air Cooler"/>
    <n v="6"/>
    <n v="7610.15"/>
    <n v="45660.899999999994"/>
    <n v="0"/>
    <x v="3"/>
    <s v="M. Ghosh"/>
  </r>
  <r>
    <n v="100794"/>
    <d v="2024-09-11T00:00:00"/>
    <x v="4"/>
    <s v="Sai Patel"/>
    <x v="2"/>
    <x v="5"/>
    <x v="0"/>
    <s v="Sofa 3-Seater"/>
    <n v="12"/>
    <n v="17812.11"/>
    <n v="213745.32"/>
    <n v="0"/>
    <x v="4"/>
    <s v="P. Trivedi"/>
  </r>
  <r>
    <n v="101142"/>
    <d v="2024-08-06T00:00:00"/>
    <x v="5"/>
    <s v="Ananya Bose"/>
    <x v="1"/>
    <x v="9"/>
    <x v="0"/>
    <s v="Study Desk"/>
    <n v="5"/>
    <n v="14683.22"/>
    <n v="73416.099999999991"/>
    <n v="0.2"/>
    <x v="2"/>
    <s v="T. Rana"/>
  </r>
  <r>
    <n v="101470"/>
    <d v="2024-10-07T00:00:00"/>
    <x v="10"/>
    <s v="Nisha Bose"/>
    <x v="1"/>
    <x v="9"/>
    <x v="3"/>
    <s v="Cooking Oil 1L"/>
    <n v="7"/>
    <n v="129.99"/>
    <n v="909.93000000000006"/>
    <n v="0.25"/>
    <x v="0"/>
    <s v="S. Bhat"/>
  </r>
  <r>
    <n v="100629"/>
    <d v="2024-03-26T00:00:00"/>
    <x v="3"/>
    <s v="Priya Sharma"/>
    <x v="1"/>
    <x v="1"/>
    <x v="1"/>
    <s v="Men's Denim Jacket"/>
    <n v="5"/>
    <n v="883.38"/>
    <n v="4416.8999999999996"/>
    <n v="0.1"/>
    <x v="5"/>
    <s v="P. Trivedi"/>
  </r>
  <r>
    <n v="100151"/>
    <d v="2024-01-04T00:00:00"/>
    <x v="9"/>
    <s v="Ananya Gupta"/>
    <x v="3"/>
    <x v="3"/>
    <x v="0"/>
    <s v="Office Chair"/>
    <n v="10"/>
    <n v="23822.13"/>
    <n v="238221.30000000002"/>
    <n v="0.05"/>
    <x v="0"/>
    <s v="S. Bhat"/>
  </r>
  <r>
    <n v="101660"/>
    <d v="2024-04-26T00:00:00"/>
    <x v="6"/>
    <s v="Krishna Iyer"/>
    <x v="4"/>
    <x v="4"/>
    <x v="0"/>
    <s v="Sofa 3-Seater"/>
    <n v="11"/>
    <n v="19798.580000000002"/>
    <n v="217784.38"/>
    <n v="0.1"/>
    <x v="4"/>
    <s v="K. Iyer"/>
  </r>
  <r>
    <n v="100292"/>
    <d v="2024-10-05T00:00:00"/>
    <x v="10"/>
    <s v="Saanvi Joshi"/>
    <x v="2"/>
    <x v="2"/>
    <x v="2"/>
    <s v="Notebook Pack"/>
    <n v="12"/>
    <n v="586.55999999999995"/>
    <n v="7038.7199999999993"/>
    <n v="0.15"/>
    <x v="5"/>
    <s v="P. Trivedi"/>
  </r>
  <r>
    <n v="100382"/>
    <d v="2024-05-12T00:00:00"/>
    <x v="8"/>
    <s v="(Unknown)"/>
    <x v="3"/>
    <x v="3"/>
    <x v="0"/>
    <s v="Bookshelf"/>
    <n v="8"/>
    <n v="12223.62"/>
    <n v="97788.96"/>
    <n v="0.25"/>
    <x v="5"/>
    <s v="S. Bhat"/>
  </r>
  <r>
    <n v="100687"/>
    <d v="2024-02-16T00:00:00"/>
    <x v="11"/>
    <s v="Ira Singh"/>
    <x v="4"/>
    <x v="4"/>
    <x v="4"/>
    <s v="Bluetooth Speaker"/>
    <n v="9"/>
    <n v="36821.620000000003"/>
    <n v="331394.58"/>
    <n v="0"/>
    <x v="3"/>
    <s v="A. Menon"/>
  </r>
  <r>
    <n v="101368"/>
    <d v="2024-06-09T00:00:00"/>
    <x v="0"/>
    <s v="(Unknown)"/>
    <x v="2"/>
    <x v="2"/>
    <x v="2"/>
    <s v="Notebook Pack"/>
    <n v="10"/>
    <n v="245.76"/>
    <n v="2457.6"/>
    <n v="0"/>
    <x v="5"/>
    <s v="R. Kulkarni"/>
  </r>
  <r>
    <n v="101225"/>
    <d v="2024-04-03T00:00:00"/>
    <x v="6"/>
    <s v="Krishna Singh"/>
    <x v="2"/>
    <x v="2"/>
    <x v="3"/>
    <s v="Cooking Oil 1L"/>
    <n v="3"/>
    <n v="260.33"/>
    <n v="780.99"/>
    <n v="0.25"/>
    <x v="4"/>
    <s v="M. Ghosh"/>
  </r>
  <r>
    <n v="100898"/>
    <d v="2024-02-29T00:00:00"/>
    <x v="11"/>
    <s v="Karan Joshi"/>
    <x v="1"/>
    <x v="1"/>
    <x v="3"/>
    <s v="Tea Pack 500g"/>
    <n v="2"/>
    <n v="784.82"/>
    <n v="1569.64"/>
    <n v="0.25"/>
    <x v="5"/>
    <s v="S. Bhat"/>
  </r>
  <r>
    <n v="100855"/>
    <d v="2024-05-25T00:00:00"/>
    <x v="8"/>
    <s v="Vivaan Agarwal"/>
    <x v="4"/>
    <x v="4"/>
    <x v="4"/>
    <s v="Laptop Air 14"/>
    <n v="2"/>
    <n v="40037.019999999997"/>
    <n v="80074.039999999994"/>
    <n v="0"/>
    <x v="1"/>
    <s v="S. Bhat"/>
  </r>
  <r>
    <n v="101072"/>
    <d v="2024-01-11T00:00:00"/>
    <x v="9"/>
    <s v="Neha Singh"/>
    <x v="4"/>
    <x v="7"/>
    <x v="2"/>
    <s v="Geometry Box"/>
    <n v="5"/>
    <n v="74.72"/>
    <n v="373.6"/>
    <n v="0.15"/>
    <x v="5"/>
    <s v="M. Ghosh"/>
  </r>
  <r>
    <n v="101483"/>
    <d v="2024-11-24T00:00:00"/>
    <x v="7"/>
    <s v="Ayaan Iyer"/>
    <x v="2"/>
    <x v="2"/>
    <x v="1"/>
    <s v="Winter Sweater"/>
    <n v="6"/>
    <n v="2178.12"/>
    <n v="13068.72"/>
    <n v="0.05"/>
    <x v="4"/>
    <s v="M. Ghosh"/>
  </r>
  <r>
    <n v="101544"/>
    <d v="2024-07-08T00:00:00"/>
    <x v="1"/>
    <s v="Anika Mehta"/>
    <x v="2"/>
    <x v="5"/>
    <x v="6"/>
    <s v="Leather Formal Shoes"/>
    <n v="5"/>
    <n v="878"/>
    <n v="4390"/>
    <n v="0.1"/>
    <x v="5"/>
    <s v="S. Bhat"/>
  </r>
  <r>
    <n v="101707"/>
    <d v="2024-07-05T00:00:00"/>
    <x v="1"/>
    <s v="Sai Agarwal"/>
    <x v="1"/>
    <x v="1"/>
    <x v="0"/>
    <s v="Sofa 3-Seater"/>
    <n v="7"/>
    <n v="11503.89"/>
    <n v="80527.23"/>
    <n v="0"/>
    <x v="4"/>
    <s v="P. Trivedi"/>
  </r>
  <r>
    <n v="100892"/>
    <d v="2024-12-15T00:00:00"/>
    <x v="2"/>
    <s v="Pooja Malhotra"/>
    <x v="2"/>
    <x v="2"/>
    <x v="4"/>
    <s v="Bluetooth Speaker"/>
    <n v="2"/>
    <n v="15410.8"/>
    <n v="30821.599999999999"/>
    <n v="0.05"/>
    <x v="3"/>
    <s v="D. Chawla"/>
  </r>
  <r>
    <n v="101776"/>
    <d v="2024-06-29T00:00:00"/>
    <x v="0"/>
    <s v="Pooja Mehta"/>
    <x v="3"/>
    <x v="6"/>
    <x v="2"/>
    <s v="Gel Pen Set"/>
    <n v="12"/>
    <n v="110.74"/>
    <n v="1328.8799999999999"/>
    <n v="0"/>
    <x v="3"/>
    <s v="T. Rana"/>
  </r>
  <r>
    <n v="101365"/>
    <d v="2024-12-03T00:00:00"/>
    <x v="2"/>
    <s v="Navya Reddy"/>
    <x v="2"/>
    <x v="2"/>
    <x v="6"/>
    <s v="Running Shoes"/>
    <n v="9"/>
    <n v="3574.59"/>
    <n v="32171.31"/>
    <n v="0.15"/>
    <x v="5"/>
    <s v="T. Rana"/>
  </r>
  <r>
    <n v="100616"/>
    <d v="2024-06-24T00:00:00"/>
    <x v="0"/>
    <s v="Myra Rao"/>
    <x v="2"/>
    <x v="2"/>
    <x v="6"/>
    <s v="Sandals"/>
    <n v="4"/>
    <n v="605.44000000000005"/>
    <n v="2421.7600000000002"/>
    <n v="0.05"/>
    <x v="4"/>
    <s v="P. Trivedi"/>
  </r>
  <r>
    <n v="100155"/>
    <d v="2024-06-01T00:00:00"/>
    <x v="0"/>
    <s v="Saanvi Patel"/>
    <x v="3"/>
    <x v="3"/>
    <x v="4"/>
    <s v="Bluetooth Speaker"/>
    <n v="2"/>
    <n v="8931.2000000000007"/>
    <n v="17862.400000000001"/>
    <n v="0.25"/>
    <x v="0"/>
    <s v="D. Chawla"/>
  </r>
  <r>
    <n v="101194"/>
    <d v="2024-07-29T00:00:00"/>
    <x v="1"/>
    <s v="Sai Joshi"/>
    <x v="1"/>
    <x v="1"/>
    <x v="5"/>
    <s v="Electric Kettle"/>
    <n v="7"/>
    <n v="2649.25"/>
    <n v="18544.75"/>
    <n v="0"/>
    <x v="5"/>
    <s v="T. Rana"/>
  </r>
  <r>
    <n v="101733"/>
    <d v="2024-10-27T00:00:00"/>
    <x v="10"/>
    <s v="Vivaan Mehta"/>
    <x v="1"/>
    <x v="9"/>
    <x v="3"/>
    <s v="Cooking Oil 1L"/>
    <n v="7"/>
    <n v="267.11"/>
    <n v="1869.77"/>
    <n v="0.2"/>
    <x v="2"/>
    <s v="S. Bhat"/>
  </r>
  <r>
    <n v="101265"/>
    <d v="2024-12-28T00:00:00"/>
    <x v="2"/>
    <s v="Navya Joshi"/>
    <x v="1"/>
    <x v="9"/>
    <x v="4"/>
    <s v="Smartwatch S3"/>
    <n v="8"/>
    <n v="24862.080000000002"/>
    <n v="198896.64000000001"/>
    <n v="0"/>
    <x v="1"/>
    <s v="A. Menon"/>
  </r>
  <r>
    <n v="101800"/>
    <d v="2024-05-14T00:00:00"/>
    <x v="8"/>
    <s v="Pooja Singh"/>
    <x v="1"/>
    <x v="9"/>
    <x v="1"/>
    <s v="Kids T-Shirt"/>
    <n v="6"/>
    <n v="624.35"/>
    <n v="3746.1000000000004"/>
    <n v="0.2"/>
    <x v="4"/>
    <s v="T. Rana"/>
  </r>
  <r>
    <n v="100323"/>
    <d v="2024-07-14T00:00:00"/>
    <x v="1"/>
    <s v="Vihaan Agarwal"/>
    <x v="4"/>
    <x v="7"/>
    <x v="4"/>
    <s v="Smartphone X200"/>
    <n v="7"/>
    <n v="27669.59"/>
    <n v="193687.13"/>
    <n v="0"/>
    <x v="4"/>
    <s v="M. Ghosh"/>
  </r>
  <r>
    <n v="101565"/>
    <d v="2024-11-13T00:00:00"/>
    <x v="7"/>
    <s v="Aadhya Bansal"/>
    <x v="3"/>
    <x v="6"/>
    <x v="2"/>
    <s v="Notebook Pack"/>
    <n v="8"/>
    <n v="143.94"/>
    <n v="1151.52"/>
    <n v="0"/>
    <x v="2"/>
    <s v="K. Iyer"/>
  </r>
  <r>
    <n v="100083"/>
    <d v="2024-06-20T00:00:00"/>
    <x v="0"/>
    <s v="Aditya Verma"/>
    <x v="0"/>
    <x v="8"/>
    <x v="5"/>
    <s v="Air Cooler"/>
    <n v="5"/>
    <n v="7992.8"/>
    <n v="39964"/>
    <n v="0.05"/>
    <x v="1"/>
    <s v="P. Trivedi"/>
  </r>
  <r>
    <n v="100513"/>
    <d v="2024-06-03T00:00:00"/>
    <x v="0"/>
    <s v="Myra Iyer"/>
    <x v="3"/>
    <x v="6"/>
    <x v="2"/>
    <s v="Geometry Box"/>
    <n v="9"/>
    <n v="474.72"/>
    <n v="4272.4800000000005"/>
    <n v="0"/>
    <x v="4"/>
    <s v="P. Trivedi"/>
  </r>
  <r>
    <n v="101543"/>
    <d v="2024-04-10T00:00:00"/>
    <x v="6"/>
    <s v="Riya Patel"/>
    <x v="0"/>
    <x v="0"/>
    <x v="6"/>
    <s v="Sneakers"/>
    <n v="10"/>
    <n v="1034.6500000000001"/>
    <n v="10346.5"/>
    <n v="0.1"/>
    <x v="1"/>
    <s v="T. Rana"/>
  </r>
  <r>
    <n v="101509"/>
    <d v="2024-08-21T00:00:00"/>
    <x v="5"/>
    <s v="Rohan Pillai"/>
    <x v="2"/>
    <x v="5"/>
    <x v="2"/>
    <s v="Notebook Pack"/>
    <n v="10"/>
    <n v="306.08"/>
    <n v="3060.7999999999997"/>
    <n v="0.25"/>
    <x v="1"/>
    <s v="P. Trivedi"/>
  </r>
  <r>
    <n v="100930"/>
    <d v="2024-01-29T00:00:00"/>
    <x v="9"/>
    <s v="Navya Verma"/>
    <x v="3"/>
    <x v="6"/>
    <x v="6"/>
    <s v="Sneakers"/>
    <n v="5"/>
    <n v="2673.76"/>
    <n v="13368.800000000001"/>
    <n v="0"/>
    <x v="0"/>
    <s v="R. Kulkarni"/>
  </r>
  <r>
    <n v="101651"/>
    <d v="2024-04-09T00:00:00"/>
    <x v="6"/>
    <s v="Ishaan Sharma"/>
    <x v="2"/>
    <x v="2"/>
    <x v="5"/>
    <s v="Mixer Grinder"/>
    <n v="8"/>
    <n v="1139.47"/>
    <n v="9115.76"/>
    <n v="0"/>
    <x v="2"/>
    <s v="K. Iyer"/>
  </r>
  <r>
    <n v="101358"/>
    <d v="2024-08-17T00:00:00"/>
    <x v="5"/>
    <s v="Diya Chopra"/>
    <x v="0"/>
    <x v="8"/>
    <x v="5"/>
    <s v="Mixer Grinder"/>
    <n v="11"/>
    <n v="3934.55"/>
    <n v="43280.05"/>
    <n v="0"/>
    <x v="0"/>
    <s v="R. Kulkarni"/>
  </r>
  <r>
    <n v="100011"/>
    <d v="2024-03-28T00:00:00"/>
    <x v="3"/>
    <s v="Aditya Nair"/>
    <x v="1"/>
    <x v="9"/>
    <x v="0"/>
    <s v="Wooden Dining Table"/>
    <n v="8"/>
    <n v="8406.5400000000009"/>
    <n v="67252.320000000007"/>
    <n v="0"/>
    <x v="0"/>
    <s v="T. Rana"/>
  </r>
  <r>
    <n v="100832"/>
    <d v="2024-05-03T00:00:00"/>
    <x v="8"/>
    <s v="Ira Chopra"/>
    <x v="2"/>
    <x v="2"/>
    <x v="5"/>
    <s v="Ceiling Fan"/>
    <n v="11"/>
    <n v="9768.1200000000008"/>
    <n v="107449.32"/>
    <n v="0.1"/>
    <x v="2"/>
    <s v="T. Rana"/>
  </r>
  <r>
    <n v="100033"/>
    <d v="2024-07-16T00:00:00"/>
    <x v="1"/>
    <s v="Priya Pillai"/>
    <x v="4"/>
    <x v="4"/>
    <x v="4"/>
    <s v="Bluetooth Speaker"/>
    <n v="9"/>
    <n v="10912.73"/>
    <n v="98214.569999999992"/>
    <n v="0.05"/>
    <x v="3"/>
    <s v="M. Ghosh"/>
  </r>
  <r>
    <n v="101785"/>
    <d v="2024-08-07T00:00:00"/>
    <x v="5"/>
    <s v="Ayaan Patel"/>
    <x v="4"/>
    <x v="4"/>
    <x v="4"/>
    <s v="Wireless Earbuds"/>
    <n v="9"/>
    <n v="28117.39"/>
    <n v="253056.51"/>
    <n v="0"/>
    <x v="0"/>
    <s v="D. Chawla"/>
  </r>
  <r>
    <n v="100414"/>
    <d v="2024-03-29T00:00:00"/>
    <x v="3"/>
    <s v="Ira Mehta"/>
    <x v="2"/>
    <x v="5"/>
    <x v="5"/>
    <s v="Electric Kettle"/>
    <n v="-2"/>
    <n v="6669.24"/>
    <n v="-13338.48"/>
    <n v="0.1"/>
    <x v="2"/>
    <s v="R. Kulkarni"/>
  </r>
  <r>
    <n v="100581"/>
    <d v="2024-05-12T00:00:00"/>
    <x v="8"/>
    <s v="Riya Das"/>
    <x v="1"/>
    <x v="1"/>
    <x v="3"/>
    <s v="Basmati Rice 5kg"/>
    <n v="9"/>
    <n v="859.22"/>
    <n v="7732.9800000000005"/>
    <n v="0"/>
    <x v="2"/>
    <s v="A. Menon"/>
  </r>
  <r>
    <n v="101407"/>
    <d v="2024-12-14T00:00:00"/>
    <x v="2"/>
    <s v="Ananya Patel"/>
    <x v="0"/>
    <x v="0"/>
    <x v="4"/>
    <s v="Smartphone X200"/>
    <n v="7"/>
    <n v="1764.1"/>
    <n v="12348.699999999999"/>
    <n v="0.2"/>
    <x v="2"/>
    <s v="P. Trivedi"/>
  </r>
  <r>
    <n v="101568"/>
    <d v="2024-05-28T00:00:00"/>
    <x v="8"/>
    <s v="Nisha Das"/>
    <x v="4"/>
    <x v="7"/>
    <x v="5"/>
    <s v="Ceiling Fan"/>
    <n v="10"/>
    <n v="6764.64"/>
    <n v="67646.400000000009"/>
    <n v="0.15"/>
    <x v="1"/>
    <s v="D. Chawla"/>
  </r>
  <r>
    <n v="101507"/>
    <d v="2024-04-03T00:00:00"/>
    <x v="6"/>
    <s v="Ishaan Das"/>
    <x v="1"/>
    <x v="1"/>
    <x v="3"/>
    <s v="Tea Pack 500g"/>
    <n v="12"/>
    <n v="238.23"/>
    <n v="2858.7599999999998"/>
    <n v="0.05"/>
    <x v="4"/>
    <s v="S. Bhat"/>
  </r>
  <r>
    <n v="101926"/>
    <d v="2024-09-12T00:00:00"/>
    <x v="4"/>
    <s v="Karan Bose"/>
    <x v="1"/>
    <x v="1"/>
    <x v="1"/>
    <s v="Winter Sweater"/>
    <n v="1"/>
    <n v="1853.27"/>
    <n v="1853.27"/>
    <n v="0.15"/>
    <x v="5"/>
    <s v="R. Kulkarni"/>
  </r>
  <r>
    <n v="100615"/>
    <d v="2024-07-13T00:00:00"/>
    <x v="1"/>
    <s v="Sneha Mehta"/>
    <x v="0"/>
    <x v="0"/>
    <x v="6"/>
    <s v="Running Shoes"/>
    <n v="11"/>
    <n v="1294.48"/>
    <n v="14239.28"/>
    <n v="0.15"/>
    <x v="5"/>
    <s v="P. Trivedi"/>
  </r>
  <r>
    <n v="101046"/>
    <d v="2024-08-29T00:00:00"/>
    <x v="5"/>
    <s v="Ananya Verma"/>
    <x v="0"/>
    <x v="8"/>
    <x v="5"/>
    <s v="Ceiling Fan"/>
    <n v="9"/>
    <n v="1355.21"/>
    <n v="12196.89"/>
    <n v="0.05"/>
    <x v="5"/>
    <s v="T. Rana"/>
  </r>
  <r>
    <n v="101403"/>
    <d v="2024-09-24T00:00:00"/>
    <x v="4"/>
    <s v="(Unknown)"/>
    <x v="3"/>
    <x v="3"/>
    <x v="2"/>
    <s v="Notebook Pack"/>
    <n v="2"/>
    <n v="0"/>
    <n v="0"/>
    <n v="0.1"/>
    <x v="1"/>
    <s v="A. Menon"/>
  </r>
  <r>
    <n v="101015"/>
    <d v="2024-07-24T00:00:00"/>
    <x v="1"/>
    <s v="Diya Sharma"/>
    <x v="0"/>
    <x v="0"/>
    <x v="2"/>
    <s v="Geometry Box"/>
    <n v="10"/>
    <n v="324.7"/>
    <n v="3247"/>
    <n v="0.15"/>
    <x v="4"/>
    <s v="A. Menon"/>
  </r>
  <r>
    <n v="100090"/>
    <d v="2024-03-28T00:00:00"/>
    <x v="3"/>
    <s v="Ira Bose"/>
    <x v="2"/>
    <x v="2"/>
    <x v="2"/>
    <s v="Gel Pen Set"/>
    <n v="7"/>
    <n v="349.71"/>
    <n v="2447.9699999999998"/>
    <n v="0.15"/>
    <x v="4"/>
    <s v="M. Ghosh"/>
  </r>
  <r>
    <n v="101720"/>
    <d v="2024-02-10T00:00:00"/>
    <x v="11"/>
    <s v="Anika Reddy"/>
    <x v="1"/>
    <x v="9"/>
    <x v="0"/>
    <s v="Wooden Dining Table"/>
    <n v="3"/>
    <n v="17077.43"/>
    <n v="51232.29"/>
    <n v="0.2"/>
    <x v="2"/>
    <s v="R. Kulkarni"/>
  </r>
  <r>
    <n v="100602"/>
    <d v="2024-07-30T00:00:00"/>
    <x v="1"/>
    <s v="Arjun Verma"/>
    <x v="3"/>
    <x v="6"/>
    <x v="5"/>
    <s v="Ceiling Fan"/>
    <n v="1"/>
    <n v="5584.43"/>
    <n v="5584.43"/>
    <n v="0"/>
    <x v="1"/>
    <s v="K. Iyer"/>
  </r>
  <r>
    <n v="101238"/>
    <d v="2024-11-16T00:00:00"/>
    <x v="7"/>
    <s v="Ayaan Rao"/>
    <x v="0"/>
    <x v="0"/>
    <x v="1"/>
    <s v="Kids T-Shirt"/>
    <n v="6"/>
    <n v="1702.98"/>
    <n v="10217.880000000001"/>
    <n v="0"/>
    <x v="3"/>
    <s v="T. Rana"/>
  </r>
  <r>
    <n v="101858"/>
    <d v="2024-03-12T00:00:00"/>
    <x v="3"/>
    <s v="Reyansh Joshi"/>
    <x v="0"/>
    <x v="8"/>
    <x v="0"/>
    <s v="Bookshelf"/>
    <n v="10"/>
    <n v="19414.87"/>
    <n v="194148.69999999998"/>
    <n v="0.15"/>
    <x v="4"/>
    <s v="S. Bhat"/>
  </r>
  <r>
    <n v="100134"/>
    <d v="2024-03-14T00:00:00"/>
    <x v="3"/>
    <s v="Aarav Agarwal"/>
    <x v="2"/>
    <x v="2"/>
    <x v="3"/>
    <s v="Sugar 1kg"/>
    <n v="6"/>
    <n v="0"/>
    <n v="0"/>
    <n v="0.2"/>
    <x v="3"/>
    <s v="R. Kulkarni"/>
  </r>
  <r>
    <n v="101371"/>
    <d v="2024-08-20T00:00:00"/>
    <x v="5"/>
    <s v="Amit Malhotra"/>
    <x v="4"/>
    <x v="4"/>
    <x v="4"/>
    <s v="Wireless Earbuds"/>
    <n v="5"/>
    <n v="26138.12"/>
    <n v="130690.59999999999"/>
    <n v="0.25"/>
    <x v="1"/>
    <s v="K. Iyer"/>
  </r>
  <r>
    <n v="100556"/>
    <d v="2024-10-23T00:00:00"/>
    <x v="10"/>
    <s v="Vivaan Nair"/>
    <x v="0"/>
    <x v="8"/>
    <x v="3"/>
    <s v="Tea Pack 500g"/>
    <n v="8"/>
    <n v="554.54"/>
    <n v="4436.32"/>
    <n v="0.15"/>
    <x v="4"/>
    <s v="S. Bhat"/>
  </r>
  <r>
    <n v="101032"/>
    <d v="2024-08-29T00:00:00"/>
    <x v="5"/>
    <s v="Riya Pillai"/>
    <x v="0"/>
    <x v="8"/>
    <x v="2"/>
    <s v="Geometry Box"/>
    <n v="8"/>
    <n v="0"/>
    <n v="0"/>
    <n v="0.05"/>
    <x v="4"/>
    <s v="R. Kulkarni"/>
  </r>
  <r>
    <n v="101584"/>
    <d v="2024-08-02T00:00:00"/>
    <x v="5"/>
    <s v="Rahul Kumar"/>
    <x v="1"/>
    <x v="1"/>
    <x v="5"/>
    <s v="Ceiling Fan"/>
    <n v="11"/>
    <n v="9398.9599999999991"/>
    <n v="103388.56"/>
    <n v="0"/>
    <x v="0"/>
    <s v="A. Menon"/>
  </r>
  <r>
    <n v="100321"/>
    <d v="2024-11-09T00:00:00"/>
    <x v="7"/>
    <s v="Rahul Mehta"/>
    <x v="3"/>
    <x v="3"/>
    <x v="6"/>
    <s v="Sandals"/>
    <n v="5"/>
    <n v="2349.9499999999998"/>
    <n v="11749.75"/>
    <n v="0"/>
    <x v="4"/>
    <s v="P. Trivedi"/>
  </r>
  <r>
    <n v="101791"/>
    <d v="2024-12-28T00:00:00"/>
    <x v="2"/>
    <s v="Neha Chopra"/>
    <x v="0"/>
    <x v="8"/>
    <x v="4"/>
    <s v="Smartphone X200"/>
    <n v="8"/>
    <n v="20375.43"/>
    <n v="163003.44"/>
    <n v="0"/>
    <x v="0"/>
    <s v="A. Menon"/>
  </r>
  <r>
    <n v="101212"/>
    <d v="2024-05-08T00:00:00"/>
    <x v="8"/>
    <s v="Sneha Chopra"/>
    <x v="3"/>
    <x v="3"/>
    <x v="2"/>
    <s v="Notebook Pack"/>
    <n v="7"/>
    <n v="470.73"/>
    <n v="3295.11"/>
    <n v="0.05"/>
    <x v="3"/>
    <s v="D. Chawla"/>
  </r>
  <r>
    <n v="101758"/>
    <d v="2024-06-12T00:00:00"/>
    <x v="0"/>
    <s v="(Unknown)"/>
    <x v="4"/>
    <x v="4"/>
    <x v="6"/>
    <s v="Running Shoes"/>
    <n v="7"/>
    <n v="3496.56"/>
    <n v="24475.919999999998"/>
    <n v="0.1"/>
    <x v="5"/>
    <s v="A. Menon"/>
  </r>
  <r>
    <n v="100635"/>
    <d v="2024-09-01T00:00:00"/>
    <x v="4"/>
    <s v="Nisha Kumar"/>
    <x v="0"/>
    <x v="8"/>
    <x v="2"/>
    <s v="A4 Paper Ream"/>
    <n v="12"/>
    <n v="191.01"/>
    <n v="2292.12"/>
    <n v="0.1"/>
    <x v="0"/>
    <s v="A. Menon"/>
  </r>
  <r>
    <n v="100553"/>
    <d v="2024-01-14T00:00:00"/>
    <x v="9"/>
    <s v="Diya Das"/>
    <x v="2"/>
    <x v="2"/>
    <x v="1"/>
    <s v="Winter Sweater"/>
    <n v="4"/>
    <n v="1378.18"/>
    <n v="5512.72"/>
    <n v="0.25"/>
    <x v="0"/>
    <s v="R. Kulkarni"/>
  </r>
  <r>
    <n v="101329"/>
    <d v="2024-04-14T00:00:00"/>
    <x v="6"/>
    <s v="Vivaan Nair"/>
    <x v="4"/>
    <x v="4"/>
    <x v="0"/>
    <s v="Bookshelf"/>
    <n v="10"/>
    <n v="23660.07"/>
    <n v="236600.7"/>
    <n v="0.05"/>
    <x v="1"/>
    <s v="D. Chawla"/>
  </r>
  <r>
    <n v="101056"/>
    <d v="2024-01-31T00:00:00"/>
    <x v="9"/>
    <s v="Aarav Kapoor"/>
    <x v="3"/>
    <x v="6"/>
    <x v="5"/>
    <s v="Mixer Grinder"/>
    <n v="6"/>
    <n v="5979.84"/>
    <n v="35879.040000000001"/>
    <n v="0"/>
    <x v="2"/>
    <s v="T. Rana"/>
  </r>
  <r>
    <n v="101577"/>
    <d v="2024-11-04T00:00:00"/>
    <x v="7"/>
    <s v="Pooja Sharma"/>
    <x v="3"/>
    <x v="3"/>
    <x v="4"/>
    <s v="Wireless Earbuds"/>
    <n v="11"/>
    <n v="43099.55"/>
    <n v="474095.05000000005"/>
    <n v="0"/>
    <x v="4"/>
    <s v="S. Bhat"/>
  </r>
  <r>
    <n v="100797"/>
    <d v="2024-01-10T00:00:00"/>
    <x v="9"/>
    <s v="Arjun Agarwal"/>
    <x v="4"/>
    <x v="7"/>
    <x v="3"/>
    <s v="Cooking Oil 1L"/>
    <n v="8"/>
    <n v="97.12"/>
    <n v="776.96"/>
    <n v="0"/>
    <x v="4"/>
    <s v="P. Trivedi"/>
  </r>
  <r>
    <n v="101681"/>
    <d v="2024-06-25T00:00:00"/>
    <x v="0"/>
    <s v="Neha Bansal"/>
    <x v="3"/>
    <x v="6"/>
    <x v="3"/>
    <s v="Sugar 1kg"/>
    <n v="5"/>
    <n v="176.85"/>
    <n v="884.25"/>
    <n v="0.15"/>
    <x v="1"/>
    <s v="P. Trivedi"/>
  </r>
  <r>
    <n v="101731"/>
    <d v="2024-07-20T00:00:00"/>
    <x v="1"/>
    <s v="Amit Chopra"/>
    <x v="0"/>
    <x v="0"/>
    <x v="0"/>
    <s v="Study Desk"/>
    <n v="9"/>
    <n v="20397.93"/>
    <n v="183581.37"/>
    <n v="0.25"/>
    <x v="3"/>
    <s v="T. Rana"/>
  </r>
  <r>
    <n v="100175"/>
    <d v="2024-04-06T00:00:00"/>
    <x v="6"/>
    <s v="Rohan Patel"/>
    <x v="1"/>
    <x v="9"/>
    <x v="1"/>
    <s v="Winter Sweater"/>
    <n v="6"/>
    <n v="1231.76"/>
    <n v="7390.5599999999995"/>
    <n v="0.25"/>
    <x v="3"/>
    <s v="A. Menon"/>
  </r>
  <r>
    <n v="100767"/>
    <d v="2024-05-22T00:00:00"/>
    <x v="8"/>
    <s v="Aditya Malhotra"/>
    <x v="0"/>
    <x v="0"/>
    <x v="4"/>
    <s v="LED TV 42in"/>
    <n v="2"/>
    <n v="37766.400000000001"/>
    <n v="75532.800000000003"/>
    <n v="0.15"/>
    <x v="5"/>
    <s v="S. Bhat"/>
  </r>
  <r>
    <n v="100246"/>
    <d v="2024-06-20T00:00:00"/>
    <x v="0"/>
    <s v="Sai Rao"/>
    <x v="1"/>
    <x v="9"/>
    <x v="3"/>
    <s v="Cooking Oil 1L"/>
    <n v="1"/>
    <n v="214.27"/>
    <n v="214.27"/>
    <n v="0.05"/>
    <x v="5"/>
    <s v="D. Chawla"/>
  </r>
  <r>
    <n v="101081"/>
    <d v="2024-12-24T00:00:00"/>
    <x v="2"/>
    <s v="Rohan Sharma"/>
    <x v="4"/>
    <x v="7"/>
    <x v="2"/>
    <s v="Geometry Box"/>
    <n v="1"/>
    <n v="507.33"/>
    <n v="507.33"/>
    <n v="0"/>
    <x v="4"/>
    <s v="M. Ghosh"/>
  </r>
  <r>
    <n v="101757"/>
    <d v="2024-07-10T00:00:00"/>
    <x v="1"/>
    <s v="Riya Agarwal"/>
    <x v="1"/>
    <x v="1"/>
    <x v="0"/>
    <s v="Bookshelf"/>
    <n v="2"/>
    <n v="13666.69"/>
    <n v="27333.38"/>
    <n v="0.1"/>
    <x v="4"/>
    <s v="K. Iyer"/>
  </r>
  <r>
    <n v="100146"/>
    <d v="2024-03-06T00:00:00"/>
    <x v="3"/>
    <s v="Amit Chopra"/>
    <x v="0"/>
    <x v="0"/>
    <x v="3"/>
    <s v="Sugar 1kg"/>
    <n v="7"/>
    <n v="457.18"/>
    <n v="3200.26"/>
    <n v="0.05"/>
    <x v="5"/>
    <s v="K. Iyer"/>
  </r>
  <r>
    <n v="100091"/>
    <d v="2024-09-01T00:00:00"/>
    <x v="4"/>
    <s v="Ishaan Verma"/>
    <x v="1"/>
    <x v="9"/>
    <x v="2"/>
    <s v="A4 Paper Ream"/>
    <n v="12"/>
    <n v="210.71"/>
    <n v="2528.52"/>
    <n v="0.2"/>
    <x v="5"/>
    <s v="D. Chawla"/>
  </r>
  <r>
    <n v="101417"/>
    <d v="2024-06-29T00:00:00"/>
    <x v="0"/>
    <s v="Pooja Nair"/>
    <x v="1"/>
    <x v="1"/>
    <x v="6"/>
    <s v="Sandals"/>
    <n v="12"/>
    <n v="4319.22"/>
    <n v="51830.64"/>
    <n v="0.2"/>
    <x v="1"/>
    <s v="S. Bhat"/>
  </r>
  <r>
    <n v="100683"/>
    <d v="2024-06-12T00:00:00"/>
    <x v="0"/>
    <s v="Kiara Joshi"/>
    <x v="1"/>
    <x v="9"/>
    <x v="3"/>
    <s v="Tea Pack 500g"/>
    <n v="12"/>
    <n v="559.85"/>
    <n v="6718.2000000000007"/>
    <n v="0"/>
    <x v="5"/>
    <s v="M. Ghosh"/>
  </r>
  <r>
    <n v="100311"/>
    <d v="2024-07-01T00:00:00"/>
    <x v="1"/>
    <s v="Vikram Bose"/>
    <x v="0"/>
    <x v="8"/>
    <x v="1"/>
    <s v="Men's Denim Jacket"/>
    <n v="11"/>
    <n v="1592.82"/>
    <n v="17521.02"/>
    <n v="0.2"/>
    <x v="3"/>
    <s v="D. Chawla"/>
  </r>
  <r>
    <n v="101384"/>
    <d v="2024-05-23T00:00:00"/>
    <x v="8"/>
    <s v="Aarav Patel"/>
    <x v="1"/>
    <x v="9"/>
    <x v="6"/>
    <s v="Running Shoes"/>
    <n v="2"/>
    <n v="4226.3100000000004"/>
    <n v="8452.6200000000008"/>
    <n v="0"/>
    <x v="5"/>
    <s v="S. Bhat"/>
  </r>
  <r>
    <n v="100094"/>
    <d v="2024-07-22T00:00:00"/>
    <x v="1"/>
    <s v="Kiara Pillai"/>
    <x v="2"/>
    <x v="2"/>
    <x v="5"/>
    <s v="Microwave Oven"/>
    <m/>
    <n v="2968.06"/>
    <n v="0"/>
    <n v="0"/>
    <x v="0"/>
    <s v="D. Chawla"/>
  </r>
  <r>
    <n v="101730"/>
    <d v="2024-01-09T00:00:00"/>
    <x v="9"/>
    <s v="Vikram Sharma"/>
    <x v="0"/>
    <x v="0"/>
    <x v="5"/>
    <s v="Ceiling Fan"/>
    <n v="3"/>
    <n v="8767.16"/>
    <n v="26301.48"/>
    <n v="0.05"/>
    <x v="3"/>
    <s v="P. Trivedi"/>
  </r>
  <r>
    <n v="100925"/>
    <d v="2024-06-26T00:00:00"/>
    <x v="0"/>
    <s v="Karan Malhotra"/>
    <x v="3"/>
    <x v="6"/>
    <x v="5"/>
    <s v="Ceiling Fan"/>
    <m/>
    <n v="6474.46"/>
    <n v="0"/>
    <n v="0.25"/>
    <x v="3"/>
    <s v="K. Iyer"/>
  </r>
  <r>
    <n v="101706"/>
    <d v="2024-10-04T00:00:00"/>
    <x v="10"/>
    <s v="Aditya Iyer"/>
    <x v="1"/>
    <x v="9"/>
    <x v="0"/>
    <s v="Study Desk"/>
    <m/>
    <n v="21389.17"/>
    <n v="0"/>
    <n v="0"/>
    <x v="4"/>
    <s v="K. Iyer"/>
  </r>
  <r>
    <n v="101036"/>
    <d v="2024-11-23T00:00:00"/>
    <x v="7"/>
    <s v="(Unknown)"/>
    <x v="2"/>
    <x v="5"/>
    <x v="4"/>
    <s v="Laptop Air 14"/>
    <n v="6"/>
    <n v="18834.830000000002"/>
    <n v="113008.98000000001"/>
    <n v="0.15"/>
    <x v="3"/>
    <s v="R. Kulkarni"/>
  </r>
  <r>
    <n v="101401"/>
    <d v="2024-06-29T00:00:00"/>
    <x v="0"/>
    <s v="Navya Chopra"/>
    <x v="0"/>
    <x v="8"/>
    <x v="5"/>
    <s v="Mixer Grinder"/>
    <n v="9"/>
    <n v="1336.4"/>
    <n v="12027.6"/>
    <n v="0.25"/>
    <x v="0"/>
    <s v="R. Kulkarni"/>
  </r>
  <r>
    <n v="100244"/>
    <d v="2024-02-21T00:00:00"/>
    <x v="11"/>
    <s v="Aadhya Mehta"/>
    <x v="1"/>
    <x v="1"/>
    <x v="3"/>
    <s v="Sugar 1kg"/>
    <n v="12"/>
    <n v="829.55"/>
    <n v="9954.5999999999985"/>
    <n v="0"/>
    <x v="2"/>
    <s v="M. Ghosh"/>
  </r>
  <r>
    <n v="101501"/>
    <d v="2024-01-12T00:00:00"/>
    <x v="9"/>
    <s v="Ishaan Kumar"/>
    <x v="2"/>
    <x v="5"/>
    <x v="4"/>
    <s v="Smartwatch S3"/>
    <m/>
    <n v="30972.63"/>
    <n v="0"/>
    <n v="0.2"/>
    <x v="2"/>
    <s v="P. Trivedi"/>
  </r>
  <r>
    <n v="101112"/>
    <d v="2024-04-08T00:00:00"/>
    <x v="6"/>
    <s v="Kiara Agarwal"/>
    <x v="2"/>
    <x v="2"/>
    <x v="0"/>
    <s v="Sofa 3-Seater"/>
    <n v="7"/>
    <n v="0"/>
    <n v="0"/>
    <n v="0.25"/>
    <x v="2"/>
    <s v="D. Chawla"/>
  </r>
  <r>
    <n v="100215"/>
    <d v="2024-04-03T00:00:00"/>
    <x v="6"/>
    <s v="Priya Patel"/>
    <x v="2"/>
    <x v="2"/>
    <x v="3"/>
    <s v="Cooking Oil 1L"/>
    <n v="12"/>
    <n v="896.23"/>
    <n v="10754.76"/>
    <n v="0.1"/>
    <x v="1"/>
    <s v="S. Bhat"/>
  </r>
  <r>
    <n v="101198"/>
    <d v="2024-04-06T00:00:00"/>
    <x v="6"/>
    <s v="Ira Chopra"/>
    <x v="2"/>
    <x v="5"/>
    <x v="1"/>
    <s v="Formal Shirt"/>
    <n v="10"/>
    <n v="0"/>
    <n v="0"/>
    <n v="0.05"/>
    <x v="5"/>
    <s v="A. Menon"/>
  </r>
  <r>
    <n v="100999"/>
    <d v="2024-03-04T00:00:00"/>
    <x v="3"/>
    <s v="Rahul Singh"/>
    <x v="3"/>
    <x v="6"/>
    <x v="2"/>
    <s v="Gel Pen Set"/>
    <n v="7"/>
    <n v="442.69"/>
    <n v="3098.83"/>
    <n v="0.2"/>
    <x v="0"/>
    <s v="K. Iyer"/>
  </r>
  <r>
    <n v="100854"/>
    <d v="2024-03-26T00:00:00"/>
    <x v="3"/>
    <s v="Aarav Bose"/>
    <x v="4"/>
    <x v="7"/>
    <x v="3"/>
    <s v="Sugar 1kg"/>
    <n v="4"/>
    <n v="205.35"/>
    <n v="821.4"/>
    <n v="0"/>
    <x v="4"/>
    <s v="R. Kulkarni"/>
  </r>
  <r>
    <n v="100426"/>
    <d v="2024-09-19T00:00:00"/>
    <x v="4"/>
    <s v="Priya Nair"/>
    <x v="2"/>
    <x v="5"/>
    <x v="5"/>
    <s v="Microwave Oven"/>
    <n v="12"/>
    <n v="7474.64"/>
    <n v="89695.680000000008"/>
    <n v="0.2"/>
    <x v="1"/>
    <s v="A. Menon"/>
  </r>
  <r>
    <n v="101783"/>
    <d v="2024-07-20T00:00:00"/>
    <x v="1"/>
    <s v="Ishaan Sharma"/>
    <x v="3"/>
    <x v="3"/>
    <x v="2"/>
    <s v="Gel Pen Set"/>
    <n v="2"/>
    <n v="234.32"/>
    <n v="468.64"/>
    <n v="0"/>
    <x v="4"/>
    <s v="M. Ghosh"/>
  </r>
  <r>
    <n v="101143"/>
    <d v="2024-11-07T00:00:00"/>
    <x v="7"/>
    <s v="Neha Pillai"/>
    <x v="1"/>
    <x v="1"/>
    <x v="1"/>
    <s v="Women's Kurti"/>
    <n v="9"/>
    <n v="3314.58"/>
    <n v="29831.22"/>
    <n v="0"/>
    <x v="4"/>
    <s v="P. Trivedi"/>
  </r>
  <r>
    <n v="101144"/>
    <d v="2024-02-24T00:00:00"/>
    <x v="11"/>
    <s v="Amit Reddy"/>
    <x v="0"/>
    <x v="0"/>
    <x v="4"/>
    <s v="Bluetooth Speaker"/>
    <n v="9"/>
    <n v="30810.77"/>
    <n v="277296.93"/>
    <n v="0"/>
    <x v="1"/>
    <s v="A. Menon"/>
  </r>
  <r>
    <n v="100227"/>
    <d v="2024-08-02T00:00:00"/>
    <x v="5"/>
    <s v="Priya Malhotra"/>
    <x v="2"/>
    <x v="5"/>
    <x v="5"/>
    <s v="Mixer Grinder"/>
    <n v="2"/>
    <n v="4846.25"/>
    <n v="9692.5"/>
    <n v="0.15"/>
    <x v="3"/>
    <s v="D. Chawla"/>
  </r>
  <r>
    <n v="101646"/>
    <d v="2024-09-12T00:00:00"/>
    <x v="4"/>
    <s v="Ishaan Malhotra"/>
    <x v="0"/>
    <x v="8"/>
    <x v="5"/>
    <s v="Mixer Grinder"/>
    <n v="-2"/>
    <n v="9116.9699999999993"/>
    <n v="-18233.939999999999"/>
    <n v="0.1"/>
    <x v="2"/>
    <s v="D. Chawla"/>
  </r>
  <r>
    <n v="100001"/>
    <d v="2024-09-27T00:00:00"/>
    <x v="4"/>
    <s v="Aarav Pillai"/>
    <x v="4"/>
    <x v="4"/>
    <x v="0"/>
    <s v="Wooden Dining Table"/>
    <n v="2"/>
    <n v="18938.84"/>
    <n v="37877.68"/>
    <n v="0"/>
    <x v="4"/>
    <s v="T. Rana"/>
  </r>
  <r>
    <n v="101419"/>
    <d v="2024-06-13T00:00:00"/>
    <x v="0"/>
    <s v="Riya Agarwal"/>
    <x v="4"/>
    <x v="4"/>
    <x v="6"/>
    <s v="Leather Formal Shoes"/>
    <n v="12"/>
    <n v="2051.62"/>
    <n v="24619.439999999999"/>
    <n v="0"/>
    <x v="4"/>
    <s v="K. Iyer"/>
  </r>
  <r>
    <n v="100402"/>
    <d v="2024-07-15T00:00:00"/>
    <x v="1"/>
    <s v="Nisha Agarwal"/>
    <x v="0"/>
    <x v="0"/>
    <x v="3"/>
    <s v="Tea Pack 500g"/>
    <n v="11"/>
    <n v="874.92"/>
    <n v="9624.119999999999"/>
    <n v="0"/>
    <x v="5"/>
    <s v="K. Iyer"/>
  </r>
  <r>
    <n v="101429"/>
    <d v="2024-08-15T00:00:00"/>
    <x v="5"/>
    <s v="(Unknown)"/>
    <x v="0"/>
    <x v="8"/>
    <x v="6"/>
    <s v="Running Shoes"/>
    <n v="9"/>
    <n v="2100.92"/>
    <n v="18908.28"/>
    <n v="0"/>
    <x v="1"/>
    <s v="T. Rana"/>
  </r>
  <r>
    <n v="101104"/>
    <d v="2024-04-14T00:00:00"/>
    <x v="6"/>
    <s v="(Unknown)"/>
    <x v="3"/>
    <x v="3"/>
    <x v="2"/>
    <s v="A4 Paper Ream"/>
    <n v="10"/>
    <n v="41.33"/>
    <n v="413.29999999999995"/>
    <n v="0"/>
    <x v="2"/>
    <s v="R. Kulkarni"/>
  </r>
  <r>
    <n v="100085"/>
    <d v="2024-06-13T00:00:00"/>
    <x v="0"/>
    <s v="Kiara Nair"/>
    <x v="1"/>
    <x v="9"/>
    <x v="6"/>
    <s v="Sandals"/>
    <n v="8"/>
    <n v="1259.3399999999999"/>
    <n v="10074.719999999999"/>
    <n v="0"/>
    <x v="3"/>
    <s v="M. Ghosh"/>
  </r>
  <r>
    <n v="100163"/>
    <d v="2024-01-06T00:00:00"/>
    <x v="9"/>
    <s v="Priya Iyer"/>
    <x v="1"/>
    <x v="1"/>
    <x v="1"/>
    <s v="Formal Shirt"/>
    <n v="-1"/>
    <n v="1991.17"/>
    <n v="-1991.17"/>
    <n v="0"/>
    <x v="5"/>
    <s v="D. Chawla"/>
  </r>
  <r>
    <n v="100115"/>
    <d v="2024-08-03T00:00:00"/>
    <x v="5"/>
    <s v="Ishaan Sharma"/>
    <x v="3"/>
    <x v="6"/>
    <x v="0"/>
    <s v="Wooden Dining Table"/>
    <n v="2"/>
    <n v="11997.55"/>
    <n v="23995.1"/>
    <n v="0.25"/>
    <x v="4"/>
    <s v="T. Rana"/>
  </r>
  <r>
    <n v="100671"/>
    <d v="2024-03-11T00:00:00"/>
    <x v="3"/>
    <s v="(Unknown)"/>
    <x v="2"/>
    <x v="2"/>
    <x v="1"/>
    <s v="Women's Kurti"/>
    <n v="3"/>
    <n v="2256.2600000000002"/>
    <n v="6768.7800000000007"/>
    <n v="0.05"/>
    <x v="3"/>
    <s v="M. Ghosh"/>
  </r>
  <r>
    <n v="101175"/>
    <d v="2024-01-19T00:00:00"/>
    <x v="9"/>
    <s v="Aadhya Kapoor"/>
    <x v="2"/>
    <x v="2"/>
    <x v="3"/>
    <s v="Basmati Rice 5kg"/>
    <n v="11"/>
    <n v="572.70000000000005"/>
    <n v="6299.7000000000007"/>
    <n v="0"/>
    <x v="2"/>
    <s v="D. Chawla"/>
  </r>
  <r>
    <n v="101545"/>
    <d v="2024-09-02T00:00:00"/>
    <x v="4"/>
    <s v="Aditya Kapoor"/>
    <x v="1"/>
    <x v="1"/>
    <x v="4"/>
    <s v="Laptop Air 14"/>
    <m/>
    <n v="34097.22"/>
    <n v="0"/>
    <n v="0.05"/>
    <x v="5"/>
    <s v="K. Iyer"/>
  </r>
  <r>
    <n v="101534"/>
    <d v="2024-10-06T00:00:00"/>
    <x v="10"/>
    <s v="Ananya Singh"/>
    <x v="2"/>
    <x v="5"/>
    <x v="6"/>
    <s v="Leather Formal Shoes"/>
    <n v="11"/>
    <n v="1281.69"/>
    <n v="14098.59"/>
    <n v="0"/>
    <x v="4"/>
    <s v="A. Menon"/>
  </r>
  <r>
    <n v="101393"/>
    <d v="2024-06-20T00:00:00"/>
    <x v="0"/>
    <s v="Rohan Nair"/>
    <x v="4"/>
    <x v="7"/>
    <x v="0"/>
    <s v="Study Desk"/>
    <n v="4"/>
    <n v="0"/>
    <n v="0"/>
    <n v="0.2"/>
    <x v="1"/>
    <s v="M. Ghosh"/>
  </r>
  <r>
    <n v="100890"/>
    <d v="2024-03-24T00:00:00"/>
    <x v="3"/>
    <s v="Kiara Kumar"/>
    <x v="4"/>
    <x v="4"/>
    <x v="0"/>
    <s v="Wooden Dining Table"/>
    <n v="12"/>
    <n v="22002.95"/>
    <n v="264035.40000000002"/>
    <n v="0"/>
    <x v="5"/>
    <s v="T. Rana"/>
  </r>
  <r>
    <n v="101502"/>
    <d v="2024-12-20T00:00:00"/>
    <x v="2"/>
    <s v="Neha Kumar"/>
    <x v="2"/>
    <x v="5"/>
    <x v="1"/>
    <s v="Kids T-Shirt"/>
    <n v="4"/>
    <n v="1039.4000000000001"/>
    <n v="4157.6000000000004"/>
    <n v="0.2"/>
    <x v="2"/>
    <s v="R. Kulkarni"/>
  </r>
  <r>
    <n v="100626"/>
    <d v="2024-07-21T00:00:00"/>
    <x v="1"/>
    <s v="Myra Bansal"/>
    <x v="0"/>
    <x v="0"/>
    <x v="1"/>
    <s v="Formal Shirt"/>
    <n v="7"/>
    <n v="2766.92"/>
    <n v="19368.440000000002"/>
    <n v="0"/>
    <x v="5"/>
    <s v="R. Kulkarni"/>
  </r>
  <r>
    <n v="101982"/>
    <d v="2024-02-13T00:00:00"/>
    <x v="11"/>
    <s v="Amit Kumar"/>
    <x v="4"/>
    <x v="4"/>
    <x v="3"/>
    <s v="Basmati Rice 5kg"/>
    <n v="9"/>
    <n v="563.5"/>
    <n v="5071.5"/>
    <n v="0"/>
    <x v="0"/>
    <s v="K. Iyer"/>
  </r>
  <r>
    <n v="100953"/>
    <d v="2024-12-10T00:00:00"/>
    <x v="2"/>
    <s v="Sneha Gupta"/>
    <x v="3"/>
    <x v="6"/>
    <x v="0"/>
    <s v="Bookshelf"/>
    <n v="4"/>
    <n v="0"/>
    <n v="0"/>
    <n v="0.05"/>
    <x v="2"/>
    <s v="A. Menon"/>
  </r>
  <r>
    <n v="100808"/>
    <d v="2024-10-22T00:00:00"/>
    <x v="10"/>
    <s v="(Unknown)"/>
    <x v="3"/>
    <x v="6"/>
    <x v="6"/>
    <s v="Sandals"/>
    <n v="6"/>
    <n v="2271.25"/>
    <n v="13627.5"/>
    <n v="0.05"/>
    <x v="3"/>
    <s v="S. Bhat"/>
  </r>
  <r>
    <n v="100259"/>
    <d v="2024-05-30T00:00:00"/>
    <x v="8"/>
    <s v="Saanvi Das"/>
    <x v="0"/>
    <x v="8"/>
    <x v="1"/>
    <s v="Winter Sweater"/>
    <n v="2"/>
    <n v="1362.11"/>
    <n v="2724.22"/>
    <n v="0"/>
    <x v="3"/>
    <s v="S. Bhat"/>
  </r>
  <r>
    <n v="100625"/>
    <d v="2024-08-11T00:00:00"/>
    <x v="5"/>
    <s v="Vihaan Das"/>
    <x v="0"/>
    <x v="0"/>
    <x v="4"/>
    <s v="Smartphone X200"/>
    <n v="8"/>
    <n v="12210.66"/>
    <n v="97685.28"/>
    <n v="0.15"/>
    <x v="4"/>
    <s v="T. Rana"/>
  </r>
  <r>
    <n v="100827"/>
    <d v="2024-06-25T00:00:00"/>
    <x v="0"/>
    <s v="Ira Pillai"/>
    <x v="0"/>
    <x v="8"/>
    <x v="1"/>
    <s v="Formal Shirt"/>
    <n v="4"/>
    <n v="1239.7"/>
    <n v="4958.8"/>
    <n v="0.2"/>
    <x v="2"/>
    <s v="T. Rana"/>
  </r>
  <r>
    <n v="100235"/>
    <d v="2024-03-03T00:00:00"/>
    <x v="3"/>
    <s v="Vikram Kapoor"/>
    <x v="4"/>
    <x v="4"/>
    <x v="0"/>
    <s v="Study Desk"/>
    <n v="1"/>
    <n v="20848.849999999999"/>
    <n v="20848.849999999999"/>
    <n v="0"/>
    <x v="0"/>
    <s v="R. Kulkarni"/>
  </r>
  <r>
    <n v="100136"/>
    <d v="2024-10-26T00:00:00"/>
    <x v="10"/>
    <s v="Diya Das"/>
    <x v="1"/>
    <x v="9"/>
    <x v="4"/>
    <s v="Wireless Earbuds"/>
    <m/>
    <n v="27984.21"/>
    <n v="0"/>
    <n v="0"/>
    <x v="5"/>
    <s v="A. Menon"/>
  </r>
  <r>
    <n v="100617"/>
    <d v="2024-11-13T00:00:00"/>
    <x v="7"/>
    <s v="Ananya Nair"/>
    <x v="2"/>
    <x v="5"/>
    <x v="2"/>
    <s v="Geometry Box"/>
    <n v="5"/>
    <n v="432.85"/>
    <n v="2164.25"/>
    <n v="0.05"/>
    <x v="3"/>
    <s v="D. Chawla"/>
  </r>
  <r>
    <n v="101948"/>
    <d v="2024-01-30T00:00:00"/>
    <x v="9"/>
    <s v="Arjun Joshi"/>
    <x v="0"/>
    <x v="0"/>
    <x v="6"/>
    <s v="Sandals"/>
    <m/>
    <n v="3427.19"/>
    <n v="0"/>
    <n v="0"/>
    <x v="0"/>
    <s v="R. Kulkarni"/>
  </r>
  <r>
    <n v="101983"/>
    <d v="2024-09-29T00:00:00"/>
    <x v="4"/>
    <s v="Amit Mehta"/>
    <x v="0"/>
    <x v="8"/>
    <x v="0"/>
    <s v="Sofa 3-Seater"/>
    <n v="9"/>
    <n v="22966.61"/>
    <n v="206699.49"/>
    <n v="0"/>
    <x v="1"/>
    <s v="R. Kulkarni"/>
  </r>
  <r>
    <n v="100837"/>
    <d v="2024-09-15T00:00:00"/>
    <x v="4"/>
    <s v="Kiara Malhotra"/>
    <x v="3"/>
    <x v="3"/>
    <x v="5"/>
    <s v="Mixer Grinder"/>
    <n v="8"/>
    <n v="2453.38"/>
    <n v="19627.04"/>
    <n v="0.25"/>
    <x v="5"/>
    <s v="A. Menon"/>
  </r>
  <r>
    <n v="100843"/>
    <d v="2024-08-30T00:00:00"/>
    <x v="5"/>
    <s v="Sai Kumar"/>
    <x v="1"/>
    <x v="1"/>
    <x v="0"/>
    <s v="Study Desk"/>
    <n v="10"/>
    <n v="13499.29"/>
    <n v="134992.90000000002"/>
    <n v="0"/>
    <x v="3"/>
    <s v="A. Menon"/>
  </r>
  <r>
    <n v="100960"/>
    <d v="2024-07-01T00:00:00"/>
    <x v="1"/>
    <s v="Ira Bose"/>
    <x v="0"/>
    <x v="8"/>
    <x v="4"/>
    <s v="Smartwatch S3"/>
    <n v="9"/>
    <n v="10967.24"/>
    <n v="98705.16"/>
    <n v="0"/>
    <x v="5"/>
    <s v="R. Kulkarni"/>
  </r>
  <r>
    <n v="100593"/>
    <d v="2024-11-22T00:00:00"/>
    <x v="7"/>
    <s v="(Unknown)"/>
    <x v="3"/>
    <x v="6"/>
    <x v="2"/>
    <s v="Geometry Box"/>
    <n v="9"/>
    <n v="71.62"/>
    <n v="644.58000000000004"/>
    <n v="0.2"/>
    <x v="1"/>
    <s v="A. Menon"/>
  </r>
  <r>
    <n v="101315"/>
    <d v="2024-03-09T00:00:00"/>
    <x v="3"/>
    <s v="Navya Kumar"/>
    <x v="2"/>
    <x v="5"/>
    <x v="6"/>
    <s v="Leather Formal Shoes"/>
    <n v="1"/>
    <n v="3314.37"/>
    <n v="3314.37"/>
    <n v="0.05"/>
    <x v="0"/>
    <s v="K. Iyer"/>
  </r>
  <r>
    <n v="101526"/>
    <d v="2024-03-19T00:00:00"/>
    <x v="3"/>
    <s v="Vivaan Singh"/>
    <x v="3"/>
    <x v="6"/>
    <x v="5"/>
    <s v="Microwave Oven"/>
    <n v="11"/>
    <n v="2888.47"/>
    <n v="31773.17"/>
    <n v="0.2"/>
    <x v="5"/>
    <s v="D. Chawla"/>
  </r>
  <r>
    <n v="101292"/>
    <d v="2024-04-05T00:00:00"/>
    <x v="6"/>
    <s v="Sneha Das"/>
    <x v="4"/>
    <x v="4"/>
    <x v="5"/>
    <s v="Microwave Oven"/>
    <n v="10"/>
    <n v="10918.31"/>
    <n v="109183.09999999999"/>
    <n v="0"/>
    <x v="5"/>
    <s v="P. Trivedi"/>
  </r>
  <r>
    <n v="100344"/>
    <d v="2024-08-29T00:00:00"/>
    <x v="5"/>
    <s v="Reyansh Mehta"/>
    <x v="4"/>
    <x v="4"/>
    <x v="0"/>
    <s v="Sofa 3-Seater"/>
    <n v="12"/>
    <n v="2501.79"/>
    <n v="30021.48"/>
    <n v="0"/>
    <x v="3"/>
    <s v="K. Iyer"/>
  </r>
  <r>
    <n v="101669"/>
    <d v="2024-04-16T00:00:00"/>
    <x v="6"/>
    <s v="Reyansh Patel"/>
    <x v="0"/>
    <x v="8"/>
    <x v="0"/>
    <s v="Wooden Dining Table"/>
    <n v="10"/>
    <n v="3733.88"/>
    <n v="37338.800000000003"/>
    <n v="0.15"/>
    <x v="4"/>
    <s v="R. Kulkarni"/>
  </r>
  <r>
    <n v="101594"/>
    <d v="2024-02-08T00:00:00"/>
    <x v="11"/>
    <s v="Kiara Joshi"/>
    <x v="0"/>
    <x v="0"/>
    <x v="5"/>
    <s v="Ceiling Fan"/>
    <n v="8"/>
    <n v="5935.95"/>
    <n v="47487.6"/>
    <n v="0.05"/>
    <x v="5"/>
    <s v="T. Rana"/>
  </r>
  <r>
    <n v="100294"/>
    <d v="2024-08-08T00:00:00"/>
    <x v="5"/>
    <s v="Vikram Mehta"/>
    <x v="1"/>
    <x v="9"/>
    <x v="1"/>
    <s v="Formal Shirt"/>
    <n v="6"/>
    <n v="1259.1500000000001"/>
    <n v="7554.9000000000005"/>
    <n v="0"/>
    <x v="2"/>
    <s v="S. Bhat"/>
  </r>
  <r>
    <n v="100365"/>
    <d v="2024-06-07T00:00:00"/>
    <x v="0"/>
    <s v="Vikram Joshi"/>
    <x v="0"/>
    <x v="8"/>
    <x v="0"/>
    <s v="Study Desk"/>
    <n v="2"/>
    <n v="14950.88"/>
    <n v="29901.759999999998"/>
    <n v="0.1"/>
    <x v="2"/>
    <s v="D. Chawla"/>
  </r>
  <r>
    <n v="100179"/>
    <d v="2024-11-30T00:00:00"/>
    <x v="7"/>
    <s v="Priya Rao"/>
    <x v="4"/>
    <x v="4"/>
    <x v="6"/>
    <s v="Leather Formal Shoes"/>
    <n v="1"/>
    <n v="3118.38"/>
    <n v="3118.38"/>
    <n v="0.15"/>
    <x v="0"/>
    <s v="R. Kulkarni"/>
  </r>
  <r>
    <n v="100660"/>
    <d v="2024-12-04T00:00:00"/>
    <x v="2"/>
    <s v="Aditya Kapoor"/>
    <x v="3"/>
    <x v="3"/>
    <x v="6"/>
    <s v="Leather Formal Shoes"/>
    <n v="2"/>
    <n v="2486.71"/>
    <n v="4973.42"/>
    <n v="0.05"/>
    <x v="1"/>
    <s v="R. Kulkarni"/>
  </r>
  <r>
    <n v="100997"/>
    <d v="2024-07-20T00:00:00"/>
    <x v="1"/>
    <s v="Rahul Iyer"/>
    <x v="1"/>
    <x v="9"/>
    <x v="5"/>
    <s v="Ceiling Fan"/>
    <n v="7"/>
    <n v="1495.49"/>
    <n v="10468.43"/>
    <n v="0"/>
    <x v="0"/>
    <s v="K. Iyer"/>
  </r>
  <r>
    <n v="100015"/>
    <d v="2024-10-19T00:00:00"/>
    <x v="10"/>
    <s v="Vihaan Singh"/>
    <x v="3"/>
    <x v="6"/>
    <x v="5"/>
    <s v="Air Cooler"/>
    <n v="11"/>
    <n v="11820.77"/>
    <n v="130028.47"/>
    <n v="0"/>
    <x v="5"/>
    <s v="P. Trivedi"/>
  </r>
  <r>
    <n v="101111"/>
    <d v="2024-04-14T00:00:00"/>
    <x v="6"/>
    <s v="Arjun Rao"/>
    <x v="0"/>
    <x v="0"/>
    <x v="5"/>
    <s v="Microwave Oven"/>
    <n v="7"/>
    <n v="10038.950000000001"/>
    <n v="70272.650000000009"/>
    <n v="0"/>
    <x v="1"/>
    <s v="S. Bhat"/>
  </r>
  <r>
    <n v="101395"/>
    <d v="2024-10-03T00:00:00"/>
    <x v="10"/>
    <s v="Sai Bansal"/>
    <x v="1"/>
    <x v="1"/>
    <x v="5"/>
    <s v="Microwave Oven"/>
    <n v="10"/>
    <n v="9835.98"/>
    <n v="98359.799999999988"/>
    <n v="0.15"/>
    <x v="5"/>
    <s v="M. Ghosh"/>
  </r>
  <r>
    <n v="100166"/>
    <d v="2024-08-10T00:00:00"/>
    <x v="5"/>
    <s v="Neha Iyer"/>
    <x v="0"/>
    <x v="0"/>
    <x v="2"/>
    <s v="A4 Paper Ream"/>
    <n v="3"/>
    <n v="546.72"/>
    <n v="1640.16"/>
    <n v="0"/>
    <x v="0"/>
    <s v="K. Iyer"/>
  </r>
  <r>
    <n v="101901"/>
    <d v="2024-09-20T00:00:00"/>
    <x v="4"/>
    <s v="Karan Pillai"/>
    <x v="1"/>
    <x v="1"/>
    <x v="4"/>
    <s v="LED TV 42in"/>
    <n v="2"/>
    <n v="40734.449999999997"/>
    <n v="81468.899999999994"/>
    <n v="0"/>
    <x v="2"/>
    <s v="K. Iyer"/>
  </r>
  <r>
    <n v="101360"/>
    <d v="2024-04-05T00:00:00"/>
    <x v="6"/>
    <s v="Karan Chopra"/>
    <x v="2"/>
    <x v="5"/>
    <x v="3"/>
    <s v="Cooking Oil 1L"/>
    <m/>
    <n v="864.97"/>
    <n v="0"/>
    <n v="0.2"/>
    <x v="0"/>
    <s v="K. Iyer"/>
  </r>
  <r>
    <n v="100060"/>
    <d v="2024-02-14T00:00:00"/>
    <x v="11"/>
    <s v="Arjun Malhotra"/>
    <x v="0"/>
    <x v="8"/>
    <x v="0"/>
    <s v="Study Desk"/>
    <n v="3"/>
    <n v="3259.99"/>
    <n v="9779.9699999999993"/>
    <n v="0"/>
    <x v="4"/>
    <s v="K. Iyer"/>
  </r>
  <r>
    <n v="100710"/>
    <d v="2024-10-02T00:00:00"/>
    <x v="10"/>
    <s v="Reyansh Nair"/>
    <x v="2"/>
    <x v="5"/>
    <x v="4"/>
    <s v="Smartphone X200"/>
    <n v="6"/>
    <n v="30427.87"/>
    <n v="182567.22"/>
    <n v="0.2"/>
    <x v="3"/>
    <s v="S. Bhat"/>
  </r>
  <r>
    <n v="100677"/>
    <d v="2024-12-21T00:00:00"/>
    <x v="2"/>
    <s v="(Unknown)"/>
    <x v="3"/>
    <x v="3"/>
    <x v="1"/>
    <s v="Kids T-Shirt"/>
    <n v="2"/>
    <n v="1722.87"/>
    <n v="3445.74"/>
    <n v="0"/>
    <x v="5"/>
    <s v="D. Chawla"/>
  </r>
  <r>
    <n v="101379"/>
    <d v="2024-09-02T00:00:00"/>
    <x v="4"/>
    <s v="Ira Iyer"/>
    <x v="0"/>
    <x v="8"/>
    <x v="4"/>
    <s v="LED TV 42in"/>
    <n v="7"/>
    <n v="12926.41"/>
    <n v="90484.87"/>
    <n v="0"/>
    <x v="5"/>
    <s v="R. Kulkarni"/>
  </r>
  <r>
    <n v="100781"/>
    <d v="2024-05-28T00:00:00"/>
    <x v="8"/>
    <s v="Riya Malhotra"/>
    <x v="0"/>
    <x v="8"/>
    <x v="2"/>
    <s v="Gel Pen Set"/>
    <n v="6"/>
    <n v="189.37"/>
    <n v="1136.22"/>
    <n v="0"/>
    <x v="4"/>
    <s v="M. Ghosh"/>
  </r>
  <r>
    <n v="100425"/>
    <d v="2024-07-07T00:00:00"/>
    <x v="1"/>
    <s v="Navya Iyer"/>
    <x v="1"/>
    <x v="1"/>
    <x v="4"/>
    <s v="Bluetooth Speaker"/>
    <n v="3"/>
    <n v="17970.509999999998"/>
    <n v="53911.53"/>
    <n v="0.25"/>
    <x v="0"/>
    <s v="K. Iyer"/>
  </r>
  <r>
    <n v="100293"/>
    <d v="2024-04-18T00:00:00"/>
    <x v="6"/>
    <s v="Ananya Nair"/>
    <x v="4"/>
    <x v="4"/>
    <x v="2"/>
    <s v="Geometry Box"/>
    <n v="10"/>
    <n v="536.15"/>
    <n v="5361.5"/>
    <n v="0"/>
    <x v="2"/>
    <s v="P. Trivedi"/>
  </r>
  <r>
    <n v="101066"/>
    <d v="2024-01-08T00:00:00"/>
    <x v="9"/>
    <s v="Rohan Joshi"/>
    <x v="1"/>
    <x v="1"/>
    <x v="4"/>
    <s v="Wireless Earbuds"/>
    <n v="11"/>
    <n v="36801.440000000002"/>
    <n v="404815.84"/>
    <n v="0"/>
    <x v="0"/>
    <s v="A. Menon"/>
  </r>
  <r>
    <n v="100330"/>
    <d v="2024-12-31T00:00:00"/>
    <x v="2"/>
    <s v="Rahul Bose"/>
    <x v="1"/>
    <x v="1"/>
    <x v="4"/>
    <s v="Wireless Earbuds"/>
    <n v="6"/>
    <n v="20157.3"/>
    <n v="120943.79999999999"/>
    <n v="0"/>
    <x v="0"/>
    <s v="M. Ghosh"/>
  </r>
  <r>
    <n v="100430"/>
    <d v="2024-04-27T00:00:00"/>
    <x v="6"/>
    <s v="Nisha Rao"/>
    <x v="0"/>
    <x v="0"/>
    <x v="1"/>
    <s v="Kids T-Shirt"/>
    <n v="11"/>
    <n v="1220.73"/>
    <n v="13428.03"/>
    <n v="0.1"/>
    <x v="3"/>
    <s v="K. Iyer"/>
  </r>
  <r>
    <n v="101013"/>
    <d v="2024-08-07T00:00:00"/>
    <x v="5"/>
    <s v="Anika Mehta"/>
    <x v="0"/>
    <x v="0"/>
    <x v="2"/>
    <s v="A4 Paper Ream"/>
    <n v="7"/>
    <n v="58.39"/>
    <n v="408.73"/>
    <n v="0"/>
    <x v="1"/>
    <s v="M. Ghosh"/>
  </r>
  <r>
    <n v="100080"/>
    <d v="2024-09-18T00:00:00"/>
    <x v="4"/>
    <s v="Ishaan Malhotra"/>
    <x v="3"/>
    <x v="3"/>
    <x v="0"/>
    <s v="Wooden Dining Table"/>
    <n v="9"/>
    <n v="20178.580000000002"/>
    <n v="181607.22000000003"/>
    <n v="0"/>
    <x v="4"/>
    <s v="T. Rana"/>
  </r>
  <r>
    <n v="101053"/>
    <d v="2024-07-24T00:00:00"/>
    <x v="1"/>
    <s v="Aadhya Bose"/>
    <x v="3"/>
    <x v="3"/>
    <x v="1"/>
    <s v="Winter Sweater"/>
    <n v="4"/>
    <n v="3228.63"/>
    <n v="12914.52"/>
    <n v="0"/>
    <x v="1"/>
    <s v="T. Rana"/>
  </r>
  <r>
    <n v="100938"/>
    <d v="2024-06-05T00:00:00"/>
    <x v="0"/>
    <s v="Diya Agarwal"/>
    <x v="0"/>
    <x v="8"/>
    <x v="2"/>
    <s v="Geometry Box"/>
    <n v="3"/>
    <n v="171"/>
    <n v="513"/>
    <n v="0.2"/>
    <x v="2"/>
    <s v="P. Trivedi"/>
  </r>
  <r>
    <n v="100835"/>
    <d v="2024-05-22T00:00:00"/>
    <x v="8"/>
    <s v="Ayaan Kapoor"/>
    <x v="2"/>
    <x v="5"/>
    <x v="5"/>
    <s v="Electric Kettle"/>
    <n v="2"/>
    <n v="7988.39"/>
    <n v="15976.78"/>
    <n v="0.1"/>
    <x v="1"/>
    <s v="R. Kulkarni"/>
  </r>
  <r>
    <n v="100750"/>
    <d v="2024-07-12T00:00:00"/>
    <x v="1"/>
    <s v="Riya Das"/>
    <x v="4"/>
    <x v="4"/>
    <x v="5"/>
    <s v="Ceiling Fan"/>
    <n v="-1"/>
    <n v="4673.2299999999996"/>
    <n v="-4673.2299999999996"/>
    <n v="0.1"/>
    <x v="0"/>
    <s v="S. Bhat"/>
  </r>
  <r>
    <n v="100891"/>
    <d v="2024-09-03T00:00:00"/>
    <x v="4"/>
    <s v="Rohan Das"/>
    <x v="1"/>
    <x v="9"/>
    <x v="4"/>
    <s v="Smartphone X200"/>
    <n v="11"/>
    <n v="0"/>
    <n v="0"/>
    <n v="0"/>
    <x v="3"/>
    <s v="A. Menon"/>
  </r>
  <r>
    <n v="100255"/>
    <d v="2024-10-08T00:00:00"/>
    <x v="10"/>
    <s v="Rohan Reddy"/>
    <x v="3"/>
    <x v="3"/>
    <x v="4"/>
    <s v="Laptop Air 14"/>
    <n v="10"/>
    <n v="28707.54"/>
    <n v="287075.40000000002"/>
    <n v="0.15"/>
    <x v="3"/>
    <s v="M. Ghosh"/>
  </r>
  <r>
    <n v="101755"/>
    <d v="2024-07-05T00:00:00"/>
    <x v="1"/>
    <s v="Kiara Mehta"/>
    <x v="1"/>
    <x v="1"/>
    <x v="1"/>
    <s v="Winter Sweater"/>
    <n v="1"/>
    <n v="0"/>
    <n v="0"/>
    <n v="0.2"/>
    <x v="3"/>
    <s v="M. Ghosh"/>
  </r>
  <r>
    <n v="101980"/>
    <d v="2024-03-06T00:00:00"/>
    <x v="3"/>
    <s v="Vihaan Rao"/>
    <x v="3"/>
    <x v="6"/>
    <x v="1"/>
    <s v="Formal Shirt"/>
    <n v="11"/>
    <n v="877.9"/>
    <n v="9656.9"/>
    <n v="0"/>
    <x v="3"/>
    <s v="D. Chawla"/>
  </r>
  <r>
    <n v="101408"/>
    <d v="2024-09-14T00:00:00"/>
    <x v="4"/>
    <s v="Myra Malhotra"/>
    <x v="1"/>
    <x v="1"/>
    <x v="1"/>
    <s v="Winter Sweater"/>
    <n v="5"/>
    <n v="998.63"/>
    <n v="4993.1499999999996"/>
    <n v="0"/>
    <x v="2"/>
    <s v="P. Trivedi"/>
  </r>
  <r>
    <n v="101338"/>
    <d v="2024-02-13T00:00:00"/>
    <x v="11"/>
    <s v="Arjun Patel"/>
    <x v="1"/>
    <x v="9"/>
    <x v="5"/>
    <s v="Microwave Oven"/>
    <n v="9"/>
    <n v="7084.15"/>
    <n v="63757.35"/>
    <n v="0.2"/>
    <x v="1"/>
    <s v="R. Kulkarni"/>
  </r>
  <r>
    <n v="101109"/>
    <d v="2024-11-28T00:00:00"/>
    <x v="7"/>
    <s v="Neha Chopra"/>
    <x v="1"/>
    <x v="1"/>
    <x v="5"/>
    <s v="Air Cooler"/>
    <n v="5"/>
    <n v="10599.09"/>
    <n v="52995.45"/>
    <n v="0.05"/>
    <x v="4"/>
    <s v="M. Ghosh"/>
  </r>
  <r>
    <n v="100137"/>
    <d v="2024-11-30T00:00:00"/>
    <x v="7"/>
    <s v="Vivaan Bose"/>
    <x v="3"/>
    <x v="6"/>
    <x v="2"/>
    <s v="Notebook Pack"/>
    <n v="5"/>
    <n v="220.96"/>
    <n v="1104.8"/>
    <n v="0"/>
    <x v="0"/>
    <s v="M. Ghosh"/>
  </r>
  <r>
    <n v="101136"/>
    <d v="2024-11-04T00:00:00"/>
    <x v="7"/>
    <s v="Vikram Nair"/>
    <x v="3"/>
    <x v="3"/>
    <x v="1"/>
    <s v="Men's Denim Jacket"/>
    <n v="2"/>
    <n v="1651.52"/>
    <n v="3303.04"/>
    <n v="0"/>
    <x v="0"/>
    <s v="A. Menon"/>
  </r>
  <r>
    <n v="101219"/>
    <d v="2024-09-09T00:00:00"/>
    <x v="4"/>
    <s v="Amit Verma"/>
    <x v="1"/>
    <x v="9"/>
    <x v="5"/>
    <s v="Ceiling Fan"/>
    <n v="10"/>
    <n v="4238.5"/>
    <n v="42385"/>
    <n v="0"/>
    <x v="4"/>
    <s v="A. Menon"/>
  </r>
  <r>
    <n v="100853"/>
    <d v="2024-09-14T00:00:00"/>
    <x v="4"/>
    <s v="Sai Das"/>
    <x v="4"/>
    <x v="7"/>
    <x v="2"/>
    <s v="Notebook Pack"/>
    <n v="6"/>
    <n v="390.31"/>
    <n v="2341.86"/>
    <n v="0.25"/>
    <x v="5"/>
    <s v="M. Ghosh"/>
  </r>
  <r>
    <n v="101203"/>
    <d v="2024-11-14T00:00:00"/>
    <x v="7"/>
    <s v="Ananya Gupta"/>
    <x v="2"/>
    <x v="5"/>
    <x v="4"/>
    <s v="LED TV 42in"/>
    <n v="1"/>
    <n v="31480.47"/>
    <n v="31480.47"/>
    <n v="0"/>
    <x v="5"/>
    <s v="M. Ghosh"/>
  </r>
  <r>
    <n v="101907"/>
    <d v="2024-05-02T00:00:00"/>
    <x v="8"/>
    <s v="Rohan Patel"/>
    <x v="0"/>
    <x v="8"/>
    <x v="1"/>
    <s v="Winter Sweater"/>
    <n v="-1"/>
    <n v="455.46"/>
    <n v="-455.46"/>
    <n v="0.2"/>
    <x v="1"/>
    <s v="M. Ghosh"/>
  </r>
  <r>
    <n v="100724"/>
    <d v="2024-07-23T00:00:00"/>
    <x v="1"/>
    <s v="Sneha Pillai"/>
    <x v="3"/>
    <x v="3"/>
    <x v="0"/>
    <s v="Wooden Dining Table"/>
    <n v="1"/>
    <n v="15391.25"/>
    <n v="15391.25"/>
    <n v="0"/>
    <x v="5"/>
    <s v="S. Bhat"/>
  </r>
  <r>
    <n v="100860"/>
    <d v="2024-01-05T00:00:00"/>
    <x v="9"/>
    <s v="Sai Reddy"/>
    <x v="3"/>
    <x v="3"/>
    <x v="6"/>
    <s v="Sandals"/>
    <n v="5"/>
    <n v="1835.97"/>
    <n v="9179.85"/>
    <n v="0.25"/>
    <x v="3"/>
    <s v="R. Kulkarni"/>
  </r>
  <r>
    <n v="100970"/>
    <d v="2024-02-25T00:00:00"/>
    <x v="11"/>
    <s v="Kiara Sharma"/>
    <x v="1"/>
    <x v="1"/>
    <x v="6"/>
    <s v="Running Shoes"/>
    <n v="11"/>
    <n v="2529.0300000000002"/>
    <n v="27819.33"/>
    <n v="0.05"/>
    <x v="2"/>
    <s v="R. Kulkarni"/>
  </r>
  <r>
    <n v="100497"/>
    <d v="2024-04-07T00:00:00"/>
    <x v="6"/>
    <s v="Riya Das"/>
    <x v="0"/>
    <x v="0"/>
    <x v="1"/>
    <s v="Formal Shirt"/>
    <n v="-2"/>
    <n v="0"/>
    <n v="0"/>
    <n v="0"/>
    <x v="4"/>
    <s v="M. Ghosh"/>
  </r>
  <r>
    <n v="100951"/>
    <d v="2024-01-26T00:00:00"/>
    <x v="9"/>
    <s v="Myra Chopra"/>
    <x v="0"/>
    <x v="0"/>
    <x v="2"/>
    <s v="Geometry Box"/>
    <n v="11"/>
    <n v="127.45"/>
    <n v="1401.95"/>
    <n v="0.15"/>
    <x v="3"/>
    <s v="K. Iyer"/>
  </r>
  <r>
    <n v="100806"/>
    <d v="2024-03-25T00:00:00"/>
    <x v="3"/>
    <s v="(Unknown)"/>
    <x v="4"/>
    <x v="4"/>
    <x v="4"/>
    <s v="LED TV 42in"/>
    <n v="8"/>
    <n v="17239.28"/>
    <n v="137914.23999999999"/>
    <n v="0"/>
    <x v="0"/>
    <s v="M. Ghosh"/>
  </r>
  <r>
    <n v="100130"/>
    <d v="2024-11-07T00:00:00"/>
    <x v="7"/>
    <s v="Vivaan Malhotra"/>
    <x v="2"/>
    <x v="5"/>
    <x v="0"/>
    <s v="Wooden Dining Table"/>
    <n v="5"/>
    <n v="22289.4"/>
    <n v="111447"/>
    <n v="0"/>
    <x v="0"/>
    <s v="T. Rana"/>
  </r>
  <r>
    <n v="100338"/>
    <d v="2024-07-25T00:00:00"/>
    <x v="1"/>
    <s v="Vihaan Mehta"/>
    <x v="0"/>
    <x v="8"/>
    <x v="3"/>
    <s v="Cooking Oil 1L"/>
    <n v="1"/>
    <n v="254.07"/>
    <n v="254.07"/>
    <n v="0.2"/>
    <x v="5"/>
    <s v="A. Menon"/>
  </r>
  <r>
    <n v="100609"/>
    <d v="2024-01-18T00:00:00"/>
    <x v="9"/>
    <s v="Sneha Chopra"/>
    <x v="3"/>
    <x v="6"/>
    <x v="5"/>
    <s v="Mixer Grinder"/>
    <n v="12"/>
    <n v="7858.57"/>
    <n v="94302.84"/>
    <n v="0.1"/>
    <x v="1"/>
    <s v="T. Rana"/>
  </r>
  <r>
    <n v="101149"/>
    <d v="2024-06-22T00:00:00"/>
    <x v="0"/>
    <s v="Reyansh Verma"/>
    <x v="2"/>
    <x v="5"/>
    <x v="6"/>
    <s v="Sandals"/>
    <n v="5"/>
    <n v="682.36"/>
    <n v="3411.8"/>
    <n v="0"/>
    <x v="4"/>
    <s v="S. Bhat"/>
  </r>
  <r>
    <n v="100196"/>
    <d v="2024-07-03T00:00:00"/>
    <x v="1"/>
    <s v="Karan Nair"/>
    <x v="0"/>
    <x v="0"/>
    <x v="2"/>
    <s v="Geometry Box"/>
    <n v="5"/>
    <n v="253.72"/>
    <n v="1268.5999999999999"/>
    <n v="0"/>
    <x v="4"/>
    <s v="A. Menon"/>
  </r>
  <r>
    <n v="101251"/>
    <d v="2024-03-22T00:00:00"/>
    <x v="3"/>
    <s v="Rohan Agarwal"/>
    <x v="0"/>
    <x v="0"/>
    <x v="0"/>
    <s v="Bookshelf"/>
    <n v="1"/>
    <n v="10961.07"/>
    <n v="10961.07"/>
    <n v="0.2"/>
    <x v="5"/>
    <s v="D. Chawla"/>
  </r>
  <r>
    <n v="101293"/>
    <d v="2024-08-18T00:00:00"/>
    <x v="5"/>
    <s v="Diya Gupta"/>
    <x v="0"/>
    <x v="0"/>
    <x v="1"/>
    <s v="Winter Sweater"/>
    <n v="10"/>
    <n v="2605.02"/>
    <n v="26050.2"/>
    <n v="0.05"/>
    <x v="0"/>
    <s v="R. Kulkarni"/>
  </r>
  <r>
    <n v="102000"/>
    <d v="2024-12-10T00:00:00"/>
    <x v="2"/>
    <s v="Karan Das"/>
    <x v="1"/>
    <x v="9"/>
    <x v="6"/>
    <s v="Leather Formal Shoes"/>
    <n v="9"/>
    <n v="2521.9499999999998"/>
    <n v="22697.55"/>
    <n v="0"/>
    <x v="1"/>
    <s v="R. Kulkarni"/>
  </r>
  <r>
    <n v="100910"/>
    <d v="2024-02-15T00:00:00"/>
    <x v="11"/>
    <s v="Kiara Kumar"/>
    <x v="1"/>
    <x v="1"/>
    <x v="6"/>
    <s v="Sneakers"/>
    <n v="4"/>
    <n v="1013.21"/>
    <n v="4052.84"/>
    <n v="0.1"/>
    <x v="1"/>
    <s v="R. Kulkarni"/>
  </r>
  <r>
    <n v="100585"/>
    <d v="2024-09-26T00:00:00"/>
    <x v="4"/>
    <s v="Reyansh Mehta"/>
    <x v="4"/>
    <x v="4"/>
    <x v="3"/>
    <s v="Cooking Oil 1L"/>
    <n v="8"/>
    <n v="105.73"/>
    <n v="845.84"/>
    <n v="0"/>
    <x v="4"/>
    <s v="D. Chawla"/>
  </r>
  <r>
    <n v="100104"/>
    <d v="2024-01-12T00:00:00"/>
    <x v="9"/>
    <s v="Krishna Malhotra"/>
    <x v="2"/>
    <x v="5"/>
    <x v="3"/>
    <s v="Sugar 1kg"/>
    <n v="11"/>
    <n v="163.98"/>
    <n v="1803.78"/>
    <n v="0.15"/>
    <x v="3"/>
    <s v="P. Trivedi"/>
  </r>
  <r>
    <n v="101618"/>
    <d v="2024-04-08T00:00:00"/>
    <x v="6"/>
    <s v="Vivaan Nair"/>
    <x v="1"/>
    <x v="1"/>
    <x v="1"/>
    <s v="Formal Shirt"/>
    <n v="6"/>
    <n v="3230.52"/>
    <n v="19383.12"/>
    <n v="0"/>
    <x v="3"/>
    <s v="R. Kulkarni"/>
  </r>
  <r>
    <n v="101870"/>
    <d v="2024-02-07T00:00:00"/>
    <x v="11"/>
    <s v="(Unknown)"/>
    <x v="1"/>
    <x v="1"/>
    <x v="6"/>
    <s v="Sandals"/>
    <n v="9"/>
    <n v="502.07"/>
    <n v="4518.63"/>
    <n v="0"/>
    <x v="3"/>
    <s v="M. Ghosh"/>
  </r>
  <r>
    <n v="101889"/>
    <d v="2024-06-22T00:00:00"/>
    <x v="0"/>
    <s v="Pooja Verma"/>
    <x v="3"/>
    <x v="6"/>
    <x v="4"/>
    <s v="Bluetooth Speaker"/>
    <n v="11"/>
    <n v="16702.3"/>
    <n v="183725.3"/>
    <n v="0.2"/>
    <x v="0"/>
    <s v="R. Kulkarni"/>
  </r>
  <r>
    <n v="100720"/>
    <d v="2024-08-18T00:00:00"/>
    <x v="5"/>
    <s v="Sai Reddy"/>
    <x v="1"/>
    <x v="9"/>
    <x v="0"/>
    <s v="Study Desk"/>
    <n v="-2"/>
    <n v="6465.92"/>
    <n v="-12931.84"/>
    <n v="0.2"/>
    <x v="4"/>
    <s v="S. Bhat"/>
  </r>
  <r>
    <n v="100885"/>
    <d v="2024-04-17T00:00:00"/>
    <x v="6"/>
    <s v="Diya Agarwal"/>
    <x v="2"/>
    <x v="5"/>
    <x v="3"/>
    <s v="Tea Pack 500g"/>
    <n v="5"/>
    <n v="391.17"/>
    <n v="1955.8500000000001"/>
    <n v="0.15"/>
    <x v="1"/>
    <s v="T. Rana"/>
  </r>
  <r>
    <n v="100777"/>
    <d v="2024-08-25T00:00:00"/>
    <x v="5"/>
    <s v="Priya Nair"/>
    <x v="2"/>
    <x v="5"/>
    <x v="0"/>
    <s v="Study Desk"/>
    <n v="1"/>
    <n v="16006.11"/>
    <n v="16006.11"/>
    <n v="0"/>
    <x v="2"/>
    <s v="M. Ghosh"/>
  </r>
  <r>
    <n v="101570"/>
    <d v="2024-02-19T00:00:00"/>
    <x v="11"/>
    <s v="(Unknown)"/>
    <x v="0"/>
    <x v="8"/>
    <x v="6"/>
    <s v="Leather Formal Shoes"/>
    <n v="7"/>
    <n v="3983.29"/>
    <n v="27883.03"/>
    <n v="0"/>
    <x v="4"/>
    <s v="T. Rana"/>
  </r>
  <r>
    <n v="100850"/>
    <d v="2024-10-21T00:00:00"/>
    <x v="10"/>
    <s v="Anika Joshi"/>
    <x v="0"/>
    <x v="0"/>
    <x v="4"/>
    <s v="LED TV 42in"/>
    <n v="10"/>
    <n v="25568.38"/>
    <n v="255683.80000000002"/>
    <n v="0"/>
    <x v="1"/>
    <s v="D. Chawla"/>
  </r>
  <r>
    <n v="100895"/>
    <d v="2024-07-31T00:00:00"/>
    <x v="1"/>
    <s v="Saanvi Verma"/>
    <x v="4"/>
    <x v="4"/>
    <x v="4"/>
    <s v="Wireless Earbuds"/>
    <n v="3"/>
    <n v="43961.36"/>
    <n v="131884.08000000002"/>
    <n v="0"/>
    <x v="0"/>
    <s v="T. Rana"/>
  </r>
  <r>
    <n v="100228"/>
    <d v="2024-10-21T00:00:00"/>
    <x v="10"/>
    <s v="Rahul Iyer"/>
    <x v="2"/>
    <x v="5"/>
    <x v="0"/>
    <s v="Wooden Dining Table"/>
    <n v="10"/>
    <n v="14503.27"/>
    <n v="145032.70000000001"/>
    <n v="0"/>
    <x v="2"/>
    <s v="T. Rana"/>
  </r>
  <r>
    <n v="101903"/>
    <d v="2024-09-13T00:00:00"/>
    <x v="4"/>
    <s v="(Unknown)"/>
    <x v="4"/>
    <x v="4"/>
    <x v="5"/>
    <s v="Air Cooler"/>
    <n v="4"/>
    <n v="6272.67"/>
    <n v="25090.68"/>
    <n v="0"/>
    <x v="0"/>
    <s v="P. Trivedi"/>
  </r>
  <r>
    <n v="101326"/>
    <d v="2024-10-07T00:00:00"/>
    <x v="10"/>
    <s v="Nisha Pillai"/>
    <x v="4"/>
    <x v="4"/>
    <x v="1"/>
    <s v="Formal Shirt"/>
    <n v="-1"/>
    <n v="2179.12"/>
    <n v="-2179.12"/>
    <n v="0.1"/>
    <x v="5"/>
    <s v="K. Iyer"/>
  </r>
  <r>
    <n v="101300"/>
    <d v="2024-06-12T00:00:00"/>
    <x v="0"/>
    <s v="Saanvi Bose"/>
    <x v="2"/>
    <x v="2"/>
    <x v="5"/>
    <s v="Ceiling Fan"/>
    <n v="-2"/>
    <n v="989.98"/>
    <n v="-1979.96"/>
    <n v="0.25"/>
    <x v="5"/>
    <s v="M. Ghosh"/>
  </r>
  <r>
    <n v="100127"/>
    <d v="2024-04-25T00:00:00"/>
    <x v="6"/>
    <s v="Priya Kumar"/>
    <x v="0"/>
    <x v="8"/>
    <x v="1"/>
    <s v="Kids T-Shirt"/>
    <n v="11"/>
    <n v="1296.93"/>
    <n v="14266.230000000001"/>
    <n v="0.2"/>
    <x v="0"/>
    <s v="T. Rana"/>
  </r>
  <r>
    <n v="100406"/>
    <d v="2024-10-09T00:00:00"/>
    <x v="10"/>
    <s v="Vikram Kapoor"/>
    <x v="3"/>
    <x v="3"/>
    <x v="0"/>
    <s v="Wooden Dining Table"/>
    <n v="4"/>
    <n v="13560.12"/>
    <n v="54240.480000000003"/>
    <n v="0"/>
    <x v="3"/>
    <s v="A. Menon"/>
  </r>
  <r>
    <n v="100776"/>
    <d v="2024-12-20T00:00:00"/>
    <x v="2"/>
    <s v="Rohan Patel"/>
    <x v="3"/>
    <x v="3"/>
    <x v="4"/>
    <s v="Smartwatch S3"/>
    <n v="9"/>
    <n v="39495.11"/>
    <n v="355455.99"/>
    <n v="0.1"/>
    <x v="5"/>
    <s v="T. Rana"/>
  </r>
  <r>
    <n v="100822"/>
    <d v="2024-09-25T00:00:00"/>
    <x v="4"/>
    <s v="Saanvi Kumar"/>
    <x v="3"/>
    <x v="6"/>
    <x v="6"/>
    <s v="Sandals"/>
    <n v="9"/>
    <n v="4242.2299999999996"/>
    <n v="38180.069999999992"/>
    <n v="0"/>
    <x v="4"/>
    <s v="P. Trivedi"/>
  </r>
  <r>
    <n v="100712"/>
    <d v="2024-10-01T00:00:00"/>
    <x v="10"/>
    <s v="Rahul Joshi"/>
    <x v="3"/>
    <x v="6"/>
    <x v="0"/>
    <s v="Office Chair"/>
    <n v="7"/>
    <n v="3124.98"/>
    <n v="21874.86"/>
    <n v="0.2"/>
    <x v="2"/>
    <s v="K. Iyer"/>
  </r>
  <r>
    <n v="101911"/>
    <d v="2024-07-18T00:00:00"/>
    <x v="1"/>
    <s v="Vihaan Chopra"/>
    <x v="2"/>
    <x v="2"/>
    <x v="2"/>
    <s v="Notebook Pack"/>
    <n v="2"/>
    <n v="282.97000000000003"/>
    <n v="565.94000000000005"/>
    <n v="0"/>
    <x v="5"/>
    <s v="R. Kulkarni"/>
  </r>
  <r>
    <n v="101061"/>
    <d v="2024-06-14T00:00:00"/>
    <x v="0"/>
    <s v="Pooja Bansal"/>
    <x v="4"/>
    <x v="4"/>
    <x v="3"/>
    <s v="Sugar 1kg"/>
    <n v="3"/>
    <n v="364.02"/>
    <n v="1092.06"/>
    <n v="0.05"/>
    <x v="4"/>
    <s v="S. Bhat"/>
  </r>
  <r>
    <n v="101164"/>
    <d v="2024-04-10T00:00:00"/>
    <x v="6"/>
    <s v="Rahul Bansal"/>
    <x v="4"/>
    <x v="7"/>
    <x v="5"/>
    <s v="Microwave Oven"/>
    <n v="1"/>
    <n v="11792.86"/>
    <n v="11792.86"/>
    <n v="0"/>
    <x v="5"/>
    <s v="P. Trivedi"/>
  </r>
  <r>
    <n v="100304"/>
    <d v="2024-11-28T00:00:00"/>
    <x v="7"/>
    <s v="Sneha Iyer"/>
    <x v="3"/>
    <x v="3"/>
    <x v="6"/>
    <s v="Sandals"/>
    <n v="11"/>
    <n v="2824.26"/>
    <n v="31066.86"/>
    <n v="0"/>
    <x v="5"/>
    <s v="D. Chawla"/>
  </r>
  <r>
    <n v="100268"/>
    <d v="2024-12-10T00:00:00"/>
    <x v="2"/>
    <s v="Vikram Bansal"/>
    <x v="1"/>
    <x v="1"/>
    <x v="0"/>
    <s v="Office Chair"/>
    <n v="11"/>
    <n v="16912.95"/>
    <n v="186042.45"/>
    <n v="0"/>
    <x v="1"/>
    <s v="T. Rana"/>
  </r>
  <r>
    <n v="101558"/>
    <d v="2024-04-06T00:00:00"/>
    <x v="6"/>
    <s v="(Unknown)"/>
    <x v="4"/>
    <x v="7"/>
    <x v="5"/>
    <s v="Microwave Oven"/>
    <n v="5"/>
    <n v="3081.88"/>
    <n v="15409.400000000001"/>
    <n v="0"/>
    <x v="0"/>
    <s v="D. Chawla"/>
  </r>
  <r>
    <n v="100546"/>
    <d v="2024-12-09T00:00:00"/>
    <x v="2"/>
    <s v="Ayaan Pillai"/>
    <x v="1"/>
    <x v="1"/>
    <x v="5"/>
    <s v="Electric Kettle"/>
    <n v="1"/>
    <n v="2729.48"/>
    <n v="2729.48"/>
    <n v="0.2"/>
    <x v="2"/>
    <s v="D. Chawla"/>
  </r>
  <r>
    <n v="100213"/>
    <d v="2024-04-16T00:00:00"/>
    <x v="6"/>
    <s v="Ayaan Iyer"/>
    <x v="2"/>
    <x v="5"/>
    <x v="4"/>
    <s v="Smartphone X200"/>
    <n v="4"/>
    <n v="31480.66"/>
    <n v="125922.64"/>
    <n v="0.15"/>
    <x v="5"/>
    <s v="A. Menon"/>
  </r>
  <r>
    <n v="100897"/>
    <d v="2024-08-14T00:00:00"/>
    <x v="5"/>
    <s v="Sai Chopra"/>
    <x v="1"/>
    <x v="1"/>
    <x v="0"/>
    <s v="Study Desk"/>
    <n v="5"/>
    <n v="2388.41"/>
    <n v="11942.05"/>
    <n v="0"/>
    <x v="4"/>
    <s v="K. Iyer"/>
  </r>
  <r>
    <n v="101493"/>
    <d v="2024-11-26T00:00:00"/>
    <x v="7"/>
    <s v="Vivaan Bose"/>
    <x v="2"/>
    <x v="2"/>
    <x v="3"/>
    <s v="Cooking Oil 1L"/>
    <n v="9"/>
    <n v="464.31"/>
    <n v="4178.79"/>
    <n v="0.2"/>
    <x v="2"/>
    <s v="R. Kulkarni"/>
  </r>
  <r>
    <n v="101223"/>
    <d v="2024-03-20T00:00:00"/>
    <x v="3"/>
    <s v="Anika Reddy"/>
    <x v="2"/>
    <x v="2"/>
    <x v="3"/>
    <s v="Cooking Oil 1L"/>
    <n v="3"/>
    <n v="518.66"/>
    <n v="1555.98"/>
    <n v="0"/>
    <x v="5"/>
    <s v="M. Ghosh"/>
  </r>
  <r>
    <n v="100917"/>
    <d v="2024-12-25T00:00:00"/>
    <x v="2"/>
    <s v="Karan Kapoor"/>
    <x v="4"/>
    <x v="7"/>
    <x v="0"/>
    <s v="Sofa 3-Seater"/>
    <n v="1"/>
    <n v="15193.19"/>
    <n v="15193.19"/>
    <n v="0.1"/>
    <x v="3"/>
    <s v="D. Chawla"/>
  </r>
  <r>
    <n v="101552"/>
    <d v="2024-03-04T00:00:00"/>
    <x v="3"/>
    <s v="Karan Bansal"/>
    <x v="2"/>
    <x v="2"/>
    <x v="2"/>
    <s v="A4 Paper Ream"/>
    <n v="6"/>
    <n v="32.619999999999997"/>
    <n v="195.71999999999997"/>
    <n v="0"/>
    <x v="4"/>
    <s v="T. Rana"/>
  </r>
  <r>
    <n v="100676"/>
    <d v="2024-03-10T00:00:00"/>
    <x v="3"/>
    <s v="Krishna Agarwal"/>
    <x v="1"/>
    <x v="9"/>
    <x v="4"/>
    <s v="Smartwatch S3"/>
    <n v="9"/>
    <n v="7084.71"/>
    <n v="63762.39"/>
    <n v="0.25"/>
    <x v="0"/>
    <s v="D. Chawla"/>
  </r>
  <r>
    <n v="101290"/>
    <d v="2024-12-26T00:00:00"/>
    <x v="2"/>
    <s v="Rohan Chopra"/>
    <x v="0"/>
    <x v="0"/>
    <x v="5"/>
    <s v="Air Cooler"/>
    <n v="7"/>
    <n v="11689.78"/>
    <n v="81828.460000000006"/>
    <n v="0"/>
    <x v="4"/>
    <s v="D. Chawla"/>
  </r>
  <r>
    <n v="100815"/>
    <d v="2024-02-24T00:00:00"/>
    <x v="11"/>
    <s v="Sai Reddy"/>
    <x v="2"/>
    <x v="5"/>
    <x v="4"/>
    <s v="Laptop Air 14"/>
    <n v="1"/>
    <n v="43062.16"/>
    <n v="43062.16"/>
    <n v="0.05"/>
    <x v="2"/>
    <s v="M. Ghosh"/>
  </r>
  <r>
    <n v="101266"/>
    <d v="2024-01-01T00:00:00"/>
    <x v="9"/>
    <s v="Anika Chopra"/>
    <x v="2"/>
    <x v="2"/>
    <x v="2"/>
    <s v="Gel Pen Set"/>
    <n v="12"/>
    <n v="324.86"/>
    <n v="3898.32"/>
    <n v="0"/>
    <x v="3"/>
    <s v="R. Kulkarni"/>
  </r>
  <r>
    <n v="100343"/>
    <d v="2024-03-01T00:00:00"/>
    <x v="3"/>
    <s v="Rohan Nair"/>
    <x v="3"/>
    <x v="6"/>
    <x v="5"/>
    <s v="Mixer Grinder"/>
    <n v="2"/>
    <n v="2288.4899999999998"/>
    <n v="4576.9799999999996"/>
    <n v="0.05"/>
    <x v="4"/>
    <s v="P. Trivedi"/>
  </r>
  <r>
    <n v="100550"/>
    <d v="2024-05-16T00:00:00"/>
    <x v="8"/>
    <s v="Vikram Patel"/>
    <x v="1"/>
    <x v="1"/>
    <x v="3"/>
    <s v="Basmati Rice 5kg"/>
    <n v="9"/>
    <n v="426.87"/>
    <n v="3841.83"/>
    <n v="0"/>
    <x v="5"/>
    <s v="R. Kulkarni"/>
  </r>
  <r>
    <n v="101411"/>
    <d v="2024-09-17T00:00:00"/>
    <x v="4"/>
    <s v="Riya Pillai"/>
    <x v="3"/>
    <x v="6"/>
    <x v="2"/>
    <s v="Gel Pen Set"/>
    <n v="7"/>
    <n v="55.76"/>
    <n v="390.32"/>
    <n v="0"/>
    <x v="5"/>
    <s v="D. Chawla"/>
  </r>
  <r>
    <n v="101215"/>
    <d v="2024-07-11T00:00:00"/>
    <x v="1"/>
    <s v="Aarav Kumar"/>
    <x v="1"/>
    <x v="1"/>
    <x v="5"/>
    <s v="Microwave Oven"/>
    <n v="1"/>
    <n v="7612.48"/>
    <n v="7612.48"/>
    <n v="0"/>
    <x v="1"/>
    <s v="T. Rana"/>
  </r>
  <r>
    <n v="100967"/>
    <d v="2024-09-28T00:00:00"/>
    <x v="4"/>
    <s v="Arjun Das"/>
    <x v="2"/>
    <x v="2"/>
    <x v="1"/>
    <s v="Men's Denim Jacket"/>
    <m/>
    <n v="0"/>
    <n v="0"/>
    <n v="0"/>
    <x v="5"/>
    <s v="M. Ghosh"/>
  </r>
  <r>
    <n v="101231"/>
    <d v="2024-02-03T00:00:00"/>
    <x v="11"/>
    <s v="Karan Rao"/>
    <x v="1"/>
    <x v="1"/>
    <x v="2"/>
    <s v="A4 Paper Ream"/>
    <n v="10"/>
    <n v="160.30000000000001"/>
    <n v="1603"/>
    <n v="0"/>
    <x v="3"/>
    <s v="K. Iyer"/>
  </r>
  <r>
    <n v="100296"/>
    <d v="2024-08-23T00:00:00"/>
    <x v="5"/>
    <s v="Myra Agarwal"/>
    <x v="3"/>
    <x v="6"/>
    <x v="2"/>
    <s v="Geometry Box"/>
    <n v="4"/>
    <n v="137.76"/>
    <n v="551.04"/>
    <n v="0.15"/>
    <x v="4"/>
    <s v="D. Chawla"/>
  </r>
  <r>
    <n v="100696"/>
    <d v="2024-04-25T00:00:00"/>
    <x v="6"/>
    <s v="Ayaan Bansal"/>
    <x v="0"/>
    <x v="8"/>
    <x v="5"/>
    <s v="Ceiling Fan"/>
    <n v="1"/>
    <n v="10395.02"/>
    <n v="10395.02"/>
    <n v="0"/>
    <x v="5"/>
    <s v="D. Chawla"/>
  </r>
  <r>
    <n v="101453"/>
    <d v="2024-05-04T00:00:00"/>
    <x v="8"/>
    <s v="Sai Bose"/>
    <x v="1"/>
    <x v="1"/>
    <x v="5"/>
    <s v="Microwave Oven"/>
    <n v="8"/>
    <n v="6704.79"/>
    <n v="53638.32"/>
    <n v="0.2"/>
    <x v="1"/>
    <s v="R. Kulkarni"/>
  </r>
  <r>
    <n v="100074"/>
    <d v="2024-04-04T00:00:00"/>
    <x v="6"/>
    <s v="(Unknown)"/>
    <x v="4"/>
    <x v="7"/>
    <x v="2"/>
    <s v="Geometry Box"/>
    <n v="11"/>
    <n v="106.04"/>
    <n v="1166.44"/>
    <n v="0.25"/>
    <x v="0"/>
    <s v="R. Kulkarni"/>
  </r>
  <r>
    <n v="100606"/>
    <d v="2024-05-27T00:00:00"/>
    <x v="8"/>
    <s v="Aarav Gupta"/>
    <x v="0"/>
    <x v="8"/>
    <x v="6"/>
    <s v="Sneakers"/>
    <n v="7"/>
    <n v="3933.18"/>
    <n v="27532.26"/>
    <n v="0.2"/>
    <x v="5"/>
    <s v="P. Trivedi"/>
  </r>
  <r>
    <n v="100105"/>
    <d v="2024-09-30T00:00:00"/>
    <x v="4"/>
    <s v="Saanvi Nair"/>
    <x v="0"/>
    <x v="0"/>
    <x v="0"/>
    <s v="Bookshelf"/>
    <n v="4"/>
    <n v="24011.45"/>
    <n v="96045.8"/>
    <n v="0.25"/>
    <x v="1"/>
    <s v="D. Chawla"/>
  </r>
  <r>
    <n v="100646"/>
    <d v="2024-02-01T00:00:00"/>
    <x v="11"/>
    <s v="Aditya Patel"/>
    <x v="2"/>
    <x v="5"/>
    <x v="4"/>
    <s v="Smartwatch S3"/>
    <n v="9"/>
    <n v="5188.6000000000004"/>
    <n v="46697.4"/>
    <n v="0"/>
    <x v="0"/>
    <s v="S. Bhat"/>
  </r>
  <r>
    <n v="101405"/>
    <d v="2024-06-28T00:00:00"/>
    <x v="0"/>
    <s v="Diya Iyer"/>
    <x v="0"/>
    <x v="0"/>
    <x v="2"/>
    <s v="Gel Pen Set"/>
    <n v="10"/>
    <n v="100.66"/>
    <n v="1006.5999999999999"/>
    <n v="0.1"/>
    <x v="3"/>
    <s v="T. Rana"/>
  </r>
  <r>
    <n v="101987"/>
    <d v="2024-07-23T00:00:00"/>
    <x v="1"/>
    <s v="Vivaan Sharma"/>
    <x v="4"/>
    <x v="4"/>
    <x v="6"/>
    <s v="Leather Formal Shoes"/>
    <n v="8"/>
    <n v="3789.43"/>
    <n v="30315.439999999999"/>
    <n v="0.05"/>
    <x v="5"/>
    <s v="M. Ghosh"/>
  </r>
  <r>
    <n v="101041"/>
    <d v="2024-09-04T00:00:00"/>
    <x v="4"/>
    <s v="Pooja Bose"/>
    <x v="0"/>
    <x v="8"/>
    <x v="4"/>
    <s v="Wireless Earbuds"/>
    <n v="3"/>
    <n v="28274.07"/>
    <n v="84822.209999999992"/>
    <n v="0.05"/>
    <x v="1"/>
    <s v="K. Iyer"/>
  </r>
  <r>
    <n v="100440"/>
    <d v="2024-08-01T00:00:00"/>
    <x v="5"/>
    <s v="Navya Malhotra"/>
    <x v="0"/>
    <x v="8"/>
    <x v="1"/>
    <s v="Winter Sweater"/>
    <n v="7"/>
    <n v="588.46"/>
    <n v="4119.22"/>
    <n v="0"/>
    <x v="0"/>
    <s v="R. Kulkarni"/>
  </r>
  <r>
    <n v="101020"/>
    <d v="2024-08-22T00:00:00"/>
    <x v="5"/>
    <s v="Ayaan Singh"/>
    <x v="4"/>
    <x v="7"/>
    <x v="3"/>
    <s v="Wheat Flour 10kg"/>
    <n v="4"/>
    <n v="632.46"/>
    <n v="2529.84"/>
    <n v="0.25"/>
    <x v="4"/>
    <s v="M. Ghosh"/>
  </r>
  <r>
    <n v="100092"/>
    <d v="2024-11-16T00:00:00"/>
    <x v="7"/>
    <s v="(Unknown)"/>
    <x v="3"/>
    <x v="3"/>
    <x v="0"/>
    <s v="Bookshelf"/>
    <n v="10"/>
    <n v="23459.55"/>
    <n v="234595.5"/>
    <n v="0"/>
    <x v="2"/>
    <s v="D. Chawla"/>
  </r>
  <r>
    <n v="101113"/>
    <d v="2024-05-30T00:00:00"/>
    <x v="8"/>
    <s v="Riya Gupta"/>
    <x v="2"/>
    <x v="5"/>
    <x v="1"/>
    <s v="Winter Sweater"/>
    <n v="9"/>
    <n v="2026.98"/>
    <n v="18242.82"/>
    <n v="0.25"/>
    <x v="4"/>
    <s v="M. Ghosh"/>
  </r>
  <r>
    <n v="101778"/>
    <d v="2024-05-12T00:00:00"/>
    <x v="8"/>
    <s v="Riya Sharma"/>
    <x v="2"/>
    <x v="5"/>
    <x v="0"/>
    <s v="Wooden Dining Table"/>
    <n v="5"/>
    <n v="23717.94"/>
    <n v="118589.7"/>
    <n v="0.2"/>
    <x v="5"/>
    <s v="D. Chawla"/>
  </r>
  <r>
    <n v="100909"/>
    <d v="2024-11-15T00:00:00"/>
    <x v="7"/>
    <s v="Vikram Iyer"/>
    <x v="3"/>
    <x v="3"/>
    <x v="5"/>
    <s v="Air Cooler"/>
    <n v="4"/>
    <n v="2246.5700000000002"/>
    <n v="8986.2800000000007"/>
    <n v="0.1"/>
    <x v="4"/>
    <s v="A. Menon"/>
  </r>
  <r>
    <n v="101475"/>
    <d v="2024-05-13T00:00:00"/>
    <x v="8"/>
    <s v="Ananya Bansal"/>
    <x v="1"/>
    <x v="1"/>
    <x v="1"/>
    <s v="Men's Denim Jacket"/>
    <n v="8"/>
    <n v="2877.15"/>
    <n v="23017.200000000001"/>
    <n v="0.05"/>
    <x v="1"/>
    <s v="A. Menon"/>
  </r>
  <r>
    <n v="100103"/>
    <d v="2024-02-14T00:00:00"/>
    <x v="11"/>
    <s v="Myra Nair"/>
    <x v="3"/>
    <x v="3"/>
    <x v="2"/>
    <s v="A4 Paper Ream"/>
    <n v="7"/>
    <n v="56.72"/>
    <n v="397.03999999999996"/>
    <n v="0.2"/>
    <x v="2"/>
    <s v="A. Menon"/>
  </r>
  <r>
    <n v="100239"/>
    <d v="2024-06-27T00:00:00"/>
    <x v="0"/>
    <s v="Ananya Singh"/>
    <x v="2"/>
    <x v="2"/>
    <x v="0"/>
    <s v="Bookshelf"/>
    <n v="12"/>
    <n v="5587.8"/>
    <n v="67053.600000000006"/>
    <n v="0"/>
    <x v="5"/>
    <s v="P. Trivedi"/>
  </r>
  <r>
    <n v="101725"/>
    <d v="2024-10-28T00:00:00"/>
    <x v="10"/>
    <s v="Aditya Bansal"/>
    <x v="0"/>
    <x v="8"/>
    <x v="4"/>
    <s v="Bluetooth Speaker"/>
    <n v="2"/>
    <n v="1973.37"/>
    <n v="3946.74"/>
    <n v="0.2"/>
    <x v="0"/>
    <s v="M. Ghosh"/>
  </r>
  <r>
    <n v="100943"/>
    <d v="2024-10-23T00:00:00"/>
    <x v="10"/>
    <s v="Rahul Pillai"/>
    <x v="0"/>
    <x v="8"/>
    <x v="1"/>
    <s v="Men's Denim Jacket"/>
    <n v="3"/>
    <n v="2990.65"/>
    <n v="8971.9500000000007"/>
    <n v="0.2"/>
    <x v="5"/>
    <s v="K. Iyer"/>
  </r>
  <r>
    <n v="101271"/>
    <d v="2024-06-09T00:00:00"/>
    <x v="0"/>
    <s v="Ishaan Gupta"/>
    <x v="3"/>
    <x v="3"/>
    <x v="3"/>
    <s v="Tea Pack 500g"/>
    <n v="-2"/>
    <n v="0"/>
    <n v="0"/>
    <n v="0.15"/>
    <x v="0"/>
    <s v="P. Trivedi"/>
  </r>
  <r>
    <n v="100939"/>
    <d v="2024-12-11T00:00:00"/>
    <x v="2"/>
    <s v="Saanvi Patel"/>
    <x v="0"/>
    <x v="0"/>
    <x v="2"/>
    <s v="Gel Pen Set"/>
    <n v="12"/>
    <n v="448.62"/>
    <n v="5383.4400000000005"/>
    <n v="0.2"/>
    <x v="3"/>
    <s v="A. Menon"/>
  </r>
  <r>
    <n v="101715"/>
    <d v="2024-05-16T00:00:00"/>
    <x v="8"/>
    <s v="Rahul Malhotra"/>
    <x v="4"/>
    <x v="4"/>
    <x v="0"/>
    <s v="Study Desk"/>
    <n v="3"/>
    <n v="0"/>
    <n v="0"/>
    <n v="0"/>
    <x v="2"/>
    <s v="S. Bhat"/>
  </r>
  <r>
    <n v="101182"/>
    <d v="2024-03-10T00:00:00"/>
    <x v="3"/>
    <s v="Sai Bansal"/>
    <x v="3"/>
    <x v="6"/>
    <x v="6"/>
    <s v="Sneakers"/>
    <n v="2"/>
    <n v="1807.96"/>
    <n v="3615.92"/>
    <n v="0.2"/>
    <x v="2"/>
    <s v="R. Kulkarni"/>
  </r>
  <r>
    <n v="101504"/>
    <d v="2024-01-25T00:00:00"/>
    <x v="9"/>
    <s v="Ishaan Bose"/>
    <x v="4"/>
    <x v="7"/>
    <x v="1"/>
    <s v="Formal Shirt"/>
    <n v="9"/>
    <n v="1751.33"/>
    <n v="15761.97"/>
    <n v="0"/>
    <x v="5"/>
    <s v="T. Rana"/>
  </r>
  <r>
    <n v="101670"/>
    <d v="2024-09-14T00:00:00"/>
    <x v="4"/>
    <s v="Aadhya Bose"/>
    <x v="2"/>
    <x v="5"/>
    <x v="4"/>
    <s v="Smartphone X200"/>
    <n v="2"/>
    <n v="2012.74"/>
    <n v="4025.48"/>
    <n v="0"/>
    <x v="1"/>
    <s v="K. Iyer"/>
  </r>
  <r>
    <n v="100006"/>
    <d v="2024-02-13T00:00:00"/>
    <x v="11"/>
    <s v="(Unknown)"/>
    <x v="2"/>
    <x v="5"/>
    <x v="3"/>
    <s v="Tea Pack 500g"/>
    <n v="1"/>
    <n v="499.75"/>
    <n v="499.75"/>
    <n v="0.1"/>
    <x v="2"/>
    <s v="M. Ghosh"/>
  </r>
  <r>
    <n v="101838"/>
    <d v="2024-12-31T00:00:00"/>
    <x v="2"/>
    <s v="Diya Kapoor"/>
    <x v="2"/>
    <x v="5"/>
    <x v="6"/>
    <s v="Sandals"/>
    <n v="10"/>
    <n v="2895.27"/>
    <n v="28952.7"/>
    <n v="0"/>
    <x v="2"/>
    <s v="S. Bhat"/>
  </r>
  <r>
    <n v="100966"/>
    <d v="2024-06-09T00:00:00"/>
    <x v="0"/>
    <s v="Ananya Reddy"/>
    <x v="2"/>
    <x v="2"/>
    <x v="1"/>
    <s v="Kids T-Shirt"/>
    <n v="5"/>
    <n v="948.98"/>
    <n v="4744.8999999999996"/>
    <n v="0.2"/>
    <x v="2"/>
    <s v="M. Ghosh"/>
  </r>
  <r>
    <n v="100019"/>
    <d v="2024-12-26T00:00:00"/>
    <x v="2"/>
    <s v="(Unknown)"/>
    <x v="3"/>
    <x v="3"/>
    <x v="4"/>
    <s v="Laptop Air 14"/>
    <n v="5"/>
    <n v="15779.39"/>
    <n v="78896.95"/>
    <n v="0.15"/>
    <x v="5"/>
    <s v="K. Iyer"/>
  </r>
  <r>
    <n v="101431"/>
    <d v="2024-05-16T00:00:00"/>
    <x v="8"/>
    <s v="Vikram Bansal"/>
    <x v="2"/>
    <x v="5"/>
    <x v="4"/>
    <s v="LED TV 42in"/>
    <n v="6"/>
    <n v="36755.160000000003"/>
    <n v="220530.96000000002"/>
    <n v="0"/>
    <x v="0"/>
    <s v="M. Ghosh"/>
  </r>
  <r>
    <n v="100122"/>
    <d v="2024-11-25T00:00:00"/>
    <x v="7"/>
    <s v="Sneha Rao"/>
    <x v="4"/>
    <x v="7"/>
    <x v="5"/>
    <s v="Ceiling Fan"/>
    <n v="8"/>
    <n v="4518.43"/>
    <n v="36147.440000000002"/>
    <n v="0.2"/>
    <x v="2"/>
    <s v="M. Ghosh"/>
  </r>
  <r>
    <n v="100662"/>
    <d v="2024-11-08T00:00:00"/>
    <x v="7"/>
    <s v="Reyansh Nair"/>
    <x v="0"/>
    <x v="0"/>
    <x v="3"/>
    <s v="Tea Pack 500g"/>
    <n v="11"/>
    <n v="66.37"/>
    <n v="730.07"/>
    <n v="0"/>
    <x v="2"/>
    <s v="S. Bhat"/>
  </r>
  <r>
    <n v="101705"/>
    <d v="2024-10-25T00:00:00"/>
    <x v="10"/>
    <s v="(Unknown)"/>
    <x v="2"/>
    <x v="5"/>
    <x v="5"/>
    <s v="Air Cooler"/>
    <n v="8"/>
    <n v="4967.6000000000004"/>
    <n v="39740.800000000003"/>
    <n v="0.15"/>
    <x v="2"/>
    <s v="P. Trivedi"/>
  </r>
  <r>
    <n v="100275"/>
    <d v="2024-01-21T00:00:00"/>
    <x v="9"/>
    <s v="Aarav Sharma"/>
    <x v="3"/>
    <x v="3"/>
    <x v="1"/>
    <s v="Winter Sweater"/>
    <n v="12"/>
    <n v="1612.58"/>
    <n v="19350.96"/>
    <n v="0.15"/>
    <x v="3"/>
    <s v="S. Bhat"/>
  </r>
  <r>
    <n v="100434"/>
    <d v="2024-04-13T00:00:00"/>
    <x v="6"/>
    <s v="Neha Das"/>
    <x v="1"/>
    <x v="1"/>
    <x v="5"/>
    <s v="Mixer Grinder"/>
    <n v="-2"/>
    <n v="8429.24"/>
    <n v="-16858.48"/>
    <n v="0.25"/>
    <x v="3"/>
    <s v="M. Ghosh"/>
  </r>
  <r>
    <n v="100812"/>
    <d v="2024-10-23T00:00:00"/>
    <x v="10"/>
    <s v="Aadhya Kapoor"/>
    <x v="1"/>
    <x v="9"/>
    <x v="5"/>
    <s v="Microwave Oven"/>
    <n v="2"/>
    <n v="5748.58"/>
    <n v="11497.16"/>
    <n v="0"/>
    <x v="2"/>
    <s v="R. Kulkarni"/>
  </r>
  <r>
    <n v="101301"/>
    <d v="2024-05-09T00:00:00"/>
    <x v="8"/>
    <s v="Rohan Joshi"/>
    <x v="2"/>
    <x v="5"/>
    <x v="0"/>
    <s v="Wooden Dining Table"/>
    <n v="7"/>
    <n v="22527.41"/>
    <n v="157691.87"/>
    <n v="0.2"/>
    <x v="2"/>
    <s v="M. Ghosh"/>
  </r>
  <r>
    <n v="101336"/>
    <d v="2024-03-16T00:00:00"/>
    <x v="3"/>
    <s v="Amit Malhotra"/>
    <x v="4"/>
    <x v="4"/>
    <x v="2"/>
    <s v="Gel Pen Set"/>
    <n v="3"/>
    <n v="224.38"/>
    <n v="673.14"/>
    <n v="0.15"/>
    <x v="4"/>
    <s v="K. Iyer"/>
  </r>
  <r>
    <n v="101890"/>
    <d v="2024-12-17T00:00:00"/>
    <x v="2"/>
    <s v="Reyansh Gupta"/>
    <x v="3"/>
    <x v="6"/>
    <x v="2"/>
    <s v="Geometry Box"/>
    <n v="10"/>
    <n v="89.56"/>
    <n v="895.6"/>
    <n v="0"/>
    <x v="4"/>
    <s v="S. Bhat"/>
  </r>
  <r>
    <n v="101913"/>
    <d v="2024-07-10T00:00:00"/>
    <x v="1"/>
    <s v="Vihaan Bansal"/>
    <x v="1"/>
    <x v="9"/>
    <x v="5"/>
    <s v="Electric Kettle"/>
    <n v="9"/>
    <n v="2198.38"/>
    <n v="19785.420000000002"/>
    <n v="0"/>
    <x v="1"/>
    <s v="M. Ghosh"/>
  </r>
  <r>
    <n v="101571"/>
    <d v="2024-11-11T00:00:00"/>
    <x v="7"/>
    <s v="Neha Sharma"/>
    <x v="0"/>
    <x v="0"/>
    <x v="1"/>
    <s v="Winter Sweater"/>
    <n v="1"/>
    <n v="1805.8"/>
    <n v="1805.8"/>
    <n v="0.1"/>
    <x v="5"/>
    <s v="M. Ghosh"/>
  </r>
  <r>
    <n v="100182"/>
    <d v="2024-05-28T00:00:00"/>
    <x v="8"/>
    <s v="Rohan Reddy"/>
    <x v="0"/>
    <x v="0"/>
    <x v="3"/>
    <s v="Cooking Oil 1L"/>
    <n v="8"/>
    <n v="282.56"/>
    <n v="2260.48"/>
    <n v="0.1"/>
    <x v="5"/>
    <s v="K. Iyer"/>
  </r>
  <r>
    <n v="100185"/>
    <d v="2024-12-24T00:00:00"/>
    <x v="2"/>
    <s v="Pooja Agarwal"/>
    <x v="4"/>
    <x v="4"/>
    <x v="3"/>
    <s v="Wheat Flour 10kg"/>
    <n v="12"/>
    <n v="870.96"/>
    <n v="10451.52"/>
    <n v="0.25"/>
    <x v="2"/>
    <s v="P. Trivedi"/>
  </r>
  <r>
    <n v="100407"/>
    <d v="2024-09-11T00:00:00"/>
    <x v="4"/>
    <s v="Karan Agarwal"/>
    <x v="4"/>
    <x v="7"/>
    <x v="3"/>
    <s v="Wheat Flour 10kg"/>
    <n v="4"/>
    <n v="104.62"/>
    <n v="418.48"/>
    <n v="0"/>
    <x v="0"/>
    <s v="R. Kulkarni"/>
  </r>
  <r>
    <n v="100866"/>
    <d v="2024-05-02T00:00:00"/>
    <x v="8"/>
    <s v="Saanvi Agarwal"/>
    <x v="0"/>
    <x v="0"/>
    <x v="5"/>
    <s v="Ceiling Fan"/>
    <n v="7"/>
    <n v="0"/>
    <n v="0"/>
    <n v="0.25"/>
    <x v="4"/>
    <s v="R. Kulkarni"/>
  </r>
  <r>
    <n v="101631"/>
    <d v="2024-06-12T00:00:00"/>
    <x v="0"/>
    <s v="Amit Malhotra"/>
    <x v="3"/>
    <x v="6"/>
    <x v="5"/>
    <s v="Microwave Oven"/>
    <n v="9"/>
    <n v="6222.3"/>
    <n v="56000.700000000004"/>
    <n v="0.1"/>
    <x v="1"/>
    <s v="T. Rana"/>
  </r>
  <r>
    <n v="100521"/>
    <d v="2024-03-04T00:00:00"/>
    <x v="3"/>
    <s v="Karan Kumar"/>
    <x v="1"/>
    <x v="1"/>
    <x v="1"/>
    <s v="Winter Sweater"/>
    <n v="9"/>
    <n v="479.16"/>
    <n v="4312.4400000000005"/>
    <n v="0.15"/>
    <x v="3"/>
    <s v="S. Bhat"/>
  </r>
  <r>
    <n v="101004"/>
    <d v="2024-01-28T00:00:00"/>
    <x v="9"/>
    <s v="Vikram Kapoor"/>
    <x v="0"/>
    <x v="8"/>
    <x v="0"/>
    <s v="Study Desk"/>
    <n v="5"/>
    <n v="22219.65"/>
    <n v="111098.25"/>
    <n v="0.05"/>
    <x v="3"/>
    <s v="A. Menon"/>
  </r>
  <r>
    <n v="100381"/>
    <d v="2024-03-10T00:00:00"/>
    <x v="3"/>
    <s v="Sneha Nair"/>
    <x v="2"/>
    <x v="2"/>
    <x v="1"/>
    <s v="Kids T-Shirt"/>
    <n v="8"/>
    <n v="2028.97"/>
    <n v="16231.76"/>
    <n v="0"/>
    <x v="1"/>
    <s v="A. Menon"/>
  </r>
  <r>
    <n v="101435"/>
    <d v="2024-05-31T00:00:00"/>
    <x v="8"/>
    <s v="Neha Rao"/>
    <x v="2"/>
    <x v="5"/>
    <x v="0"/>
    <s v="Sofa 3-Seater"/>
    <n v="8"/>
    <n v="12748.8"/>
    <n v="101990.39999999999"/>
    <n v="0.05"/>
    <x v="0"/>
    <s v="M. Ghosh"/>
  </r>
  <r>
    <n v="101659"/>
    <d v="2024-03-15T00:00:00"/>
    <x v="3"/>
    <s v="Aarav Rao"/>
    <x v="1"/>
    <x v="9"/>
    <x v="5"/>
    <s v="Electric Kettle"/>
    <n v="7"/>
    <n v="7593.88"/>
    <n v="53157.16"/>
    <n v="0.05"/>
    <x v="0"/>
    <s v="K. Iyer"/>
  </r>
  <r>
    <n v="101394"/>
    <d v="2024-07-31T00:00:00"/>
    <x v="1"/>
    <s v="Amit Agarwal"/>
    <x v="4"/>
    <x v="7"/>
    <x v="3"/>
    <s v="Cooking Oil 1L"/>
    <n v="7"/>
    <n v="319.33"/>
    <n v="2235.31"/>
    <n v="0"/>
    <x v="2"/>
    <s v="P. Trivedi"/>
  </r>
  <r>
    <n v="101425"/>
    <d v="2024-07-09T00:00:00"/>
    <x v="1"/>
    <s v="Arjun Verma"/>
    <x v="4"/>
    <x v="7"/>
    <x v="2"/>
    <s v="A4 Paper Ream"/>
    <n v="3"/>
    <n v="352.37"/>
    <n v="1057.1100000000001"/>
    <n v="0"/>
    <x v="5"/>
    <s v="R. Kulkarni"/>
  </r>
  <r>
    <n v="101613"/>
    <d v="2024-04-23T00:00:00"/>
    <x v="6"/>
    <s v="Rohan Chopra"/>
    <x v="4"/>
    <x v="4"/>
    <x v="1"/>
    <s v="Winter Sweater"/>
    <n v="10"/>
    <n v="836.24"/>
    <n v="8362.4"/>
    <n v="0.05"/>
    <x v="4"/>
    <s v="M. Ghosh"/>
  </r>
  <r>
    <n v="100428"/>
    <d v="2024-08-24T00:00:00"/>
    <x v="5"/>
    <s v="Nisha Sharma"/>
    <x v="3"/>
    <x v="3"/>
    <x v="3"/>
    <s v="Sugar 1kg"/>
    <n v="11"/>
    <n v="842.58"/>
    <n v="9268.380000000001"/>
    <n v="0"/>
    <x v="2"/>
    <s v="K. Iyer"/>
  </r>
  <r>
    <n v="100079"/>
    <d v="2024-07-16T00:00:00"/>
    <x v="1"/>
    <s v="Sneha Patel"/>
    <x v="2"/>
    <x v="2"/>
    <x v="0"/>
    <s v="Sofa 3-Seater"/>
    <n v="11"/>
    <n v="5971.1"/>
    <n v="65682.100000000006"/>
    <n v="0.15"/>
    <x v="2"/>
    <s v="A. Menon"/>
  </r>
  <r>
    <n v="101598"/>
    <d v="2024-06-20T00:00:00"/>
    <x v="0"/>
    <s v="Aarav Agarwal"/>
    <x v="1"/>
    <x v="9"/>
    <x v="5"/>
    <s v="Electric Kettle"/>
    <n v="1"/>
    <n v="3389.4"/>
    <n v="3389.4"/>
    <n v="0.15"/>
    <x v="3"/>
    <s v="T. Rana"/>
  </r>
  <r>
    <n v="101010"/>
    <d v="2024-01-22T00:00:00"/>
    <x v="9"/>
    <s v="Vihaan Joshi"/>
    <x v="2"/>
    <x v="5"/>
    <x v="1"/>
    <s v="Men's Denim Jacket"/>
    <n v="8"/>
    <n v="824.13"/>
    <n v="6593.04"/>
    <n v="0.05"/>
    <x v="2"/>
    <s v="R. Kulkarni"/>
  </r>
  <r>
    <n v="101996"/>
    <d v="2024-06-14T00:00:00"/>
    <x v="0"/>
    <s v="(Unknown)"/>
    <x v="4"/>
    <x v="4"/>
    <x v="4"/>
    <s v="Laptop Air 14"/>
    <n v="2"/>
    <n v="32003.96"/>
    <n v="64007.92"/>
    <n v="0.25"/>
    <x v="0"/>
    <s v="P. Trivedi"/>
  </r>
  <r>
    <n v="101662"/>
    <d v="2024-06-17T00:00:00"/>
    <x v="0"/>
    <s v="Myra Malhotra"/>
    <x v="2"/>
    <x v="2"/>
    <x v="3"/>
    <s v="Basmati Rice 5kg"/>
    <n v="11"/>
    <n v="499.72"/>
    <n v="5496.92"/>
    <n v="0.05"/>
    <x v="5"/>
    <s v="R. Kulkarni"/>
  </r>
  <r>
    <n v="100608"/>
    <d v="2024-06-28T00:00:00"/>
    <x v="0"/>
    <s v="Neha Bansal"/>
    <x v="1"/>
    <x v="1"/>
    <x v="2"/>
    <s v="Geometry Box"/>
    <n v="2"/>
    <n v="36.14"/>
    <n v="72.28"/>
    <n v="0.05"/>
    <x v="2"/>
    <s v="K. Iyer"/>
  </r>
  <r>
    <n v="101806"/>
    <d v="2024-03-11T00:00:00"/>
    <x v="3"/>
    <s v="Rahul Patel"/>
    <x v="1"/>
    <x v="1"/>
    <x v="5"/>
    <s v="Mixer Grinder"/>
    <n v="5"/>
    <n v="6197.21"/>
    <n v="30986.05"/>
    <n v="0.05"/>
    <x v="0"/>
    <s v="D. Chawla"/>
  </r>
  <r>
    <n v="101845"/>
    <d v="2024-06-03T00:00:00"/>
    <x v="0"/>
    <s v="Priya Singh"/>
    <x v="1"/>
    <x v="9"/>
    <x v="5"/>
    <s v="Microwave Oven"/>
    <n v="7"/>
    <n v="10409.870000000001"/>
    <n v="72869.090000000011"/>
    <n v="0.1"/>
    <x v="5"/>
    <s v="R. Kulkarni"/>
  </r>
  <r>
    <n v="101058"/>
    <d v="2024-11-11T00:00:00"/>
    <x v="7"/>
    <s v="Ishaan Patel"/>
    <x v="3"/>
    <x v="6"/>
    <x v="5"/>
    <s v="Electric Kettle"/>
    <n v="8"/>
    <n v="8025.37"/>
    <n v="64202.96"/>
    <n v="0"/>
    <x v="1"/>
    <s v="R. Kulkarni"/>
  </r>
  <r>
    <n v="101441"/>
    <d v="2024-01-31T00:00:00"/>
    <x v="9"/>
    <s v="Neha Agarwal"/>
    <x v="1"/>
    <x v="1"/>
    <x v="2"/>
    <s v="A4 Paper Ream"/>
    <n v="10"/>
    <n v="175.63"/>
    <n v="1756.3"/>
    <n v="0.1"/>
    <x v="3"/>
    <s v="R. Kulkarni"/>
  </r>
  <r>
    <n v="101515"/>
    <d v="2024-02-27T00:00:00"/>
    <x v="11"/>
    <s v="Aarav Singh"/>
    <x v="3"/>
    <x v="3"/>
    <x v="2"/>
    <s v="Notebook Pack"/>
    <n v="10"/>
    <n v="479.06"/>
    <n v="4790.6000000000004"/>
    <n v="0"/>
    <x v="5"/>
    <s v="R. Kulkarni"/>
  </r>
  <r>
    <n v="101586"/>
    <d v="2024-10-14T00:00:00"/>
    <x v="10"/>
    <s v="Anika Malhotra"/>
    <x v="0"/>
    <x v="8"/>
    <x v="1"/>
    <s v="Kids T-Shirt"/>
    <n v="6"/>
    <n v="2210.7800000000002"/>
    <n v="13264.68"/>
    <n v="0.2"/>
    <x v="5"/>
    <s v="K. Iyer"/>
  </r>
  <r>
    <n v="101092"/>
    <d v="2024-03-07T00:00:00"/>
    <x v="3"/>
    <s v="Aarav Sharma"/>
    <x v="3"/>
    <x v="3"/>
    <x v="1"/>
    <s v="Kids T-Shirt"/>
    <n v="8"/>
    <n v="793.2"/>
    <n v="6345.6"/>
    <n v="0"/>
    <x v="5"/>
    <s v="P. Trivedi"/>
  </r>
  <r>
    <n v="101561"/>
    <d v="2024-12-05T00:00:00"/>
    <x v="2"/>
    <s v="Diya Bansal"/>
    <x v="4"/>
    <x v="7"/>
    <x v="2"/>
    <s v="Gel Pen Set"/>
    <n v="2"/>
    <n v="371.84"/>
    <n v="743.68"/>
    <n v="0"/>
    <x v="5"/>
    <s v="S. Bhat"/>
  </r>
  <r>
    <n v="101102"/>
    <d v="2024-05-30T00:00:00"/>
    <x v="8"/>
    <s v="Kiara Joshi"/>
    <x v="3"/>
    <x v="6"/>
    <x v="1"/>
    <s v="Kids T-Shirt"/>
    <n v="3"/>
    <n v="3154.25"/>
    <n v="9462.75"/>
    <n v="0"/>
    <x v="4"/>
    <s v="A. Menon"/>
  </r>
  <r>
    <n v="101130"/>
    <d v="2024-12-11T00:00:00"/>
    <x v="2"/>
    <s v="Aditya Reddy"/>
    <x v="3"/>
    <x v="3"/>
    <x v="3"/>
    <s v="Tea Pack 500g"/>
    <n v="5"/>
    <n v="369.28"/>
    <n v="1846.3999999999999"/>
    <n v="0.15"/>
    <x v="5"/>
    <s v="M. Ghosh"/>
  </r>
  <r>
    <n v="101236"/>
    <d v="2024-08-24T00:00:00"/>
    <x v="5"/>
    <s v="Diya Kumar"/>
    <x v="4"/>
    <x v="7"/>
    <x v="2"/>
    <s v="Gel Pen Set"/>
    <n v="9"/>
    <n v="450.82"/>
    <n v="4057.38"/>
    <n v="0.25"/>
    <x v="3"/>
    <s v="R. Kulkarni"/>
  </r>
  <r>
    <n v="101788"/>
    <d v="2024-03-23T00:00:00"/>
    <x v="3"/>
    <s v="Pooja Rao"/>
    <x v="1"/>
    <x v="1"/>
    <x v="3"/>
    <s v="Tea Pack 500g"/>
    <n v="11"/>
    <n v="422.22"/>
    <n v="4644.42"/>
    <n v="0.25"/>
    <x v="5"/>
    <s v="T. Rana"/>
  </r>
  <r>
    <n v="100959"/>
    <d v="2024-09-20T00:00:00"/>
    <x v="4"/>
    <s v="Amit Iyer"/>
    <x v="0"/>
    <x v="8"/>
    <x v="1"/>
    <s v="Winter Sweater"/>
    <n v="2"/>
    <n v="981.35"/>
    <n v="1962.7"/>
    <n v="0.1"/>
    <x v="1"/>
    <s v="A. Menon"/>
  </r>
  <r>
    <n v="101663"/>
    <d v="2024-09-12T00:00:00"/>
    <x v="4"/>
    <s v="Arjun Kumar"/>
    <x v="3"/>
    <x v="6"/>
    <x v="2"/>
    <s v="Geometry Box"/>
    <n v="7"/>
    <n v="408.35"/>
    <n v="2858.4500000000003"/>
    <n v="0"/>
    <x v="3"/>
    <s v="D. Chawla"/>
  </r>
  <r>
    <n v="100560"/>
    <d v="2024-01-30T00:00:00"/>
    <x v="9"/>
    <s v="Reyansh Verma"/>
    <x v="0"/>
    <x v="8"/>
    <x v="6"/>
    <s v="Leather Formal Shoes"/>
    <n v="10"/>
    <n v="1976.53"/>
    <n v="19765.3"/>
    <n v="0"/>
    <x v="5"/>
    <s v="T. Rana"/>
  </r>
  <r>
    <n v="100847"/>
    <d v="2024-03-29T00:00:00"/>
    <x v="3"/>
    <s v="Krishna Bansal"/>
    <x v="4"/>
    <x v="7"/>
    <x v="2"/>
    <s v="Geometry Box"/>
    <m/>
    <n v="200.48"/>
    <n v="0"/>
    <n v="0.25"/>
    <x v="3"/>
    <s v="K. Iyer"/>
  </r>
  <r>
    <n v="101768"/>
    <d v="2024-03-29T00:00:00"/>
    <x v="3"/>
    <s v="Amit Joshi"/>
    <x v="1"/>
    <x v="9"/>
    <x v="0"/>
    <s v="Wooden Dining Table"/>
    <n v="12"/>
    <n v="19305.14"/>
    <n v="231661.68"/>
    <n v="0.2"/>
    <x v="4"/>
    <s v="A. Menon"/>
  </r>
  <r>
    <n v="100691"/>
    <d v="2024-11-26T00:00:00"/>
    <x v="7"/>
    <s v="Rahul Rao"/>
    <x v="2"/>
    <x v="5"/>
    <x v="5"/>
    <s v="Mixer Grinder"/>
    <n v="8"/>
    <n v="6908.04"/>
    <n v="55264.32"/>
    <n v="0.15"/>
    <x v="2"/>
    <s v="S. Bhat"/>
  </r>
  <r>
    <n v="101520"/>
    <d v="2024-10-03T00:00:00"/>
    <x v="10"/>
    <s v="Riya Chopra"/>
    <x v="3"/>
    <x v="6"/>
    <x v="3"/>
    <s v="Basmati Rice 5kg"/>
    <n v="7"/>
    <n v="636.92999999999995"/>
    <n v="4458.5099999999993"/>
    <n v="0"/>
    <x v="1"/>
    <s v="S. Bhat"/>
  </r>
  <r>
    <n v="101961"/>
    <d v="2024-06-10T00:00:00"/>
    <x v="0"/>
    <s v="Reyansh Kapoor"/>
    <x v="4"/>
    <x v="4"/>
    <x v="0"/>
    <s v="Sofa 3-Seater"/>
    <n v="3"/>
    <n v="22025.41"/>
    <n v="66076.23"/>
    <n v="0"/>
    <x v="2"/>
    <s v="D. Chawla"/>
  </r>
  <r>
    <n v="101888"/>
    <d v="2024-03-21T00:00:00"/>
    <x v="3"/>
    <s v="Saanvi Mehta"/>
    <x v="0"/>
    <x v="0"/>
    <x v="3"/>
    <s v="Wheat Flour 10kg"/>
    <n v="9"/>
    <n v="678.24"/>
    <n v="6104.16"/>
    <n v="0.05"/>
    <x v="5"/>
    <s v="K. Iyer"/>
  </r>
  <r>
    <n v="100437"/>
    <d v="2024-07-23T00:00:00"/>
    <x v="1"/>
    <s v="Diya Chopra"/>
    <x v="1"/>
    <x v="9"/>
    <x v="1"/>
    <s v="Men's Denim Jacket"/>
    <n v="6"/>
    <n v="1735.81"/>
    <n v="10414.86"/>
    <n v="0"/>
    <x v="4"/>
    <s v="K. Iyer"/>
  </r>
  <r>
    <n v="100491"/>
    <d v="2024-01-03T00:00:00"/>
    <x v="9"/>
    <s v="Myra Singh"/>
    <x v="3"/>
    <x v="6"/>
    <x v="3"/>
    <s v="Wheat Flour 10kg"/>
    <n v="6"/>
    <n v="891.32"/>
    <n v="5347.92"/>
    <n v="0.1"/>
    <x v="2"/>
    <s v="R. Kulkarni"/>
  </r>
  <r>
    <n v="101922"/>
    <d v="2024-05-30T00:00:00"/>
    <x v="8"/>
    <s v="Neha Gupta"/>
    <x v="4"/>
    <x v="4"/>
    <x v="3"/>
    <s v="Wheat Flour 10kg"/>
    <n v="9"/>
    <n v="610.04999999999995"/>
    <n v="5490.45"/>
    <n v="0"/>
    <x v="4"/>
    <s v="M. Ghosh"/>
  </r>
  <r>
    <n v="101630"/>
    <d v="2024-04-16T00:00:00"/>
    <x v="6"/>
    <s v="Rohan Reddy"/>
    <x v="3"/>
    <x v="3"/>
    <x v="1"/>
    <s v="Women's Kurti"/>
    <n v="4"/>
    <n v="645.13"/>
    <n v="2580.52"/>
    <n v="0.2"/>
    <x v="1"/>
    <s v="R. Kulkarni"/>
  </r>
  <r>
    <n v="101388"/>
    <d v="2024-11-14T00:00:00"/>
    <x v="7"/>
    <s v="Arjun Singh"/>
    <x v="3"/>
    <x v="3"/>
    <x v="5"/>
    <s v="Air Cooler"/>
    <n v="6"/>
    <n v="5234.74"/>
    <n v="31408.44"/>
    <n v="0.25"/>
    <x v="0"/>
    <s v="K. Iyer"/>
  </r>
  <r>
    <n v="100070"/>
    <d v="2024-07-21T00:00:00"/>
    <x v="1"/>
    <s v="Kiara Das"/>
    <x v="1"/>
    <x v="1"/>
    <x v="5"/>
    <s v="Mixer Grinder"/>
    <n v="2"/>
    <n v="8017.09"/>
    <n v="16034.18"/>
    <n v="0"/>
    <x v="0"/>
    <s v="D. Chawla"/>
  </r>
  <r>
    <n v="101573"/>
    <d v="2024-02-08T00:00:00"/>
    <x v="11"/>
    <s v="Arjun Mehta"/>
    <x v="2"/>
    <x v="5"/>
    <x v="1"/>
    <s v="Formal Shirt"/>
    <n v="10"/>
    <n v="2345.5100000000002"/>
    <n v="23455.100000000002"/>
    <n v="0"/>
    <x v="0"/>
    <s v="D. Chawla"/>
  </r>
  <r>
    <n v="101185"/>
    <d v="2024-12-22T00:00:00"/>
    <x v="2"/>
    <s v="Sneha Das"/>
    <x v="1"/>
    <x v="1"/>
    <x v="2"/>
    <s v="Geometry Box"/>
    <n v="7"/>
    <n v="210.49"/>
    <n v="1473.43"/>
    <n v="0.2"/>
    <x v="3"/>
    <s v="A. Menon"/>
  </r>
  <r>
    <n v="100012"/>
    <d v="2024-07-09T00:00:00"/>
    <x v="1"/>
    <s v="Neha Pillai"/>
    <x v="4"/>
    <x v="4"/>
    <x v="4"/>
    <s v="Smartphone X200"/>
    <n v="12"/>
    <n v="41803.54"/>
    <n v="501642.48"/>
    <n v="0.25"/>
    <x v="3"/>
    <s v="D. Chawla"/>
  </r>
  <r>
    <n v="100145"/>
    <d v="2024-09-25T00:00:00"/>
    <x v="4"/>
    <s v="Reyansh Patel"/>
    <x v="1"/>
    <x v="1"/>
    <x v="4"/>
    <s v="LED TV 42in"/>
    <n v="10"/>
    <n v="3357.29"/>
    <n v="33572.9"/>
    <n v="0.25"/>
    <x v="0"/>
    <s v="R. Kulkarni"/>
  </r>
  <r>
    <n v="100918"/>
    <d v="2024-11-06T00:00:00"/>
    <x v="7"/>
    <s v="Neha Agarwal"/>
    <x v="2"/>
    <x v="5"/>
    <x v="6"/>
    <s v="Sandals"/>
    <n v="1"/>
    <n v="3503.62"/>
    <n v="3503.62"/>
    <n v="0.05"/>
    <x v="1"/>
    <s v="A. Menon"/>
  </r>
  <r>
    <n v="101542"/>
    <d v="2024-07-10T00:00:00"/>
    <x v="1"/>
    <s v="Arjun Singh"/>
    <x v="3"/>
    <x v="3"/>
    <x v="4"/>
    <s v="Laptop Air 14"/>
    <n v="9"/>
    <n v="43362.44"/>
    <n v="390261.96"/>
    <n v="0"/>
    <x v="4"/>
    <s v="T. Rana"/>
  </r>
  <r>
    <n v="101452"/>
    <d v="2024-09-26T00:00:00"/>
    <x v="4"/>
    <s v="Sneha Rao"/>
    <x v="1"/>
    <x v="1"/>
    <x v="2"/>
    <s v="A4 Paper Ream"/>
    <n v="2"/>
    <n v="0"/>
    <n v="0"/>
    <n v="0"/>
    <x v="0"/>
    <s v="P. Trivedi"/>
  </r>
  <r>
    <n v="100640"/>
    <d v="2024-01-27T00:00:00"/>
    <x v="9"/>
    <s v="Vikram Rao"/>
    <x v="4"/>
    <x v="7"/>
    <x v="4"/>
    <s v="Smartphone X200"/>
    <n v="4"/>
    <n v="38588.14"/>
    <n v="154352.56"/>
    <n v="0.1"/>
    <x v="5"/>
    <s v="M. Ghosh"/>
  </r>
  <r>
    <n v="100177"/>
    <d v="2024-03-29T00:00:00"/>
    <x v="3"/>
    <s v="Sneha Bose"/>
    <x v="4"/>
    <x v="7"/>
    <x v="2"/>
    <s v="Notebook Pack"/>
    <n v="11"/>
    <n v="276.72000000000003"/>
    <n v="3043.92"/>
    <n v="0"/>
    <x v="3"/>
    <s v="D. Chawla"/>
  </r>
  <r>
    <n v="100995"/>
    <d v="2024-09-19T00:00:00"/>
    <x v="4"/>
    <s v="Sneha Kumar"/>
    <x v="1"/>
    <x v="1"/>
    <x v="2"/>
    <s v="A4 Paper Ream"/>
    <n v="1"/>
    <n v="410.86"/>
    <n v="410.86"/>
    <n v="0.2"/>
    <x v="4"/>
    <s v="D. Chawla"/>
  </r>
  <r>
    <n v="100441"/>
    <d v="2024-06-13T00:00:00"/>
    <x v="0"/>
    <s v="Ayaan Verma"/>
    <x v="1"/>
    <x v="1"/>
    <x v="6"/>
    <s v="Running Shoes"/>
    <n v="12"/>
    <n v="4016.62"/>
    <n v="48199.44"/>
    <n v="0.05"/>
    <x v="2"/>
    <s v="A. Menon"/>
  </r>
  <r>
    <n v="100522"/>
    <d v="2024-08-17T00:00:00"/>
    <x v="5"/>
    <s v="Ananya Nair"/>
    <x v="1"/>
    <x v="9"/>
    <x v="6"/>
    <s v="Running Shoes"/>
    <n v="8"/>
    <n v="3890.38"/>
    <n v="31123.040000000001"/>
    <n v="0.15"/>
    <x v="0"/>
    <s v="D. Chawla"/>
  </r>
  <r>
    <n v="101965"/>
    <d v="2024-05-21T00:00:00"/>
    <x v="8"/>
    <s v="Diya Mehta"/>
    <x v="1"/>
    <x v="1"/>
    <x v="1"/>
    <s v="Formal Shirt"/>
    <n v="5"/>
    <n v="3449.98"/>
    <n v="17249.900000000001"/>
    <n v="0.1"/>
    <x v="5"/>
    <s v="T. Rana"/>
  </r>
  <r>
    <n v="101713"/>
    <d v="2024-07-14T00:00:00"/>
    <x v="1"/>
    <s v="Aadhya Gupta"/>
    <x v="1"/>
    <x v="9"/>
    <x v="5"/>
    <s v="Air Cooler"/>
    <n v="5"/>
    <n v="11633.36"/>
    <n v="58166.8"/>
    <n v="0.15"/>
    <x v="3"/>
    <s v="P. Trivedi"/>
  </r>
  <r>
    <n v="101005"/>
    <d v="2024-03-11T00:00:00"/>
    <x v="3"/>
    <s v="Sai Singh"/>
    <x v="3"/>
    <x v="6"/>
    <x v="5"/>
    <s v="Microwave Oven"/>
    <n v="11"/>
    <n v="0"/>
    <n v="0"/>
    <n v="0.05"/>
    <x v="1"/>
    <s v="T. Rana"/>
  </r>
  <r>
    <n v="101256"/>
    <d v="2024-07-22T00:00:00"/>
    <x v="1"/>
    <s v="Aarav Reddy"/>
    <x v="1"/>
    <x v="1"/>
    <x v="1"/>
    <s v="Women's Kurti"/>
    <n v="11"/>
    <n v="1330.25"/>
    <n v="14632.75"/>
    <n v="0"/>
    <x v="5"/>
    <s v="A. Menon"/>
  </r>
  <r>
    <n v="101235"/>
    <d v="2024-06-18T00:00:00"/>
    <x v="0"/>
    <s v="Anika Singh"/>
    <x v="4"/>
    <x v="4"/>
    <x v="0"/>
    <s v="Office Chair"/>
    <n v="6"/>
    <n v="4266.42"/>
    <n v="25598.52"/>
    <n v="0"/>
    <x v="0"/>
    <s v="T. Rana"/>
  </r>
  <r>
    <n v="101665"/>
    <d v="2024-01-24T00:00:00"/>
    <x v="9"/>
    <s v="Saanvi Agarwal"/>
    <x v="0"/>
    <x v="8"/>
    <x v="5"/>
    <s v="Mixer Grinder"/>
    <n v="8"/>
    <n v="0"/>
    <n v="0"/>
    <n v="0.05"/>
    <x v="5"/>
    <s v="P. Trivedi"/>
  </r>
  <r>
    <n v="100144"/>
    <d v="2024-11-26T00:00:00"/>
    <x v="7"/>
    <s v="Riya Agarwal"/>
    <x v="3"/>
    <x v="3"/>
    <x v="3"/>
    <s v="Sugar 1kg"/>
    <n v="3"/>
    <n v="685.87"/>
    <n v="2057.61"/>
    <n v="0.05"/>
    <x v="3"/>
    <s v="S. Bhat"/>
  </r>
  <r>
    <n v="100754"/>
    <d v="2024-06-25T00:00:00"/>
    <x v="0"/>
    <s v="Ayaan Malhotra"/>
    <x v="0"/>
    <x v="8"/>
    <x v="0"/>
    <s v="Office Chair"/>
    <n v="2"/>
    <n v="24937.05"/>
    <n v="49874.1"/>
    <n v="0"/>
    <x v="1"/>
    <s v="M. Ghosh"/>
  </r>
  <r>
    <n v="100520"/>
    <d v="2024-10-22T00:00:00"/>
    <x v="10"/>
    <s v="Ananya Kapoor"/>
    <x v="4"/>
    <x v="7"/>
    <x v="0"/>
    <s v="Bookshelf"/>
    <n v="2"/>
    <n v="15118.42"/>
    <n v="30236.84"/>
    <n v="0"/>
    <x v="5"/>
    <s v="R. Kulkarni"/>
  </r>
  <r>
    <n v="101323"/>
    <d v="2024-04-18T00:00:00"/>
    <x v="6"/>
    <s v="Riya Singh"/>
    <x v="0"/>
    <x v="8"/>
    <x v="0"/>
    <s v="Wooden Dining Table"/>
    <n v="10"/>
    <n v="9734.74"/>
    <n v="97347.4"/>
    <n v="0"/>
    <x v="0"/>
    <s v="T. Rana"/>
  </r>
  <r>
    <n v="100823"/>
    <d v="2024-12-18T00:00:00"/>
    <x v="2"/>
    <s v="Ira Agarwal"/>
    <x v="2"/>
    <x v="2"/>
    <x v="4"/>
    <s v="Smartphone X200"/>
    <n v="10"/>
    <n v="24756.06"/>
    <n v="247560.6"/>
    <n v="0.1"/>
    <x v="3"/>
    <s v="S. Bhat"/>
  </r>
  <r>
    <n v="100429"/>
    <d v="2024-10-25T00:00:00"/>
    <x v="10"/>
    <s v="Myra Malhotra"/>
    <x v="1"/>
    <x v="1"/>
    <x v="6"/>
    <s v="Leather Formal Shoes"/>
    <n v="4"/>
    <n v="3198.09"/>
    <n v="12792.36"/>
    <n v="0"/>
    <x v="5"/>
    <s v="P. Trivedi"/>
  </r>
  <r>
    <n v="100613"/>
    <d v="2024-02-12T00:00:00"/>
    <x v="11"/>
    <s v="Sneha Gupta"/>
    <x v="3"/>
    <x v="3"/>
    <x v="1"/>
    <s v="Men's Denim Jacket"/>
    <n v="3"/>
    <n v="1405.99"/>
    <n v="4217.97"/>
    <n v="0.15"/>
    <x v="2"/>
    <s v="P. Trivedi"/>
  </r>
  <r>
    <n v="101506"/>
    <d v="2024-05-04T00:00:00"/>
    <x v="8"/>
    <s v="(Unknown)"/>
    <x v="0"/>
    <x v="0"/>
    <x v="4"/>
    <s v="Wireless Earbuds"/>
    <n v="7"/>
    <n v="25985.38"/>
    <n v="181897.66"/>
    <n v="0.15"/>
    <x v="3"/>
    <s v="R. Kulkarni"/>
  </r>
  <r>
    <n v="101033"/>
    <d v="2024-01-06T00:00:00"/>
    <x v="9"/>
    <s v="Priya Bose"/>
    <x v="1"/>
    <x v="9"/>
    <x v="2"/>
    <s v="A4 Paper Ream"/>
    <n v="9"/>
    <n v="186.71"/>
    <n v="1680.39"/>
    <n v="0.05"/>
    <x v="3"/>
    <s v="M. Ghosh"/>
  </r>
  <r>
    <n v="100157"/>
    <d v="2024-12-26T00:00:00"/>
    <x v="2"/>
    <s v="Sai Reddy"/>
    <x v="0"/>
    <x v="0"/>
    <x v="1"/>
    <s v="Formal Shirt"/>
    <n v="9"/>
    <n v="3198.61"/>
    <n v="28787.49"/>
    <n v="0"/>
    <x v="1"/>
    <s v="S. Bhat"/>
  </r>
  <r>
    <n v="100540"/>
    <d v="2024-01-23T00:00:00"/>
    <x v="9"/>
    <s v="Neha Joshi"/>
    <x v="4"/>
    <x v="7"/>
    <x v="0"/>
    <s v="Study Desk"/>
    <n v="8"/>
    <n v="7749.29"/>
    <n v="61994.32"/>
    <n v="0.05"/>
    <x v="2"/>
    <s v="T. Rana"/>
  </r>
  <r>
    <n v="101531"/>
    <d v="2024-06-04T00:00:00"/>
    <x v="0"/>
    <s v="Krishna Sharma"/>
    <x v="3"/>
    <x v="3"/>
    <x v="0"/>
    <s v="Office Chair"/>
    <n v="10"/>
    <n v="2152.46"/>
    <n v="21524.6"/>
    <n v="0.05"/>
    <x v="1"/>
    <s v="P. Trivedi"/>
  </r>
  <r>
    <n v="101461"/>
    <d v="2024-10-03T00:00:00"/>
    <x v="10"/>
    <s v="Ira Kapoor"/>
    <x v="1"/>
    <x v="9"/>
    <x v="1"/>
    <s v="Kids T-Shirt"/>
    <n v="11"/>
    <n v="1651.47"/>
    <n v="18166.170000000002"/>
    <n v="0.25"/>
    <x v="2"/>
    <s v="M. Ghosh"/>
  </r>
  <r>
    <n v="101291"/>
    <d v="2024-06-25T00:00:00"/>
    <x v="0"/>
    <s v="Aarav Gupta"/>
    <x v="0"/>
    <x v="0"/>
    <x v="1"/>
    <s v="Winter Sweater"/>
    <n v="11"/>
    <n v="2332.67"/>
    <n v="25659.370000000003"/>
    <n v="0"/>
    <x v="0"/>
    <s v="T. Rana"/>
  </r>
  <r>
    <n v="100462"/>
    <d v="2024-11-30T00:00:00"/>
    <x v="7"/>
    <s v="Reyansh Malhotra"/>
    <x v="4"/>
    <x v="4"/>
    <x v="5"/>
    <s v="Mixer Grinder"/>
    <n v="8"/>
    <n v="4773.21"/>
    <n v="38185.68"/>
    <n v="0"/>
    <x v="4"/>
    <s v="D. Chawla"/>
  </r>
  <r>
    <n v="100577"/>
    <d v="2024-04-28T00:00:00"/>
    <x v="6"/>
    <s v="Priya Iyer"/>
    <x v="1"/>
    <x v="9"/>
    <x v="0"/>
    <s v="Office Chair"/>
    <n v="12"/>
    <n v="9590.59"/>
    <n v="115087.08"/>
    <n v="0.1"/>
    <x v="0"/>
    <s v="A. Menon"/>
  </r>
  <r>
    <n v="101363"/>
    <d v="2024-07-21T00:00:00"/>
    <x v="1"/>
    <s v="Rohan Verma"/>
    <x v="2"/>
    <x v="5"/>
    <x v="0"/>
    <s v="Study Desk"/>
    <n v="9"/>
    <n v="4619.28"/>
    <n v="41573.519999999997"/>
    <n v="0.15"/>
    <x v="1"/>
    <s v="A. Menon"/>
  </r>
  <r>
    <n v="100256"/>
    <d v="2024-05-14T00:00:00"/>
    <x v="8"/>
    <s v="Myra Kumar"/>
    <x v="3"/>
    <x v="3"/>
    <x v="4"/>
    <s v="Smartphone X200"/>
    <n v="3"/>
    <n v="18728.150000000001"/>
    <n v="56184.450000000004"/>
    <n v="0.25"/>
    <x v="4"/>
    <s v="K. Iyer"/>
  </r>
  <r>
    <n v="100980"/>
    <d v="2024-10-25T00:00:00"/>
    <x v="10"/>
    <s v="Riya Pillai"/>
    <x v="3"/>
    <x v="3"/>
    <x v="0"/>
    <s v="Sofa 3-Seater"/>
    <n v="12"/>
    <n v="3814.76"/>
    <n v="45777.120000000003"/>
    <n v="0"/>
    <x v="0"/>
    <s v="S. Bhat"/>
  </r>
  <r>
    <n v="101186"/>
    <d v="2024-11-16T00:00:00"/>
    <x v="7"/>
    <s v="Aarav Das"/>
    <x v="1"/>
    <x v="1"/>
    <x v="2"/>
    <s v="Geometry Box"/>
    <n v="9"/>
    <n v="102.11"/>
    <n v="918.99"/>
    <n v="0.05"/>
    <x v="4"/>
    <s v="T. Rana"/>
  </r>
  <r>
    <n v="101007"/>
    <d v="2024-02-22T00:00:00"/>
    <x v="11"/>
    <s v="Ira Pillai"/>
    <x v="1"/>
    <x v="1"/>
    <x v="4"/>
    <s v="LED TV 42in"/>
    <n v="11"/>
    <n v="10964.97"/>
    <n v="120614.67"/>
    <n v="0"/>
    <x v="5"/>
    <s v="M. Ghosh"/>
  </r>
  <r>
    <n v="101522"/>
    <d v="2024-10-24T00:00:00"/>
    <x v="10"/>
    <s v="Priya Bansal"/>
    <x v="1"/>
    <x v="9"/>
    <x v="6"/>
    <s v="Sneakers"/>
    <n v="3"/>
    <n v="2823.24"/>
    <n v="8469.7199999999993"/>
    <n v="0.15"/>
    <x v="3"/>
    <s v="T. Rana"/>
  </r>
  <r>
    <n v="101690"/>
    <d v="2024-06-06T00:00:00"/>
    <x v="0"/>
    <s v="Pooja Kapoor"/>
    <x v="0"/>
    <x v="0"/>
    <x v="2"/>
    <s v="Notebook Pack"/>
    <n v="11"/>
    <n v="294.47000000000003"/>
    <n v="3239.17"/>
    <n v="0"/>
    <x v="4"/>
    <s v="M. Ghosh"/>
  </r>
  <r>
    <n v="100561"/>
    <d v="2024-04-14T00:00:00"/>
    <x v="6"/>
    <s v="Karan Singh"/>
    <x v="1"/>
    <x v="1"/>
    <x v="1"/>
    <s v="Formal Shirt"/>
    <n v="7"/>
    <n v="2493.35"/>
    <n v="17453.45"/>
    <n v="0"/>
    <x v="3"/>
    <s v="A. Menon"/>
  </r>
  <r>
    <n v="100209"/>
    <d v="2024-12-07T00:00:00"/>
    <x v="2"/>
    <s v="Pooja Rao"/>
    <x v="2"/>
    <x v="2"/>
    <x v="6"/>
    <s v="Sandals"/>
    <n v="9"/>
    <n v="4288.0600000000004"/>
    <n v="38592.54"/>
    <n v="0.25"/>
    <x v="3"/>
    <s v="D. Chawla"/>
  </r>
  <r>
    <n v="100911"/>
    <d v="2024-05-05T00:00:00"/>
    <x v="8"/>
    <s v="Ishaan Iyer"/>
    <x v="2"/>
    <x v="5"/>
    <x v="5"/>
    <s v="Electric Kettle"/>
    <n v="6"/>
    <n v="4086.43"/>
    <n v="24518.579999999998"/>
    <n v="0"/>
    <x v="1"/>
    <s v="S. Bhat"/>
  </r>
  <r>
    <n v="101312"/>
    <d v="2024-02-24T00:00:00"/>
    <x v="11"/>
    <s v="Vihaan Chopra"/>
    <x v="4"/>
    <x v="4"/>
    <x v="6"/>
    <s v="Sandals"/>
    <n v="10"/>
    <n v="2798.5"/>
    <n v="27985"/>
    <n v="0.15"/>
    <x v="2"/>
    <s v="T. Rana"/>
  </r>
  <r>
    <n v="100002"/>
    <d v="2024-05-12T00:00:00"/>
    <x v="8"/>
    <s v="Navya Singh"/>
    <x v="1"/>
    <x v="9"/>
    <x v="5"/>
    <s v="Electric Kettle"/>
    <n v="6"/>
    <n v="8649.35"/>
    <n v="51896.100000000006"/>
    <n v="0.15"/>
    <x v="4"/>
    <s v="M. Ghosh"/>
  </r>
  <r>
    <n v="101366"/>
    <d v="2024-03-06T00:00:00"/>
    <x v="3"/>
    <s v="Aadhya Verma"/>
    <x v="2"/>
    <x v="2"/>
    <x v="3"/>
    <s v="Sugar 1kg"/>
    <n v="9"/>
    <n v="487.84"/>
    <n v="4390.5599999999995"/>
    <n v="0"/>
    <x v="5"/>
    <s v="T. Rana"/>
  </r>
  <r>
    <n v="100270"/>
    <d v="2024-04-28T00:00:00"/>
    <x v="6"/>
    <s v="(Unknown)"/>
    <x v="4"/>
    <x v="4"/>
    <x v="3"/>
    <s v="Basmati Rice 5kg"/>
    <n v="11"/>
    <n v="494.85"/>
    <n v="5443.35"/>
    <n v="0"/>
    <x v="3"/>
    <s v="D. Chawla"/>
  </r>
  <r>
    <n v="100266"/>
    <d v="2024-09-07T00:00:00"/>
    <x v="4"/>
    <s v="Riya Sharma"/>
    <x v="1"/>
    <x v="9"/>
    <x v="6"/>
    <s v="Sneakers"/>
    <n v="6"/>
    <n v="2962.29"/>
    <n v="17773.739999999998"/>
    <n v="0.1"/>
    <x v="0"/>
    <s v="M. Ghosh"/>
  </r>
  <r>
    <n v="100915"/>
    <d v="2024-04-22T00:00:00"/>
    <x v="6"/>
    <s v="Rohan Bose"/>
    <x v="0"/>
    <x v="8"/>
    <x v="6"/>
    <s v="Sandals"/>
    <n v="5"/>
    <n v="3343.02"/>
    <n v="16715.099999999999"/>
    <n v="0"/>
    <x v="1"/>
    <s v="M. Ghosh"/>
  </r>
  <r>
    <n v="100231"/>
    <d v="2024-10-23T00:00:00"/>
    <x v="10"/>
    <s v="Saanvi Reddy"/>
    <x v="4"/>
    <x v="4"/>
    <x v="5"/>
    <s v="Mixer Grinder"/>
    <n v="2"/>
    <n v="0"/>
    <n v="0"/>
    <n v="0"/>
    <x v="4"/>
    <s v="A. Menon"/>
  </r>
  <r>
    <n v="101999"/>
    <d v="2024-09-01T00:00:00"/>
    <x v="4"/>
    <s v="Vihaan Sharma"/>
    <x v="1"/>
    <x v="9"/>
    <x v="4"/>
    <s v="Wireless Earbuds"/>
    <n v="8"/>
    <n v="36175.69"/>
    <n v="289405.52"/>
    <n v="0.25"/>
    <x v="2"/>
    <s v="T. Rana"/>
  </r>
  <r>
    <n v="101120"/>
    <d v="2024-01-24T00:00:00"/>
    <x v="9"/>
    <s v="Myra Agarwal"/>
    <x v="4"/>
    <x v="4"/>
    <x v="5"/>
    <s v="Air Cooler"/>
    <n v="3"/>
    <n v="5855.14"/>
    <n v="17565.420000000002"/>
    <n v="0.1"/>
    <x v="0"/>
    <s v="T. Rana"/>
  </r>
  <r>
    <n v="101993"/>
    <d v="2024-05-14T00:00:00"/>
    <x v="8"/>
    <s v="Kiara Nair"/>
    <x v="4"/>
    <x v="4"/>
    <x v="6"/>
    <s v="Leather Formal Shoes"/>
    <n v="12"/>
    <n v="1365.08"/>
    <n v="16380.96"/>
    <n v="0.2"/>
    <x v="0"/>
    <s v="R. Kulkarni"/>
  </r>
  <r>
    <n v="100865"/>
    <d v="2024-11-07T00:00:00"/>
    <x v="7"/>
    <s v="Nisha Singh"/>
    <x v="3"/>
    <x v="3"/>
    <x v="2"/>
    <s v="Notebook Pack"/>
    <n v="4"/>
    <n v="0"/>
    <n v="0"/>
    <n v="0.1"/>
    <x v="5"/>
    <s v="A. Menon"/>
  </r>
  <r>
    <n v="101067"/>
    <d v="2024-01-10T00:00:00"/>
    <x v="9"/>
    <s v="Krishna Pillai"/>
    <x v="3"/>
    <x v="6"/>
    <x v="6"/>
    <s v="Leather Formal Shoes"/>
    <n v="4"/>
    <n v="722.44"/>
    <n v="2889.76"/>
    <n v="0.2"/>
    <x v="4"/>
    <s v="R. Kulkarni"/>
  </r>
  <r>
    <n v="100874"/>
    <d v="2024-07-01T00:00:00"/>
    <x v="1"/>
    <s v="Vikram Patel"/>
    <x v="2"/>
    <x v="2"/>
    <x v="5"/>
    <s v="Electric Kettle"/>
    <n v="4"/>
    <n v="6214.13"/>
    <n v="24856.52"/>
    <n v="0"/>
    <x v="5"/>
    <s v="R. Kulkarni"/>
  </r>
  <r>
    <n v="101817"/>
    <d v="2024-05-25T00:00:00"/>
    <x v="8"/>
    <s v="Vihaan Verma"/>
    <x v="1"/>
    <x v="9"/>
    <x v="2"/>
    <s v="Notebook Pack"/>
    <n v="10"/>
    <n v="416.14"/>
    <n v="4161.3999999999996"/>
    <n v="0.25"/>
    <x v="1"/>
    <s v="T. Rana"/>
  </r>
  <r>
    <n v="100399"/>
    <d v="2024-09-11T00:00:00"/>
    <x v="4"/>
    <s v="Anika Gupta"/>
    <x v="2"/>
    <x v="2"/>
    <x v="5"/>
    <s v="Mixer Grinder"/>
    <n v="3"/>
    <n v="11485.64"/>
    <n v="34456.92"/>
    <n v="0"/>
    <x v="0"/>
    <s v="P. Trivedi"/>
  </r>
  <r>
    <n v="101848"/>
    <d v="2024-02-07T00:00:00"/>
    <x v="11"/>
    <s v="Kiara Joshi"/>
    <x v="2"/>
    <x v="2"/>
    <x v="2"/>
    <s v="Gel Pen Set"/>
    <n v="9"/>
    <n v="332.81"/>
    <n v="2995.29"/>
    <n v="0.1"/>
    <x v="4"/>
    <s v="P. Trivedi"/>
  </r>
  <r>
    <n v="101653"/>
    <d v="2024-06-10T00:00:00"/>
    <x v="0"/>
    <s v="Rahul Reddy"/>
    <x v="0"/>
    <x v="8"/>
    <x v="5"/>
    <s v="Ceiling Fan"/>
    <n v="5"/>
    <n v="10569.69"/>
    <n v="52848.450000000004"/>
    <n v="0.2"/>
    <x v="5"/>
    <s v="T. Rana"/>
  </r>
  <r>
    <n v="100046"/>
    <d v="2024-01-30T00:00:00"/>
    <x v="9"/>
    <s v="Saanvi Agarwal"/>
    <x v="2"/>
    <x v="2"/>
    <x v="4"/>
    <s v="Smartphone X200"/>
    <n v="12"/>
    <n v="44462.85"/>
    <n v="533554.19999999995"/>
    <n v="0.05"/>
    <x v="2"/>
    <s v="M. Ghosh"/>
  </r>
  <r>
    <n v="100162"/>
    <d v="2024-08-02T00:00:00"/>
    <x v="5"/>
    <s v="Ishaan Sharma"/>
    <x v="3"/>
    <x v="6"/>
    <x v="6"/>
    <s v="Running Shoes"/>
    <n v="8"/>
    <n v="3224.7"/>
    <n v="25797.599999999999"/>
    <n v="0.15"/>
    <x v="4"/>
    <s v="P. Trivedi"/>
  </r>
  <r>
    <n v="100992"/>
    <d v="2024-10-25T00:00:00"/>
    <x v="10"/>
    <s v="Neha Kapoor"/>
    <x v="3"/>
    <x v="6"/>
    <x v="4"/>
    <s v="LED TV 42in"/>
    <n v="-3"/>
    <n v="7058.73"/>
    <n v="-21176.19"/>
    <n v="0"/>
    <x v="3"/>
    <s v="M. Ghosh"/>
  </r>
  <r>
    <n v="100728"/>
    <d v="2024-04-29T00:00:00"/>
    <x v="6"/>
    <s v="Neha Verma"/>
    <x v="4"/>
    <x v="4"/>
    <x v="6"/>
    <s v="Sandals"/>
    <n v="10"/>
    <n v="3265.2"/>
    <n v="32652"/>
    <n v="0"/>
    <x v="0"/>
    <s v="P. Trivedi"/>
  </r>
  <r>
    <n v="100630"/>
    <d v="2024-03-13T00:00:00"/>
    <x v="3"/>
    <s v="Sai Pillai"/>
    <x v="2"/>
    <x v="2"/>
    <x v="2"/>
    <s v="Notebook Pack"/>
    <n v="4"/>
    <n v="426.72"/>
    <n v="1706.88"/>
    <n v="0"/>
    <x v="5"/>
    <s v="T. Rana"/>
  </r>
  <r>
    <n v="100289"/>
    <d v="2024-01-18T00:00:00"/>
    <x v="9"/>
    <s v="Ira Patel"/>
    <x v="1"/>
    <x v="9"/>
    <x v="0"/>
    <s v="Wooden Dining Table"/>
    <n v="2"/>
    <n v="2738.18"/>
    <n v="5476.36"/>
    <n v="0"/>
    <x v="4"/>
    <s v="A. Menon"/>
  </r>
  <r>
    <n v="101614"/>
    <d v="2024-04-04T00:00:00"/>
    <x v="6"/>
    <s v="Krishna Singh"/>
    <x v="1"/>
    <x v="1"/>
    <x v="3"/>
    <s v="Tea Pack 500g"/>
    <n v="9"/>
    <n v="806.43"/>
    <n v="7257.87"/>
    <n v="0.2"/>
    <x v="3"/>
    <s v="M. Ghosh"/>
  </r>
  <r>
    <n v="101060"/>
    <d v="2024-07-16T00:00:00"/>
    <x v="1"/>
    <s v="Sneha Malhotra"/>
    <x v="1"/>
    <x v="1"/>
    <x v="1"/>
    <s v="Women's Kurti"/>
    <n v="2"/>
    <n v="2565.04"/>
    <n v="5130.08"/>
    <n v="0.15"/>
    <x v="4"/>
    <s v="A. Menon"/>
  </r>
  <r>
    <n v="101977"/>
    <d v="2024-04-08T00:00:00"/>
    <x v="6"/>
    <s v="Krishna Mehta"/>
    <x v="4"/>
    <x v="4"/>
    <x v="2"/>
    <s v="Geometry Box"/>
    <n v="3"/>
    <n v="548.98"/>
    <n v="1646.94"/>
    <n v="0.2"/>
    <x v="5"/>
    <s v="A. Menon"/>
  </r>
  <r>
    <n v="100576"/>
    <d v="2024-12-19T00:00:00"/>
    <x v="2"/>
    <s v="Pooja Singh"/>
    <x v="2"/>
    <x v="2"/>
    <x v="1"/>
    <s v="Men's Denim Jacket"/>
    <n v="11"/>
    <n v="1526.46"/>
    <n v="16791.060000000001"/>
    <n v="0"/>
    <x v="2"/>
    <s v="K. Iyer"/>
  </r>
  <r>
    <n v="100851"/>
    <d v="2024-01-02T00:00:00"/>
    <x v="9"/>
    <s v="Saanvi Kumar"/>
    <x v="3"/>
    <x v="3"/>
    <x v="3"/>
    <s v="Tea Pack 500g"/>
    <n v="11"/>
    <n v="561.79999999999995"/>
    <n v="6179.7999999999993"/>
    <n v="0"/>
    <x v="0"/>
    <s v="D. Chawla"/>
  </r>
  <r>
    <n v="101340"/>
    <d v="2024-04-30T00:00:00"/>
    <x v="6"/>
    <s v="Aditya Verma"/>
    <x v="2"/>
    <x v="2"/>
    <x v="3"/>
    <s v="Sugar 1kg"/>
    <n v="4"/>
    <n v="383.46"/>
    <n v="1533.84"/>
    <n v="0"/>
    <x v="5"/>
    <s v="S. Bhat"/>
  </r>
  <r>
    <n v="100912"/>
    <d v="2024-10-25T00:00:00"/>
    <x v="10"/>
    <s v="Priya Bansal"/>
    <x v="1"/>
    <x v="1"/>
    <x v="6"/>
    <s v="Running Shoes"/>
    <n v="3"/>
    <n v="1065.74"/>
    <n v="3197.2200000000003"/>
    <n v="0.25"/>
    <x v="5"/>
    <s v="D. Chawla"/>
  </r>
  <r>
    <n v="101255"/>
    <d v="2024-02-07T00:00:00"/>
    <x v="11"/>
    <s v="Ishaan Bose"/>
    <x v="0"/>
    <x v="0"/>
    <x v="3"/>
    <s v="Basmati Rice 5kg"/>
    <n v="2"/>
    <n v="150.31"/>
    <n v="300.62"/>
    <n v="0.1"/>
    <x v="4"/>
    <s v="S. Bhat"/>
  </r>
  <r>
    <n v="101723"/>
    <d v="2024-05-23T00:00:00"/>
    <x v="8"/>
    <s v="Krishna Kapoor"/>
    <x v="4"/>
    <x v="4"/>
    <x v="5"/>
    <s v="Mixer Grinder"/>
    <n v="5"/>
    <n v="6756.56"/>
    <n v="33782.800000000003"/>
    <n v="0"/>
    <x v="2"/>
    <s v="R. Kulkarni"/>
  </r>
  <r>
    <n v="101914"/>
    <d v="2024-07-14T00:00:00"/>
    <x v="1"/>
    <s v="Amit Kapoor"/>
    <x v="4"/>
    <x v="7"/>
    <x v="6"/>
    <s v="Sandals"/>
    <n v="-2"/>
    <n v="615.37"/>
    <n v="-1230.74"/>
    <n v="0.25"/>
    <x v="5"/>
    <s v="S. Bhat"/>
  </r>
  <r>
    <n v="101736"/>
    <d v="2024-06-15T00:00:00"/>
    <x v="0"/>
    <s v="Krishna Chopra"/>
    <x v="3"/>
    <x v="3"/>
    <x v="1"/>
    <s v="Winter Sweater"/>
    <n v="11"/>
    <n v="2316.8000000000002"/>
    <n v="25484.800000000003"/>
    <n v="0"/>
    <x v="4"/>
    <s v="P. Trivedi"/>
  </r>
  <r>
    <n v="100933"/>
    <d v="2024-11-22T00:00:00"/>
    <x v="7"/>
    <s v="Vikram Kapoor"/>
    <x v="4"/>
    <x v="4"/>
    <x v="0"/>
    <s v="Study Desk"/>
    <n v="12"/>
    <n v="16016.44"/>
    <n v="192197.28"/>
    <n v="0.05"/>
    <x v="2"/>
    <s v="A. Menon"/>
  </r>
  <r>
    <n v="101101"/>
    <d v="2024-01-23T00:00:00"/>
    <x v="9"/>
    <s v="Diya Joshi"/>
    <x v="1"/>
    <x v="9"/>
    <x v="5"/>
    <s v="Mixer Grinder"/>
    <n v="3"/>
    <n v="10217.459999999999"/>
    <n v="30652.379999999997"/>
    <n v="0"/>
    <x v="1"/>
    <s v="M. Ghosh"/>
  </r>
  <r>
    <n v="101658"/>
    <d v="2024-06-01T00:00:00"/>
    <x v="0"/>
    <s v="(Unknown)"/>
    <x v="1"/>
    <x v="9"/>
    <x v="5"/>
    <s v="Electric Kettle"/>
    <n v="9"/>
    <n v="6414.91"/>
    <n v="57734.19"/>
    <n v="0.1"/>
    <x v="3"/>
    <s v="D. Chawla"/>
  </r>
  <r>
    <n v="101208"/>
    <d v="2024-01-07T00:00:00"/>
    <x v="9"/>
    <s v="Aadhya Chopra"/>
    <x v="1"/>
    <x v="9"/>
    <x v="3"/>
    <s v="Sugar 1kg"/>
    <n v="2"/>
    <n v="430.68"/>
    <n v="861.36"/>
    <n v="0.1"/>
    <x v="3"/>
    <s v="T. Rana"/>
  </r>
  <r>
    <n v="100248"/>
    <d v="2024-03-18T00:00:00"/>
    <x v="3"/>
    <s v="Rahul Rao"/>
    <x v="4"/>
    <x v="4"/>
    <x v="6"/>
    <s v="Running Shoes"/>
    <n v="5"/>
    <n v="1259.4000000000001"/>
    <n v="6297"/>
    <n v="0"/>
    <x v="0"/>
    <s v="A. Menon"/>
  </r>
  <r>
    <n v="100477"/>
    <d v="2024-12-19T00:00:00"/>
    <x v="2"/>
    <s v="Krishna Agarwal"/>
    <x v="2"/>
    <x v="5"/>
    <x v="3"/>
    <s v="Wheat Flour 10kg"/>
    <n v="7"/>
    <n v="743.51"/>
    <n v="5204.57"/>
    <n v="0"/>
    <x v="2"/>
    <s v="K. Iyer"/>
  </r>
  <r>
    <n v="101695"/>
    <d v="2024-02-29T00:00:00"/>
    <x v="11"/>
    <s v="Vivaan Agarwal"/>
    <x v="1"/>
    <x v="1"/>
    <x v="1"/>
    <s v="Kids T-Shirt"/>
    <n v="5"/>
    <n v="0"/>
    <n v="0"/>
    <n v="0.05"/>
    <x v="4"/>
    <s v="D. Chawla"/>
  </r>
  <r>
    <n v="100086"/>
    <d v="2024-03-08T00:00:00"/>
    <x v="3"/>
    <s v="Kiara Pillai"/>
    <x v="2"/>
    <x v="5"/>
    <x v="6"/>
    <s v="Running Shoes"/>
    <n v="7"/>
    <n v="2223.71"/>
    <n v="15565.970000000001"/>
    <n v="0.05"/>
    <x v="2"/>
    <s v="S. Bhat"/>
  </r>
  <r>
    <n v="100470"/>
    <d v="2024-11-26T00:00:00"/>
    <x v="7"/>
    <s v="Rohan Malhotra"/>
    <x v="4"/>
    <x v="7"/>
    <x v="4"/>
    <s v="Bluetooth Speaker"/>
    <n v="12"/>
    <n v="35887.19"/>
    <n v="430646.28"/>
    <n v="0.2"/>
    <x v="4"/>
    <s v="T. Rana"/>
  </r>
  <r>
    <n v="100226"/>
    <d v="2024-02-10T00:00:00"/>
    <x v="11"/>
    <s v="Priya Bansal"/>
    <x v="4"/>
    <x v="7"/>
    <x v="0"/>
    <s v="Sofa 3-Seater"/>
    <n v="2"/>
    <n v="9463.81"/>
    <n v="18927.62"/>
    <n v="0"/>
    <x v="0"/>
    <s v="A. Menon"/>
  </r>
  <r>
    <n v="100775"/>
    <d v="2024-07-05T00:00:00"/>
    <x v="1"/>
    <s v="Navya Kumar"/>
    <x v="2"/>
    <x v="5"/>
    <x v="3"/>
    <s v="Basmati Rice 5kg"/>
    <n v="7"/>
    <n v="392.26"/>
    <n v="2745.8199999999997"/>
    <n v="0"/>
    <x v="0"/>
    <s v="P. Trivedi"/>
  </r>
  <r>
    <n v="100332"/>
    <d v="2024-06-11T00:00:00"/>
    <x v="0"/>
    <s v="Nisha Chopra"/>
    <x v="4"/>
    <x v="4"/>
    <x v="0"/>
    <s v="Sofa 3-Seater"/>
    <n v="12"/>
    <n v="17797.61"/>
    <n v="213571.32"/>
    <n v="0"/>
    <x v="4"/>
    <s v="R. Kulkarni"/>
  </r>
  <r>
    <n v="100234"/>
    <d v="2024-06-10T00:00:00"/>
    <x v="0"/>
    <s v="Ayaan Iyer"/>
    <x v="1"/>
    <x v="9"/>
    <x v="4"/>
    <s v="Wireless Earbuds"/>
    <n v="2"/>
    <n v="23740.31"/>
    <n v="47480.62"/>
    <n v="0"/>
    <x v="1"/>
    <s v="P. Trivedi"/>
  </r>
  <r>
    <n v="100589"/>
    <d v="2024-07-04T00:00:00"/>
    <x v="1"/>
    <s v="Pooja Kapoor"/>
    <x v="2"/>
    <x v="5"/>
    <x v="6"/>
    <s v="Sneakers"/>
    <n v="6"/>
    <n v="737.27"/>
    <n v="4423.62"/>
    <n v="0.1"/>
    <x v="4"/>
    <s v="M. Ghosh"/>
  </r>
  <r>
    <n v="100476"/>
    <d v="2024-03-31T00:00:00"/>
    <x v="3"/>
    <s v="Vihaan Agarwal"/>
    <x v="3"/>
    <x v="3"/>
    <x v="4"/>
    <s v="Smartwatch S3"/>
    <n v="8"/>
    <n v="25490.12"/>
    <n v="203920.96"/>
    <n v="0.05"/>
    <x v="0"/>
    <s v="P. Trivedi"/>
  </r>
  <r>
    <n v="101285"/>
    <d v="2024-06-16T00:00:00"/>
    <x v="0"/>
    <s v="Priya Bansal"/>
    <x v="1"/>
    <x v="9"/>
    <x v="1"/>
    <s v="Men's Denim Jacket"/>
    <n v="12"/>
    <n v="1692.63"/>
    <n v="20311.560000000001"/>
    <n v="0"/>
    <x v="2"/>
    <s v="A. Menon"/>
  </r>
  <r>
    <n v="101891"/>
    <d v="2024-02-19T00:00:00"/>
    <x v="11"/>
    <s v="Nisha Kapoor"/>
    <x v="2"/>
    <x v="2"/>
    <x v="0"/>
    <s v="Wooden Dining Table"/>
    <n v="2"/>
    <n v="21732.41"/>
    <n v="43464.82"/>
    <n v="0.15"/>
    <x v="1"/>
    <s v="P. Trivedi"/>
  </r>
  <r>
    <n v="100600"/>
    <d v="2024-05-29T00:00:00"/>
    <x v="8"/>
    <s v="Ishaan Bose"/>
    <x v="1"/>
    <x v="1"/>
    <x v="1"/>
    <s v="Men's Denim Jacket"/>
    <n v="8"/>
    <n v="1701.64"/>
    <n v="13613.12"/>
    <n v="0.25"/>
    <x v="0"/>
    <s v="K. Iyer"/>
  </r>
  <r>
    <n v="100422"/>
    <d v="2024-09-08T00:00:00"/>
    <x v="4"/>
    <s v="Vivaan Reddy"/>
    <x v="1"/>
    <x v="1"/>
    <x v="6"/>
    <s v="Sneakers"/>
    <n v="6"/>
    <n v="1059.42"/>
    <n v="6356.52"/>
    <n v="0"/>
    <x v="0"/>
    <s v="A. Menon"/>
  </r>
  <r>
    <n v="101712"/>
    <d v="2024-10-09T00:00:00"/>
    <x v="10"/>
    <s v="Neha Malhotra"/>
    <x v="2"/>
    <x v="2"/>
    <x v="5"/>
    <s v="Ceiling Fan"/>
    <n v="7"/>
    <n v="7982.17"/>
    <n v="55875.19"/>
    <n v="0"/>
    <x v="1"/>
    <s v="T. Rana"/>
  </r>
  <r>
    <n v="100183"/>
    <d v="2024-06-07T00:00:00"/>
    <x v="0"/>
    <s v="Vihaan Sharma"/>
    <x v="1"/>
    <x v="9"/>
    <x v="2"/>
    <s v="Geometry Box"/>
    <n v="12"/>
    <n v="350.5"/>
    <n v="4206"/>
    <n v="0.1"/>
    <x v="3"/>
    <s v="P. Trivedi"/>
  </r>
  <r>
    <n v="100989"/>
    <d v="2024-01-29T00:00:00"/>
    <x v="9"/>
    <s v="Rohan Nair"/>
    <x v="2"/>
    <x v="5"/>
    <x v="0"/>
    <s v="Office Chair"/>
    <n v="11"/>
    <n v="4196.28"/>
    <n v="46159.079999999994"/>
    <n v="0"/>
    <x v="5"/>
    <s v="R. Kulkarni"/>
  </r>
  <r>
    <n v="101001"/>
    <d v="2024-01-24T00:00:00"/>
    <x v="9"/>
    <s v="Neha Singh"/>
    <x v="4"/>
    <x v="7"/>
    <x v="6"/>
    <s v="Running Shoes"/>
    <n v="1"/>
    <n v="0"/>
    <n v="0"/>
    <n v="0.25"/>
    <x v="2"/>
    <s v="T. Rana"/>
  </r>
  <r>
    <n v="101642"/>
    <d v="2024-06-02T00:00:00"/>
    <x v="0"/>
    <s v="Krishna Joshi"/>
    <x v="1"/>
    <x v="1"/>
    <x v="6"/>
    <s v="Leather Formal Shoes"/>
    <n v="1"/>
    <n v="2958.9"/>
    <n v="2958.9"/>
    <n v="0"/>
    <x v="4"/>
    <s v="S. Bhat"/>
  </r>
  <r>
    <n v="101357"/>
    <d v="2024-05-07T00:00:00"/>
    <x v="8"/>
    <s v="Vihaan Sharma"/>
    <x v="4"/>
    <x v="4"/>
    <x v="0"/>
    <s v="Sofa 3-Seater"/>
    <n v="6"/>
    <n v="5617.5"/>
    <n v="33705"/>
    <n v="0"/>
    <x v="5"/>
    <s v="K. Iyer"/>
  </r>
  <r>
    <n v="101463"/>
    <d v="2024-01-16T00:00:00"/>
    <x v="9"/>
    <s v="Sai Gupta"/>
    <x v="0"/>
    <x v="0"/>
    <x v="0"/>
    <s v="Bookshelf"/>
    <n v="3"/>
    <n v="5012.57"/>
    <n v="15037.71"/>
    <n v="0.25"/>
    <x v="3"/>
    <s v="A. Menon"/>
  </r>
  <r>
    <n v="100050"/>
    <d v="2024-09-22T00:00:00"/>
    <x v="4"/>
    <s v="Saanvi Rao"/>
    <x v="0"/>
    <x v="8"/>
    <x v="2"/>
    <s v="Geometry Box"/>
    <n v="1"/>
    <n v="0"/>
    <n v="0"/>
    <n v="0"/>
    <x v="2"/>
    <s v="T. Rana"/>
  </r>
  <r>
    <n v="101898"/>
    <d v="2024-02-16T00:00:00"/>
    <x v="11"/>
    <s v="Aadhya Bose"/>
    <x v="4"/>
    <x v="7"/>
    <x v="3"/>
    <s v="Cooking Oil 1L"/>
    <n v="11"/>
    <n v="0"/>
    <n v="0"/>
    <n v="0.25"/>
    <x v="0"/>
    <s v="T. Rana"/>
  </r>
  <r>
    <n v="101030"/>
    <d v="2024-10-21T00:00:00"/>
    <x v="10"/>
    <s v="Krishna Reddy"/>
    <x v="4"/>
    <x v="7"/>
    <x v="2"/>
    <s v="Geometry Box"/>
    <n v="12"/>
    <n v="528.5"/>
    <n v="6342"/>
    <n v="0.05"/>
    <x v="4"/>
    <s v="S. Bhat"/>
  </r>
  <r>
    <n v="100530"/>
    <d v="2024-09-04T00:00:00"/>
    <x v="4"/>
    <s v="Aadhya Singh"/>
    <x v="4"/>
    <x v="7"/>
    <x v="2"/>
    <s v="Notebook Pack"/>
    <n v="11"/>
    <n v="216.46"/>
    <n v="2381.06"/>
    <n v="0"/>
    <x v="5"/>
    <s v="P. Trivedi"/>
  </r>
  <r>
    <n v="101259"/>
    <d v="2024-03-09T00:00:00"/>
    <x v="3"/>
    <s v="Sai Mehta"/>
    <x v="1"/>
    <x v="1"/>
    <x v="0"/>
    <s v="Wooden Dining Table"/>
    <n v="9"/>
    <n v="12870.72"/>
    <n v="115836.48"/>
    <n v="0.1"/>
    <x v="1"/>
    <s v="A. Menon"/>
  </r>
  <r>
    <n v="100487"/>
    <d v="2024-07-05T00:00:00"/>
    <x v="1"/>
    <s v="Krishna Das"/>
    <x v="3"/>
    <x v="3"/>
    <x v="0"/>
    <s v="Study Desk"/>
    <n v="6"/>
    <n v="11909.51"/>
    <n v="71457.06"/>
    <n v="0.2"/>
    <x v="3"/>
    <s v="R. Kulkarni"/>
  </r>
  <r>
    <n v="101974"/>
    <d v="2024-06-07T00:00:00"/>
    <x v="0"/>
    <s v="(Unknown)"/>
    <x v="3"/>
    <x v="3"/>
    <x v="4"/>
    <s v="LED TV 42in"/>
    <n v="6"/>
    <n v="43123.16"/>
    <n v="258738.96000000002"/>
    <n v="0"/>
    <x v="1"/>
    <s v="T. Rana"/>
  </r>
  <r>
    <n v="100498"/>
    <d v="2024-09-01T00:00:00"/>
    <x v="4"/>
    <s v="Riya Bose"/>
    <x v="4"/>
    <x v="7"/>
    <x v="3"/>
    <s v="Basmati Rice 5kg"/>
    <n v="1"/>
    <n v="443.39"/>
    <n v="443.39"/>
    <n v="0"/>
    <x v="3"/>
    <s v="R. Kulkarni"/>
  </r>
  <r>
    <n v="101647"/>
    <d v="2024-07-12T00:00:00"/>
    <x v="1"/>
    <s v="(Unknown)"/>
    <x v="0"/>
    <x v="0"/>
    <x v="4"/>
    <s v="Smartwatch S3"/>
    <n v="2"/>
    <n v="44372.35"/>
    <n v="88744.7"/>
    <n v="0.1"/>
    <x v="4"/>
    <s v="T. Rana"/>
  </r>
  <r>
    <n v="100107"/>
    <d v="2024-06-10T00:00:00"/>
    <x v="0"/>
    <s v="Sai Chopra"/>
    <x v="3"/>
    <x v="3"/>
    <x v="1"/>
    <s v="Formal Shirt"/>
    <n v="11"/>
    <n v="2166.35"/>
    <n v="23829.85"/>
    <n v="0.25"/>
    <x v="1"/>
    <s v="A. Menon"/>
  </r>
  <r>
    <n v="100444"/>
    <d v="2024-08-01T00:00:00"/>
    <x v="5"/>
    <s v="Kiara Patel"/>
    <x v="2"/>
    <x v="5"/>
    <x v="1"/>
    <s v="Winter Sweater"/>
    <n v="8"/>
    <n v="2352.38"/>
    <n v="18819.04"/>
    <n v="0.15"/>
    <x v="4"/>
    <s v="D. Chawla"/>
  </r>
  <r>
    <n v="101513"/>
    <d v="2024-12-12T00:00:00"/>
    <x v="2"/>
    <s v="Ira Mehta"/>
    <x v="0"/>
    <x v="0"/>
    <x v="0"/>
    <s v="Wooden Dining Table"/>
    <n v="4"/>
    <n v="20865.7"/>
    <n v="83462.8"/>
    <n v="0"/>
    <x v="5"/>
    <s v="R. Kulkarni"/>
  </r>
  <r>
    <n v="100647"/>
    <d v="2024-08-16T00:00:00"/>
    <x v="5"/>
    <s v="Reyansh Gupta"/>
    <x v="4"/>
    <x v="7"/>
    <x v="2"/>
    <s v="Notebook Pack"/>
    <n v="8"/>
    <n v="119.06"/>
    <n v="952.48"/>
    <n v="0"/>
    <x v="3"/>
    <s v="R. Kulkarni"/>
  </r>
  <r>
    <n v="101037"/>
    <d v="2024-10-25T00:00:00"/>
    <x v="10"/>
    <s v="Aarav Das"/>
    <x v="4"/>
    <x v="7"/>
    <x v="0"/>
    <s v="Wooden Dining Table"/>
    <n v="8"/>
    <n v="14391.1"/>
    <n v="115128.8"/>
    <n v="0"/>
    <x v="3"/>
    <s v="K. Iyer"/>
  </r>
  <r>
    <n v="101763"/>
    <d v="2024-07-18T00:00:00"/>
    <x v="1"/>
    <s v="Reyansh Agarwal"/>
    <x v="2"/>
    <x v="5"/>
    <x v="4"/>
    <s v="Laptop Air 14"/>
    <n v="-3"/>
    <n v="42138.66"/>
    <n v="-126415.98000000001"/>
    <n v="0.15"/>
    <x v="0"/>
    <s v="A. Menon"/>
  </r>
  <r>
    <n v="100727"/>
    <d v="2024-11-25T00:00:00"/>
    <x v="7"/>
    <s v="Sneha Singh"/>
    <x v="2"/>
    <x v="2"/>
    <x v="3"/>
    <s v="Sugar 1kg"/>
    <n v="6"/>
    <n v="616.85"/>
    <n v="3701.1000000000004"/>
    <n v="0.2"/>
    <x v="4"/>
    <s v="D. Chawla"/>
  </r>
  <r>
    <n v="100191"/>
    <d v="2024-11-13T00:00:00"/>
    <x v="7"/>
    <s v="Sai Pillai"/>
    <x v="0"/>
    <x v="8"/>
    <x v="2"/>
    <s v="Geometry Box"/>
    <n v="5"/>
    <n v="558.99"/>
    <n v="2794.95"/>
    <n v="0.25"/>
    <x v="4"/>
    <s v="M. Ghosh"/>
  </r>
  <r>
    <n v="101789"/>
    <d v="2024-03-23T00:00:00"/>
    <x v="3"/>
    <s v="Arjun Joshi"/>
    <x v="2"/>
    <x v="5"/>
    <x v="4"/>
    <s v="Smartphone X200"/>
    <n v="8"/>
    <n v="11456.26"/>
    <n v="91650.08"/>
    <n v="0.1"/>
    <x v="4"/>
    <s v="R. Kulkarni"/>
  </r>
  <r>
    <n v="101857"/>
    <d v="2024-05-19T00:00:00"/>
    <x v="8"/>
    <s v="Vihaan Patel"/>
    <x v="0"/>
    <x v="0"/>
    <x v="5"/>
    <s v="Microwave Oven"/>
    <n v="8"/>
    <n v="5262.71"/>
    <n v="42101.68"/>
    <n v="0"/>
    <x v="1"/>
    <s v="T. Rana"/>
  </r>
  <r>
    <n v="100283"/>
    <d v="2024-12-10T00:00:00"/>
    <x v="2"/>
    <s v="Arjun Joshi"/>
    <x v="0"/>
    <x v="8"/>
    <x v="5"/>
    <s v="Mixer Grinder"/>
    <n v="4"/>
    <n v="6418.29"/>
    <n v="25673.16"/>
    <n v="0.2"/>
    <x v="3"/>
    <s v="A. Menon"/>
  </r>
  <r>
    <n v="100030"/>
    <d v="2024-07-12T00:00:00"/>
    <x v="1"/>
    <s v="Aadhya Agarwal"/>
    <x v="4"/>
    <x v="4"/>
    <x v="4"/>
    <s v="Smartphone X200"/>
    <n v="7"/>
    <n v="29147.95"/>
    <n v="204035.65"/>
    <n v="0.1"/>
    <x v="3"/>
    <s v="M. Ghosh"/>
  </r>
  <r>
    <n v="100170"/>
    <d v="2024-09-27T00:00:00"/>
    <x v="4"/>
    <s v="Vikram Bose"/>
    <x v="3"/>
    <x v="3"/>
    <x v="4"/>
    <s v="Wireless Earbuds"/>
    <n v="5"/>
    <n v="27107.17"/>
    <n v="135535.84999999998"/>
    <n v="0.15"/>
    <x v="1"/>
    <s v="R. Kulkarni"/>
  </r>
  <r>
    <n v="101002"/>
    <d v="2024-05-05T00:00:00"/>
    <x v="8"/>
    <s v="Rohan Singh"/>
    <x v="4"/>
    <x v="4"/>
    <x v="0"/>
    <s v="Study Desk"/>
    <n v="5"/>
    <n v="24488.69"/>
    <n v="122443.45"/>
    <n v="0.25"/>
    <x v="5"/>
    <s v="P. Trivedi"/>
  </r>
  <r>
    <n v="101205"/>
    <d v="2024-05-24T00:00:00"/>
    <x v="8"/>
    <s v="Vivaan Patel"/>
    <x v="4"/>
    <x v="7"/>
    <x v="2"/>
    <s v="Notebook Pack"/>
    <n v="9"/>
    <n v="330"/>
    <n v="2970"/>
    <n v="0"/>
    <x v="0"/>
    <s v="K. Iyer"/>
  </r>
  <r>
    <n v="100101"/>
    <d v="2024-07-02T00:00:00"/>
    <x v="1"/>
    <s v="Reyansh Gupta"/>
    <x v="0"/>
    <x v="0"/>
    <x v="5"/>
    <s v="Electric Kettle"/>
    <n v="12"/>
    <n v="6012.94"/>
    <n v="72155.28"/>
    <n v="0.2"/>
    <x v="4"/>
    <s v="R. Kulkarni"/>
  </r>
  <r>
    <n v="100198"/>
    <d v="2024-01-08T00:00:00"/>
    <x v="9"/>
    <s v="Riya Gupta"/>
    <x v="2"/>
    <x v="5"/>
    <x v="4"/>
    <s v="Smartwatch S3"/>
    <n v="5"/>
    <n v="15597.09"/>
    <n v="77985.45"/>
    <n v="0"/>
    <x v="0"/>
    <s v="T. Rana"/>
  </r>
  <r>
    <n v="100496"/>
    <d v="2024-01-20T00:00:00"/>
    <x v="9"/>
    <s v="Saanvi Kapoor"/>
    <x v="1"/>
    <x v="9"/>
    <x v="2"/>
    <s v="Gel Pen Set"/>
    <n v="9"/>
    <n v="419.49"/>
    <n v="3775.41"/>
    <n v="0.1"/>
    <x v="2"/>
    <s v="K. Iyer"/>
  </r>
  <r>
    <n v="101746"/>
    <d v="2024-07-14T00:00:00"/>
    <x v="1"/>
    <s v="Pooja Joshi"/>
    <x v="3"/>
    <x v="6"/>
    <x v="0"/>
    <s v="Wooden Dining Table"/>
    <n v="8"/>
    <n v="20425.37"/>
    <n v="163402.96"/>
    <n v="0.15"/>
    <x v="5"/>
    <s v="K. Iyer"/>
  </r>
  <r>
    <n v="100648"/>
    <d v="2024-07-14T00:00:00"/>
    <x v="1"/>
    <s v="Sneha Verma"/>
    <x v="2"/>
    <x v="2"/>
    <x v="4"/>
    <s v="Laptop Air 14"/>
    <n v="4"/>
    <n v="15437.62"/>
    <n v="61750.48"/>
    <n v="0"/>
    <x v="3"/>
    <s v="A. Menon"/>
  </r>
  <r>
    <n v="100988"/>
    <d v="2024-02-06T00:00:00"/>
    <x v="11"/>
    <s v="Saanvi Agarwal"/>
    <x v="3"/>
    <x v="3"/>
    <x v="5"/>
    <s v="Electric Kettle"/>
    <n v="-2"/>
    <n v="11697.84"/>
    <n v="-23395.68"/>
    <n v="0.05"/>
    <x v="4"/>
    <s v="M. Ghosh"/>
  </r>
  <r>
    <n v="100045"/>
    <d v="2024-02-02T00:00:00"/>
    <x v="11"/>
    <s v="Ayaan Rao"/>
    <x v="3"/>
    <x v="6"/>
    <x v="1"/>
    <s v="Formal Shirt"/>
    <n v="3"/>
    <n v="851.27"/>
    <n v="2553.81"/>
    <n v="0.2"/>
    <x v="2"/>
    <s v="R. Kulkarni"/>
  </r>
  <r>
    <n v="101958"/>
    <d v="2024-02-27T00:00:00"/>
    <x v="11"/>
    <s v="Reyansh Nair"/>
    <x v="2"/>
    <x v="2"/>
    <x v="1"/>
    <s v="Women's Kurti"/>
    <n v="12"/>
    <n v="1920.9"/>
    <n v="23050.800000000003"/>
    <n v="0.15"/>
    <x v="0"/>
    <s v="R. Kulkarni"/>
  </r>
  <r>
    <n v="100711"/>
    <d v="2024-08-15T00:00:00"/>
    <x v="5"/>
    <s v="Neha Agarwal"/>
    <x v="4"/>
    <x v="7"/>
    <x v="0"/>
    <s v="Sofa 3-Seater"/>
    <n v="6"/>
    <n v="4900.5200000000004"/>
    <n v="29403.120000000003"/>
    <n v="0.25"/>
    <x v="1"/>
    <s v="R. Kulkarni"/>
  </r>
  <r>
    <n v="100374"/>
    <d v="2024-10-26T00:00:00"/>
    <x v="10"/>
    <s v="Sai Nair"/>
    <x v="0"/>
    <x v="8"/>
    <x v="4"/>
    <s v="LED TV 42in"/>
    <n v="4"/>
    <n v="27390.12"/>
    <n v="109560.48"/>
    <n v="0.1"/>
    <x v="0"/>
    <s v="M. Ghosh"/>
  </r>
  <r>
    <n v="100679"/>
    <d v="2024-07-14T00:00:00"/>
    <x v="1"/>
    <s v="Riya Patel"/>
    <x v="0"/>
    <x v="8"/>
    <x v="4"/>
    <s v="Smartphone X200"/>
    <n v="9"/>
    <n v="39683.47"/>
    <n v="357151.23"/>
    <n v="0"/>
    <x v="4"/>
    <s v="K. Iyer"/>
  </r>
  <r>
    <n v="100567"/>
    <d v="2024-01-20T00:00:00"/>
    <x v="9"/>
    <s v="(Unknown)"/>
    <x v="3"/>
    <x v="3"/>
    <x v="5"/>
    <s v="Ceiling Fan"/>
    <n v="11"/>
    <n v="9190.25"/>
    <n v="101092.75"/>
    <n v="0"/>
    <x v="0"/>
    <s v="M. Ghosh"/>
  </r>
  <r>
    <n v="101673"/>
    <d v="2024-01-15T00:00:00"/>
    <x v="9"/>
    <s v="Riya Das"/>
    <x v="1"/>
    <x v="1"/>
    <x v="5"/>
    <s v="Mixer Grinder"/>
    <n v="7"/>
    <n v="5625.77"/>
    <n v="39380.39"/>
    <n v="0.25"/>
    <x v="2"/>
    <s v="K. Iyer"/>
  </r>
  <r>
    <n v="101822"/>
    <d v="2024-05-22T00:00:00"/>
    <x v="8"/>
    <s v="Karan Bose"/>
    <x v="3"/>
    <x v="6"/>
    <x v="2"/>
    <s v="A4 Paper Ream"/>
    <n v="5"/>
    <n v="262.48"/>
    <n v="1312.4"/>
    <n v="0.25"/>
    <x v="2"/>
    <s v="K. Iyer"/>
  </r>
  <r>
    <n v="100848"/>
    <d v="2024-05-15T00:00:00"/>
    <x v="8"/>
    <s v="Navya Kapoor"/>
    <x v="0"/>
    <x v="0"/>
    <x v="3"/>
    <s v="Cooking Oil 1L"/>
    <n v="10"/>
    <n v="300.07"/>
    <n v="3000.7"/>
    <n v="0.2"/>
    <x v="2"/>
    <s v="S. Bhat"/>
  </r>
  <r>
    <n v="100461"/>
    <d v="2024-10-11T00:00:00"/>
    <x v="10"/>
    <s v="Aarav Kumar"/>
    <x v="2"/>
    <x v="5"/>
    <x v="1"/>
    <s v="Formal Shirt"/>
    <n v="11"/>
    <n v="1968.42"/>
    <n v="21652.620000000003"/>
    <n v="0"/>
    <x v="0"/>
    <s v="T. Rana"/>
  </r>
  <r>
    <n v="101438"/>
    <d v="2024-06-09T00:00:00"/>
    <x v="0"/>
    <s v="Saanvi Mehta"/>
    <x v="0"/>
    <x v="0"/>
    <x v="6"/>
    <s v="Sneakers"/>
    <n v="6"/>
    <n v="3492.66"/>
    <n v="20955.96"/>
    <n v="0.1"/>
    <x v="0"/>
    <s v="D. Chawla"/>
  </r>
  <r>
    <n v="101156"/>
    <d v="2024-05-21T00:00:00"/>
    <x v="8"/>
    <s v="Saanvi Bansal"/>
    <x v="3"/>
    <x v="3"/>
    <x v="0"/>
    <s v="Bookshelf"/>
    <n v="12"/>
    <n v="8508.9"/>
    <n v="102106.79999999999"/>
    <n v="0.1"/>
    <x v="4"/>
    <s v="P. Trivedi"/>
  </r>
  <r>
    <n v="100040"/>
    <d v="2024-11-12T00:00:00"/>
    <x v="7"/>
    <s v="Aadhya Gupta"/>
    <x v="0"/>
    <x v="0"/>
    <x v="5"/>
    <s v="Electric Kettle"/>
    <n v="12"/>
    <n v="3864.32"/>
    <n v="46371.840000000004"/>
    <n v="0.05"/>
    <x v="3"/>
    <s v="D. Chawla"/>
  </r>
  <r>
    <n v="100435"/>
    <d v="2024-12-15T00:00:00"/>
    <x v="2"/>
    <s v="Reyansh Kumar"/>
    <x v="1"/>
    <x v="1"/>
    <x v="3"/>
    <s v="Basmati Rice 5kg"/>
    <n v="10"/>
    <n v="645.97"/>
    <n v="6459.7000000000007"/>
    <n v="0"/>
    <x v="3"/>
    <s v="R. Kulkarni"/>
  </r>
  <r>
    <n v="100974"/>
    <d v="2024-04-21T00:00:00"/>
    <x v="6"/>
    <s v="Aadhya Singh"/>
    <x v="1"/>
    <x v="9"/>
    <x v="4"/>
    <s v="Smartwatch S3"/>
    <n v="2"/>
    <n v="29587.35"/>
    <n v="59174.7"/>
    <n v="0"/>
    <x v="1"/>
    <s v="R. Kulkarni"/>
  </r>
  <r>
    <n v="101240"/>
    <d v="2024-06-07T00:00:00"/>
    <x v="0"/>
    <s v="Myra Kapoor"/>
    <x v="3"/>
    <x v="3"/>
    <x v="2"/>
    <s v="Gel Pen Set"/>
    <n v="5"/>
    <n v="421.81"/>
    <n v="2109.0500000000002"/>
    <n v="0.1"/>
    <x v="5"/>
    <s v="S. Bhat"/>
  </r>
  <r>
    <n v="101008"/>
    <d v="2024-02-19T00:00:00"/>
    <x v="11"/>
    <s v="Myra Chopra"/>
    <x v="0"/>
    <x v="8"/>
    <x v="4"/>
    <s v="Smartphone X200"/>
    <n v="2"/>
    <n v="41210.050000000003"/>
    <n v="82420.100000000006"/>
    <n v="0.05"/>
    <x v="1"/>
    <s v="M. Ghosh"/>
  </r>
  <r>
    <n v="101580"/>
    <d v="2024-06-16T00:00:00"/>
    <x v="0"/>
    <s v="Navya Bansal"/>
    <x v="1"/>
    <x v="9"/>
    <x v="0"/>
    <s v="Study Desk"/>
    <n v="4"/>
    <n v="2978.99"/>
    <n v="11915.96"/>
    <n v="0"/>
    <x v="1"/>
    <s v="S. Bhat"/>
  </r>
  <r>
    <n v="101591"/>
    <d v="2024-11-12T00:00:00"/>
    <x v="7"/>
    <s v="Reyansh Joshi"/>
    <x v="3"/>
    <x v="6"/>
    <x v="6"/>
    <s v="Sandals"/>
    <n v="3"/>
    <n v="2972.54"/>
    <n v="8917.619999999999"/>
    <n v="0.15"/>
    <x v="0"/>
    <s v="R. Kulkarni"/>
  </r>
  <r>
    <n v="101787"/>
    <d v="2024-08-30T00:00:00"/>
    <x v="5"/>
    <s v="Amit Rao"/>
    <x v="2"/>
    <x v="5"/>
    <x v="4"/>
    <s v="Smartwatch S3"/>
    <n v="10"/>
    <n v="35527.22"/>
    <n v="355272.2"/>
    <n v="0.05"/>
    <x v="4"/>
    <s v="A. Menon"/>
  </r>
  <r>
    <n v="101499"/>
    <d v="2024-06-21T00:00:00"/>
    <x v="0"/>
    <s v="Arjun Reddy"/>
    <x v="1"/>
    <x v="9"/>
    <x v="5"/>
    <s v="Mixer Grinder"/>
    <n v="12"/>
    <n v="1292.33"/>
    <n v="15507.96"/>
    <n v="0"/>
    <x v="0"/>
    <s v="D. Chawla"/>
  </r>
  <r>
    <n v="100457"/>
    <d v="2024-06-16T00:00:00"/>
    <x v="0"/>
    <s v="Riya Verma"/>
    <x v="2"/>
    <x v="5"/>
    <x v="5"/>
    <s v="Ceiling Fan"/>
    <n v="7"/>
    <n v="11709.74"/>
    <n v="81968.179999999993"/>
    <n v="0"/>
    <x v="1"/>
    <s v="S. Bhat"/>
  </r>
  <r>
    <n v="101836"/>
    <d v="2024-03-25T00:00:00"/>
    <x v="3"/>
    <s v="Vihaan Nair"/>
    <x v="4"/>
    <x v="7"/>
    <x v="6"/>
    <s v="Running Shoes"/>
    <n v="12"/>
    <n v="3279.51"/>
    <n v="39354.120000000003"/>
    <n v="0.2"/>
    <x v="2"/>
    <s v="T. Rana"/>
  </r>
  <r>
    <n v="100261"/>
    <d v="2024-10-01T00:00:00"/>
    <x v="10"/>
    <s v="Vikram Verma"/>
    <x v="1"/>
    <x v="9"/>
    <x v="6"/>
    <s v="Sandals"/>
    <n v="4"/>
    <n v="1066.23"/>
    <n v="4264.92"/>
    <n v="0"/>
    <x v="1"/>
    <s v="T. Rana"/>
  </r>
  <r>
    <n v="101841"/>
    <d v="2024-05-30T00:00:00"/>
    <x v="8"/>
    <s v="Karan Bose"/>
    <x v="3"/>
    <x v="6"/>
    <x v="4"/>
    <s v="Smartwatch S3"/>
    <n v="5"/>
    <n v="15546.67"/>
    <n v="77733.350000000006"/>
    <n v="0.05"/>
    <x v="4"/>
    <s v="S. Bhat"/>
  </r>
  <r>
    <n v="100036"/>
    <d v="2024-11-04T00:00:00"/>
    <x v="7"/>
    <s v="Karan Reddy"/>
    <x v="0"/>
    <x v="8"/>
    <x v="4"/>
    <s v="Laptop Air 14"/>
    <n v="5"/>
    <n v="0"/>
    <n v="0"/>
    <n v="0.25"/>
    <x v="2"/>
    <s v="A. Menon"/>
  </r>
  <r>
    <n v="100828"/>
    <d v="2024-11-26T00:00:00"/>
    <x v="7"/>
    <s v="Neha Bansal"/>
    <x v="0"/>
    <x v="0"/>
    <x v="6"/>
    <s v="Sandals"/>
    <n v="10"/>
    <n v="3254.76"/>
    <n v="32547.600000000002"/>
    <n v="0"/>
    <x v="2"/>
    <s v="D. Chawla"/>
  </r>
  <r>
    <n v="100310"/>
    <d v="2024-02-28T00:00:00"/>
    <x v="11"/>
    <s v="Kiara Singh"/>
    <x v="4"/>
    <x v="4"/>
    <x v="1"/>
    <s v="Winter Sweater"/>
    <n v="6"/>
    <n v="973.89"/>
    <n v="5843.34"/>
    <n v="0.05"/>
    <x v="5"/>
    <s v="M. Ghosh"/>
  </r>
  <r>
    <n v="100277"/>
    <d v="2024-07-27T00:00:00"/>
    <x v="1"/>
    <s v="Saanvi Malhotra"/>
    <x v="4"/>
    <x v="4"/>
    <x v="1"/>
    <s v="Men's Denim Jacket"/>
    <n v="7"/>
    <n v="2380.2199999999998"/>
    <n v="16661.539999999997"/>
    <n v="0.15"/>
    <x v="5"/>
    <s v="A. Menon"/>
  </r>
  <r>
    <n v="100637"/>
    <d v="2024-10-28T00:00:00"/>
    <x v="10"/>
    <s v="Vikram Rao"/>
    <x v="2"/>
    <x v="5"/>
    <x v="1"/>
    <s v="Kids T-Shirt"/>
    <n v="4"/>
    <n v="2462.66"/>
    <n v="9850.64"/>
    <n v="0.05"/>
    <x v="1"/>
    <s v="K. Iyer"/>
  </r>
  <r>
    <n v="100623"/>
    <d v="2024-07-29T00:00:00"/>
    <x v="1"/>
    <s v="Ira Chopra"/>
    <x v="4"/>
    <x v="4"/>
    <x v="1"/>
    <s v="Winter Sweater"/>
    <n v="4"/>
    <n v="2146.4299999999998"/>
    <n v="8585.7199999999993"/>
    <n v="0"/>
    <x v="2"/>
    <s v="A. Menon"/>
  </r>
  <r>
    <n v="101860"/>
    <d v="2024-11-15T00:00:00"/>
    <x v="7"/>
    <s v="Vivaan Malhotra"/>
    <x v="1"/>
    <x v="9"/>
    <x v="0"/>
    <s v="Bookshelf"/>
    <n v="1"/>
    <n v="11072.64"/>
    <n v="11072.64"/>
    <n v="0.15"/>
    <x v="3"/>
    <s v="R. Kulkarni"/>
  </r>
  <r>
    <n v="100845"/>
    <d v="2024-04-11T00:00:00"/>
    <x v="6"/>
    <s v="Sneha Agarwal"/>
    <x v="4"/>
    <x v="4"/>
    <x v="1"/>
    <s v="Women's Kurti"/>
    <n v="1"/>
    <n v="2387.58"/>
    <n v="2387.58"/>
    <n v="0"/>
    <x v="3"/>
    <s v="R. Kulkarni"/>
  </r>
  <r>
    <n v="100394"/>
    <d v="2024-08-23T00:00:00"/>
    <x v="5"/>
    <s v="(Unknown)"/>
    <x v="1"/>
    <x v="9"/>
    <x v="0"/>
    <s v="Office Chair"/>
    <n v="1"/>
    <n v="2368.88"/>
    <n v="2368.88"/>
    <n v="0"/>
    <x v="5"/>
    <s v="K. Iyer"/>
  </r>
  <r>
    <n v="101770"/>
    <d v="2024-11-02T00:00:00"/>
    <x v="7"/>
    <s v="Anika Iyer"/>
    <x v="2"/>
    <x v="5"/>
    <x v="3"/>
    <s v="Tea Pack 500g"/>
    <n v="3"/>
    <n v="603.29"/>
    <n v="1809.87"/>
    <n v="0"/>
    <x v="2"/>
    <s v="D. Chawla"/>
  </r>
  <r>
    <n v="100108"/>
    <d v="2024-07-24T00:00:00"/>
    <x v="1"/>
    <s v="Nisha Bose"/>
    <x v="0"/>
    <x v="8"/>
    <x v="5"/>
    <s v="Mixer Grinder"/>
    <n v="4"/>
    <n v="9384.16"/>
    <n v="37536.639999999999"/>
    <n v="0.05"/>
    <x v="4"/>
    <s v="T. Rana"/>
  </r>
  <r>
    <n v="100350"/>
    <d v="2024-07-05T00:00:00"/>
    <x v="1"/>
    <s v="Ishaan Das"/>
    <x v="3"/>
    <x v="6"/>
    <x v="2"/>
    <s v="Gel Pen Set"/>
    <n v="4"/>
    <n v="398.84"/>
    <n v="1595.36"/>
    <n v="0"/>
    <x v="2"/>
    <s v="T. Rana"/>
  </r>
  <r>
    <n v="100525"/>
    <d v="2024-08-29T00:00:00"/>
    <x v="5"/>
    <s v="Ira Bansal"/>
    <x v="1"/>
    <x v="9"/>
    <x v="4"/>
    <s v="LED TV 42in"/>
    <n v="7"/>
    <n v="7258.43"/>
    <n v="50809.01"/>
    <n v="0.05"/>
    <x v="3"/>
    <s v="K. Iyer"/>
  </r>
  <r>
    <n v="100785"/>
    <d v="2024-08-04T00:00:00"/>
    <x v="5"/>
    <s v="Vihaan Reddy"/>
    <x v="1"/>
    <x v="1"/>
    <x v="6"/>
    <s v="Sandals"/>
    <n v="6"/>
    <n v="0"/>
    <n v="0"/>
    <n v="0.15"/>
    <x v="0"/>
    <s v="T. Rana"/>
  </r>
  <r>
    <n v="100048"/>
    <d v="2024-07-21T00:00:00"/>
    <x v="1"/>
    <s v="Nisha Bose"/>
    <x v="4"/>
    <x v="4"/>
    <x v="2"/>
    <s v="Notebook Pack"/>
    <n v="4"/>
    <n v="548.49"/>
    <n v="2193.96"/>
    <n v="0.15"/>
    <x v="5"/>
    <s v="S. Bhat"/>
  </r>
  <r>
    <n v="101656"/>
    <d v="2024-09-23T00:00:00"/>
    <x v="4"/>
    <s v="Diya Patel"/>
    <x v="1"/>
    <x v="1"/>
    <x v="1"/>
    <s v="Formal Shirt"/>
    <n v="9"/>
    <n v="1380.07"/>
    <n v="12420.63"/>
    <n v="0.25"/>
    <x v="1"/>
    <s v="D. Chawla"/>
  </r>
  <r>
    <n v="100022"/>
    <d v="2024-12-15T00:00:00"/>
    <x v="2"/>
    <s v="Aarav Verma"/>
    <x v="2"/>
    <x v="2"/>
    <x v="6"/>
    <s v="Leather Formal Shoes"/>
    <n v="10"/>
    <n v="3135.4"/>
    <n v="31354"/>
    <n v="0.05"/>
    <x v="3"/>
    <s v="D. Chawla"/>
  </r>
  <r>
    <n v="100403"/>
    <d v="2024-02-03T00:00:00"/>
    <x v="11"/>
    <s v="Krishna Bansal"/>
    <x v="0"/>
    <x v="0"/>
    <x v="2"/>
    <s v="A4 Paper Ream"/>
    <n v="1"/>
    <n v="558.12"/>
    <n v="558.12"/>
    <n v="0"/>
    <x v="5"/>
    <s v="P. Trivedi"/>
  </r>
  <r>
    <n v="101108"/>
    <d v="2024-01-03T00:00:00"/>
    <x v="9"/>
    <s v="Aditya Das"/>
    <x v="0"/>
    <x v="0"/>
    <x v="0"/>
    <s v="Wooden Dining Table"/>
    <n v="11"/>
    <n v="2939.99"/>
    <n v="32339.89"/>
    <n v="0.2"/>
    <x v="2"/>
    <s v="A. Menon"/>
  </r>
  <r>
    <n v="101155"/>
    <d v="2024-02-27T00:00:00"/>
    <x v="11"/>
    <s v="Krishna Chopra"/>
    <x v="4"/>
    <x v="4"/>
    <x v="4"/>
    <s v="Smartwatch S3"/>
    <n v="1"/>
    <n v="11829.88"/>
    <n v="11829.88"/>
    <n v="0"/>
    <x v="0"/>
    <s v="D. Chawla"/>
  </r>
  <r>
    <n v="101440"/>
    <d v="2024-05-28T00:00:00"/>
    <x v="8"/>
    <s v="(Unknown)"/>
    <x v="0"/>
    <x v="0"/>
    <x v="3"/>
    <s v="Tea Pack 500g"/>
    <n v="9"/>
    <n v="306"/>
    <n v="2754"/>
    <n v="0"/>
    <x v="5"/>
    <s v="T. Rana"/>
  </r>
  <r>
    <n v="100990"/>
    <d v="2024-06-13T00:00:00"/>
    <x v="0"/>
    <s v="Nisha Nair"/>
    <x v="1"/>
    <x v="1"/>
    <x v="4"/>
    <s v="Wireless Earbuds"/>
    <n v="3"/>
    <n v="40095.050000000003"/>
    <n v="120285.15000000001"/>
    <n v="0.15"/>
    <x v="3"/>
    <s v="M. Ghosh"/>
  </r>
  <r>
    <n v="101866"/>
    <d v="2024-12-07T00:00:00"/>
    <x v="2"/>
    <s v="Karan Mehta"/>
    <x v="0"/>
    <x v="8"/>
    <x v="1"/>
    <s v="Winter Sweater"/>
    <n v="6"/>
    <n v="3046.97"/>
    <n v="18281.82"/>
    <n v="0.2"/>
    <x v="1"/>
    <s v="M. Ghosh"/>
  </r>
  <r>
    <n v="100742"/>
    <d v="2024-02-15T00:00:00"/>
    <x v="11"/>
    <s v="Aditya Kapoor"/>
    <x v="3"/>
    <x v="6"/>
    <x v="1"/>
    <s v="Winter Sweater"/>
    <n v="4"/>
    <n v="822.16"/>
    <n v="3288.64"/>
    <n v="0"/>
    <x v="2"/>
    <s v="K. Iyer"/>
  </r>
  <r>
    <n v="101722"/>
    <d v="2024-05-05T00:00:00"/>
    <x v="8"/>
    <s v="Ira Das"/>
    <x v="2"/>
    <x v="2"/>
    <x v="0"/>
    <s v="Office Chair"/>
    <n v="6"/>
    <n v="16140.21"/>
    <n v="96841.26"/>
    <n v="0"/>
    <x v="2"/>
    <s v="K. Iyer"/>
  </r>
  <r>
    <n v="101311"/>
    <d v="2024-08-19T00:00:00"/>
    <x v="5"/>
    <s v="Ira Sharma"/>
    <x v="4"/>
    <x v="7"/>
    <x v="3"/>
    <s v="Wheat Flour 10kg"/>
    <n v="1"/>
    <n v="656.8"/>
    <n v="656.8"/>
    <n v="0"/>
    <x v="3"/>
    <s v="D. Chawla"/>
  </r>
  <r>
    <n v="101148"/>
    <d v="2024-05-29T00:00:00"/>
    <x v="8"/>
    <s v="Ayaan Nair"/>
    <x v="4"/>
    <x v="4"/>
    <x v="4"/>
    <s v="Smartphone X200"/>
    <n v="12"/>
    <n v="35659.120000000003"/>
    <n v="427909.44000000006"/>
    <n v="0"/>
    <x v="1"/>
    <s v="T. Rana"/>
  </r>
  <r>
    <n v="100034"/>
    <d v="2024-01-07T00:00:00"/>
    <x v="9"/>
    <s v="Aditya Agarwal"/>
    <x v="1"/>
    <x v="1"/>
    <x v="5"/>
    <s v="Air Cooler"/>
    <n v="1"/>
    <n v="4056.17"/>
    <n v="4056.17"/>
    <n v="0"/>
    <x v="0"/>
    <s v="M. Ghosh"/>
  </r>
  <r>
    <n v="100788"/>
    <d v="2024-06-28T00:00:00"/>
    <x v="0"/>
    <s v="Amit Bansal"/>
    <x v="2"/>
    <x v="5"/>
    <x v="1"/>
    <s v="Women's Kurti"/>
    <n v="12"/>
    <n v="1927.41"/>
    <n v="23128.920000000002"/>
    <n v="0.15"/>
    <x v="5"/>
    <s v="S. Bhat"/>
  </r>
  <r>
    <n v="101541"/>
    <d v="2024-01-21T00:00:00"/>
    <x v="9"/>
    <s v="Krishna Sharma"/>
    <x v="3"/>
    <x v="6"/>
    <x v="4"/>
    <s v="Laptop Air 14"/>
    <n v="12"/>
    <n v="10493.17"/>
    <n v="125918.04000000001"/>
    <n v="0.2"/>
    <x v="1"/>
    <s v="T. Rana"/>
  </r>
  <r>
    <n v="100924"/>
    <d v="2024-11-30T00:00:00"/>
    <x v="7"/>
    <s v="Neha Sharma"/>
    <x v="1"/>
    <x v="9"/>
    <x v="0"/>
    <s v="Office Chair"/>
    <n v="7"/>
    <n v="10296.48"/>
    <n v="72075.360000000001"/>
    <n v="0.1"/>
    <x v="0"/>
    <s v="M. Ghosh"/>
  </r>
  <r>
    <n v="101044"/>
    <d v="2024-07-15T00:00:00"/>
    <x v="1"/>
    <s v="Aditya Pillai"/>
    <x v="2"/>
    <x v="5"/>
    <x v="2"/>
    <s v="Notebook Pack"/>
    <n v="12"/>
    <n v="203.69"/>
    <n v="2444.2799999999997"/>
    <n v="0.1"/>
    <x v="5"/>
    <s v="T. Rana"/>
  </r>
  <r>
    <n v="101955"/>
    <d v="2024-09-11T00:00:00"/>
    <x v="4"/>
    <s v="Ananya Agarwal"/>
    <x v="2"/>
    <x v="5"/>
    <x v="3"/>
    <s v="Tea Pack 500g"/>
    <n v="2"/>
    <n v="690.52"/>
    <n v="1381.04"/>
    <n v="0"/>
    <x v="3"/>
    <s v="D. Chawla"/>
  </r>
  <r>
    <n v="101244"/>
    <d v="2024-11-18T00:00:00"/>
    <x v="7"/>
    <s v="Rahul Agarwal"/>
    <x v="0"/>
    <x v="8"/>
    <x v="4"/>
    <s v="Laptop Air 14"/>
    <n v="11"/>
    <n v="31798.76"/>
    <n v="349786.36"/>
    <n v="0.15"/>
    <x v="4"/>
    <s v="D. Chawla"/>
  </r>
  <r>
    <n v="101916"/>
    <d v="2024-07-04T00:00:00"/>
    <x v="1"/>
    <s v="Nisha Bansal"/>
    <x v="3"/>
    <x v="6"/>
    <x v="3"/>
    <s v="Basmati Rice 5kg"/>
    <n v="2"/>
    <n v="614.65"/>
    <n v="1229.3"/>
    <n v="0"/>
    <x v="2"/>
    <s v="K. Iyer"/>
  </r>
  <r>
    <n v="100580"/>
    <d v="2024-10-20T00:00:00"/>
    <x v="10"/>
    <s v="Diya Bose"/>
    <x v="0"/>
    <x v="8"/>
    <x v="3"/>
    <s v="Basmati Rice 5kg"/>
    <n v="4"/>
    <n v="618.42999999999995"/>
    <n v="2473.7199999999998"/>
    <n v="0.1"/>
    <x v="3"/>
    <s v="P. Trivedi"/>
  </r>
  <r>
    <n v="100482"/>
    <d v="2024-05-12T00:00:00"/>
    <x v="8"/>
    <s v="Krishna Verma"/>
    <x v="1"/>
    <x v="1"/>
    <x v="0"/>
    <s v="Bookshelf"/>
    <n v="2"/>
    <n v="21811.94"/>
    <n v="43623.88"/>
    <n v="0.15"/>
    <x v="3"/>
    <s v="M. Ghosh"/>
  </r>
  <r>
    <n v="100932"/>
    <d v="2024-12-29T00:00:00"/>
    <x v="2"/>
    <s v="Neha Bose"/>
    <x v="1"/>
    <x v="1"/>
    <x v="2"/>
    <s v="Gel Pen Set"/>
    <n v="12"/>
    <n v="0"/>
    <n v="0"/>
    <n v="0.1"/>
    <x v="4"/>
    <s v="S. Bhat"/>
  </r>
  <r>
    <n v="100357"/>
    <d v="2024-05-08T00:00:00"/>
    <x v="8"/>
    <s v="Anika Kumar"/>
    <x v="1"/>
    <x v="1"/>
    <x v="2"/>
    <s v="A4 Paper Ream"/>
    <n v="6"/>
    <n v="299.81"/>
    <n v="1798.8600000000001"/>
    <n v="0.2"/>
    <x v="5"/>
    <s v="M. Ghosh"/>
  </r>
  <r>
    <n v="101686"/>
    <d v="2024-06-19T00:00:00"/>
    <x v="0"/>
    <s v="Amit Nair"/>
    <x v="3"/>
    <x v="6"/>
    <x v="0"/>
    <s v="Office Chair"/>
    <n v="12"/>
    <n v="11915.87"/>
    <n v="142990.44"/>
    <n v="0"/>
    <x v="2"/>
    <s v="M. Ghosh"/>
  </r>
  <r>
    <n v="101249"/>
    <d v="2024-02-12T00:00:00"/>
    <x v="11"/>
    <s v="Vihaan Rao"/>
    <x v="0"/>
    <x v="0"/>
    <x v="2"/>
    <s v="Gel Pen Set"/>
    <n v="2"/>
    <n v="417.65"/>
    <n v="835.3"/>
    <n v="0.05"/>
    <x v="4"/>
    <s v="A. Menon"/>
  </r>
  <r>
    <n v="100760"/>
    <d v="2024-07-10T00:00:00"/>
    <x v="1"/>
    <s v="Kiara Sharma"/>
    <x v="3"/>
    <x v="3"/>
    <x v="3"/>
    <s v="Sugar 1kg"/>
    <n v="4"/>
    <n v="676.16"/>
    <n v="2704.64"/>
    <n v="0"/>
    <x v="5"/>
    <s v="S. Bhat"/>
  </r>
  <r>
    <n v="100093"/>
    <d v="2024-07-02T00:00:00"/>
    <x v="1"/>
    <s v="Ayaan Pillai"/>
    <x v="4"/>
    <x v="7"/>
    <x v="6"/>
    <s v="Sneakers"/>
    <n v="11"/>
    <n v="3111.57"/>
    <n v="34227.270000000004"/>
    <n v="0"/>
    <x v="3"/>
    <s v="A. Menon"/>
  </r>
  <r>
    <n v="101176"/>
    <d v="2024-04-05T00:00:00"/>
    <x v="6"/>
    <s v="Karan Singh"/>
    <x v="2"/>
    <x v="2"/>
    <x v="4"/>
    <s v="Wireless Earbuds"/>
    <n v="9"/>
    <n v="5264.51"/>
    <n v="47380.590000000004"/>
    <n v="0"/>
    <x v="2"/>
    <s v="D. Chawla"/>
  </r>
  <r>
    <n v="101416"/>
    <d v="2024-04-23T00:00:00"/>
    <x v="6"/>
    <s v="Riya Singh"/>
    <x v="3"/>
    <x v="3"/>
    <x v="5"/>
    <s v="Microwave Oven"/>
    <n v="7"/>
    <n v="5373.21"/>
    <n v="37612.47"/>
    <n v="0.15"/>
    <x v="2"/>
    <s v="M. Ghosh"/>
  </r>
  <r>
    <n v="101342"/>
    <d v="2024-07-09T00:00:00"/>
    <x v="1"/>
    <s v="Nisha Reddy"/>
    <x v="4"/>
    <x v="4"/>
    <x v="0"/>
    <s v="Study Desk"/>
    <n v="4"/>
    <n v="12288.28"/>
    <n v="49153.120000000003"/>
    <n v="0.25"/>
    <x v="5"/>
    <s v="D. Chawla"/>
  </r>
  <r>
    <n v="101473"/>
    <d v="2024-04-16T00:00:00"/>
    <x v="6"/>
    <s v="Ira Bansal"/>
    <x v="4"/>
    <x v="4"/>
    <x v="5"/>
    <s v="Mixer Grinder"/>
    <n v="7"/>
    <n v="11490.58"/>
    <n v="80434.06"/>
    <n v="0.2"/>
    <x v="1"/>
    <s v="T. Rana"/>
  </r>
  <r>
    <n v="100804"/>
    <d v="2024-05-07T00:00:00"/>
    <x v="8"/>
    <s v="Rahul Gupta"/>
    <x v="0"/>
    <x v="0"/>
    <x v="5"/>
    <s v="Air Cooler"/>
    <m/>
    <n v="8280.65"/>
    <n v="0"/>
    <n v="0.05"/>
    <x v="3"/>
    <s v="P. Trivedi"/>
  </r>
  <r>
    <n v="100746"/>
    <d v="2024-06-02T00:00:00"/>
    <x v="0"/>
    <s v="Vivaan Kapoor"/>
    <x v="2"/>
    <x v="2"/>
    <x v="3"/>
    <s v="Wheat Flour 10kg"/>
    <n v="1"/>
    <n v="484.93"/>
    <n v="484.93"/>
    <n v="0.2"/>
    <x v="4"/>
    <s v="D. Chawla"/>
  </r>
  <r>
    <n v="101547"/>
    <d v="2024-07-16T00:00:00"/>
    <x v="1"/>
    <s v="Amit Mehta"/>
    <x v="3"/>
    <x v="3"/>
    <x v="0"/>
    <s v="Office Chair"/>
    <n v="6"/>
    <n v="13167.1"/>
    <n v="79002.600000000006"/>
    <n v="0"/>
    <x v="0"/>
    <s v="P. Trivedi"/>
  </r>
  <r>
    <n v="100280"/>
    <d v="2024-04-09T00:00:00"/>
    <x v="6"/>
    <s v="Ishaan Malhotra"/>
    <x v="3"/>
    <x v="3"/>
    <x v="2"/>
    <s v="Geometry Box"/>
    <n v="8"/>
    <n v="334.74"/>
    <n v="2677.92"/>
    <n v="0"/>
    <x v="5"/>
    <s v="D. Chawla"/>
  </r>
  <r>
    <n v="101608"/>
    <d v="2024-01-02T00:00:00"/>
    <x v="9"/>
    <s v="Vivaan Malhotra"/>
    <x v="0"/>
    <x v="8"/>
    <x v="6"/>
    <s v="Sandals"/>
    <n v="2"/>
    <n v="2046.51"/>
    <n v="4093.02"/>
    <n v="0"/>
    <x v="4"/>
    <s v="S. Bhat"/>
  </r>
  <r>
    <n v="100765"/>
    <d v="2024-11-22T00:00:00"/>
    <x v="7"/>
    <s v="(Unknown)"/>
    <x v="0"/>
    <x v="0"/>
    <x v="4"/>
    <s v="Laptop Air 14"/>
    <n v="7"/>
    <n v="27187.279999999999"/>
    <n v="190310.96"/>
    <n v="0.2"/>
    <x v="1"/>
    <s v="S. Bhat"/>
  </r>
  <r>
    <n v="100605"/>
    <d v="2024-09-29T00:00:00"/>
    <x v="4"/>
    <s v="Ayaan Das"/>
    <x v="2"/>
    <x v="2"/>
    <x v="5"/>
    <s v="Mixer Grinder"/>
    <n v="3"/>
    <n v="3105.32"/>
    <n v="9315.9600000000009"/>
    <n v="0"/>
    <x v="2"/>
    <s v="A. Menon"/>
  </r>
  <r>
    <n v="101469"/>
    <d v="2024-11-09T00:00:00"/>
    <x v="7"/>
    <s v="Karan Agarwal"/>
    <x v="0"/>
    <x v="8"/>
    <x v="6"/>
    <s v="Running Shoes"/>
    <n v="10"/>
    <n v="2724.23"/>
    <n v="27242.3"/>
    <n v="0.15"/>
    <x v="0"/>
    <s v="S. Bhat"/>
  </r>
  <r>
    <n v="101374"/>
    <d v="2024-07-27T00:00:00"/>
    <x v="1"/>
    <s v="Arjun Iyer"/>
    <x v="1"/>
    <x v="1"/>
    <x v="1"/>
    <s v="Formal Shirt"/>
    <n v="5"/>
    <n v="1611.81"/>
    <n v="8059.0499999999993"/>
    <n v="0"/>
    <x v="0"/>
    <s v="S. Bhat"/>
  </r>
  <r>
    <n v="101952"/>
    <d v="2024-08-11T00:00:00"/>
    <x v="5"/>
    <s v="Pooja Agarwal"/>
    <x v="1"/>
    <x v="1"/>
    <x v="5"/>
    <s v="Electric Kettle"/>
    <n v="12"/>
    <n v="10489.81"/>
    <n v="125877.72"/>
    <n v="0.25"/>
    <x v="4"/>
    <s v="S. Bhat"/>
  </r>
  <r>
    <n v="101399"/>
    <d v="2024-03-28T00:00:00"/>
    <x v="3"/>
    <s v="Diya Malhotra"/>
    <x v="4"/>
    <x v="7"/>
    <x v="1"/>
    <s v="Formal Shirt"/>
    <n v="11"/>
    <n v="1235.24"/>
    <n v="13587.64"/>
    <n v="0.25"/>
    <x v="1"/>
    <s v="S. Bhat"/>
  </r>
  <r>
    <n v="100401"/>
    <d v="2024-05-25T00:00:00"/>
    <x v="8"/>
    <s v="Priya Bose"/>
    <x v="2"/>
    <x v="2"/>
    <x v="5"/>
    <s v="Air Cooler"/>
    <n v="7"/>
    <n v="6862.89"/>
    <n v="48040.23"/>
    <n v="0.2"/>
    <x v="3"/>
    <s v="R. Kulkarni"/>
  </r>
  <r>
    <n v="101729"/>
    <d v="2024-02-18T00:00:00"/>
    <x v="11"/>
    <s v="Ananya Reddy"/>
    <x v="2"/>
    <x v="2"/>
    <x v="0"/>
    <s v="Wooden Dining Table"/>
    <n v="4"/>
    <n v="14767.73"/>
    <n v="59070.92"/>
    <n v="0"/>
    <x v="5"/>
    <s v="A. Menon"/>
  </r>
  <r>
    <n v="100258"/>
    <d v="2024-08-25T00:00:00"/>
    <x v="5"/>
    <s v="Pooja Reddy"/>
    <x v="0"/>
    <x v="0"/>
    <x v="2"/>
    <s v="Notebook Pack"/>
    <n v="6"/>
    <n v="184.75"/>
    <n v="1108.5"/>
    <n v="0.05"/>
    <x v="3"/>
    <s v="D. Chawla"/>
  </r>
  <r>
    <n v="100945"/>
    <d v="2024-12-11T00:00:00"/>
    <x v="2"/>
    <s v="Ishaan Singh"/>
    <x v="3"/>
    <x v="3"/>
    <x v="4"/>
    <s v="LED TV 42in"/>
    <n v="7"/>
    <n v="31065.08"/>
    <n v="217455.56"/>
    <n v="0"/>
    <x v="0"/>
    <s v="D. Chawla"/>
  </r>
  <r>
    <n v="101876"/>
    <d v="2024-03-11T00:00:00"/>
    <x v="3"/>
    <s v="Ira Malhotra"/>
    <x v="3"/>
    <x v="3"/>
    <x v="1"/>
    <s v="Kids T-Shirt"/>
    <n v="10"/>
    <n v="2298.85"/>
    <n v="22988.5"/>
    <n v="0.2"/>
    <x v="4"/>
    <s v="D. Chawla"/>
  </r>
  <r>
    <n v="101097"/>
    <d v="2024-01-28T00:00:00"/>
    <x v="9"/>
    <s v="Krishna Malhotra"/>
    <x v="4"/>
    <x v="4"/>
    <x v="5"/>
    <s v="Mixer Grinder"/>
    <n v="4"/>
    <n v="10521.21"/>
    <n v="42084.84"/>
    <n v="0.2"/>
    <x v="2"/>
    <s v="S. Bhat"/>
  </r>
  <r>
    <n v="101220"/>
    <d v="2024-01-31T00:00:00"/>
    <x v="9"/>
    <s v="Sneha Agarwal"/>
    <x v="0"/>
    <x v="0"/>
    <x v="3"/>
    <s v="Basmati Rice 5kg"/>
    <n v="10"/>
    <n v="93.47"/>
    <n v="934.7"/>
    <n v="0.25"/>
    <x v="5"/>
    <s v="R. Kulkarni"/>
  </r>
  <r>
    <n v="101508"/>
    <d v="2024-10-17T00:00:00"/>
    <x v="10"/>
    <s v="Aadhya Mehta"/>
    <x v="2"/>
    <x v="2"/>
    <x v="5"/>
    <s v="Air Cooler"/>
    <n v="9"/>
    <n v="2274.65"/>
    <n v="20471.850000000002"/>
    <n v="0"/>
    <x v="4"/>
    <s v="P. Trivedi"/>
  </r>
  <r>
    <n v="101880"/>
    <d v="2024-02-07T00:00:00"/>
    <x v="11"/>
    <s v="Neha Malhotra"/>
    <x v="1"/>
    <x v="9"/>
    <x v="6"/>
    <s v="Sneakers"/>
    <n v="-2"/>
    <n v="3182.38"/>
    <n v="-6364.76"/>
    <n v="0.05"/>
    <x v="0"/>
    <s v="T. Rana"/>
  </r>
  <r>
    <n v="101162"/>
    <d v="2024-10-13T00:00:00"/>
    <x v="10"/>
    <s v="Ira Mehta"/>
    <x v="3"/>
    <x v="6"/>
    <x v="3"/>
    <s v="Basmati Rice 5kg"/>
    <m/>
    <n v="558.98"/>
    <n v="0"/>
    <n v="0"/>
    <x v="5"/>
    <s v="P. Trivedi"/>
  </r>
  <r>
    <n v="100495"/>
    <d v="2024-02-17T00:00:00"/>
    <x v="11"/>
    <s v="Saanvi Singh"/>
    <x v="3"/>
    <x v="3"/>
    <x v="4"/>
    <s v="Bluetooth Speaker"/>
    <n v="2"/>
    <n v="44822.27"/>
    <n v="89644.54"/>
    <n v="0.15"/>
    <x v="4"/>
    <s v="M. Ghosh"/>
  </r>
  <r>
    <n v="100773"/>
    <d v="2024-09-09T00:00:00"/>
    <x v="4"/>
    <s v="Anika Kapoor"/>
    <x v="1"/>
    <x v="9"/>
    <x v="2"/>
    <s v="Gel Pen Set"/>
    <n v="8"/>
    <n v="72.849999999999994"/>
    <n v="582.79999999999995"/>
    <n v="0"/>
    <x v="2"/>
    <s v="D. Chawla"/>
  </r>
  <r>
    <n v="100551"/>
    <d v="2024-04-14T00:00:00"/>
    <x v="6"/>
    <s v="Krishna Pillai"/>
    <x v="2"/>
    <x v="2"/>
    <x v="4"/>
    <s v="Wireless Earbuds"/>
    <n v="1"/>
    <n v="7916.86"/>
    <n v="7916.86"/>
    <n v="0.2"/>
    <x v="4"/>
    <s v="S. Bhat"/>
  </r>
  <r>
    <n v="101487"/>
    <d v="2024-10-17T00:00:00"/>
    <x v="10"/>
    <s v="Ananya Chopra"/>
    <x v="0"/>
    <x v="0"/>
    <x v="3"/>
    <s v="Basmati Rice 5kg"/>
    <n v="10"/>
    <n v="677.02"/>
    <n v="6770.2"/>
    <n v="0.1"/>
    <x v="4"/>
    <s v="P. Trivedi"/>
  </r>
  <r>
    <n v="100202"/>
    <d v="2024-01-07T00:00:00"/>
    <x v="9"/>
    <s v="Pooja Singh"/>
    <x v="2"/>
    <x v="2"/>
    <x v="4"/>
    <s v="Bluetooth Speaker"/>
    <n v="3"/>
    <n v="24237.94"/>
    <n v="72713.819999999992"/>
    <n v="0"/>
    <x v="4"/>
    <s v="R. Kulkarni"/>
  </r>
  <r>
    <n v="100313"/>
    <d v="2024-05-10T00:00:00"/>
    <x v="8"/>
    <s v="(Unknown)"/>
    <x v="2"/>
    <x v="5"/>
    <x v="5"/>
    <s v="Ceiling Fan"/>
    <n v="8"/>
    <n v="6181.67"/>
    <n v="49453.36"/>
    <n v="0.25"/>
    <x v="3"/>
    <s v="D. Chawla"/>
  </r>
  <r>
    <n v="100291"/>
    <d v="2024-03-23T00:00:00"/>
    <x v="3"/>
    <s v="Arjun Chopra"/>
    <x v="2"/>
    <x v="5"/>
    <x v="6"/>
    <s v="Sneakers"/>
    <n v="8"/>
    <n v="3738.87"/>
    <n v="29910.959999999999"/>
    <n v="0"/>
    <x v="3"/>
    <s v="R. Kulkarni"/>
  </r>
  <r>
    <n v="101985"/>
    <d v="2024-01-16T00:00:00"/>
    <x v="9"/>
    <s v="Arjun Agarwal"/>
    <x v="2"/>
    <x v="5"/>
    <x v="4"/>
    <s v="Smartphone X200"/>
    <n v="10"/>
    <n v="41827.9"/>
    <n v="418279"/>
    <n v="0.25"/>
    <x v="5"/>
    <s v="T. Rana"/>
  </r>
  <r>
    <n v="101214"/>
    <d v="2024-07-23T00:00:00"/>
    <x v="1"/>
    <s v="Pooja Sharma"/>
    <x v="4"/>
    <x v="7"/>
    <x v="4"/>
    <s v="LED TV 42in"/>
    <n v="2"/>
    <n v="33302.26"/>
    <n v="66604.52"/>
    <n v="0"/>
    <x v="5"/>
    <s v="A. Menon"/>
  </r>
  <r>
    <n v="100764"/>
    <d v="2024-07-24T00:00:00"/>
    <x v="1"/>
    <s v="Vikram Chopra"/>
    <x v="0"/>
    <x v="8"/>
    <x v="1"/>
    <s v="Winter Sweater"/>
    <n v="9"/>
    <n v="3214.37"/>
    <n v="28929.329999999998"/>
    <n v="0"/>
    <x v="3"/>
    <s v="A. Menon"/>
  </r>
  <r>
    <n v="101137"/>
    <d v="2024-08-04T00:00:00"/>
    <x v="5"/>
    <s v="Pooja Verma"/>
    <x v="1"/>
    <x v="9"/>
    <x v="4"/>
    <s v="Smartphone X200"/>
    <n v="11"/>
    <n v="11596.66"/>
    <n v="127563.26"/>
    <n v="0"/>
    <x v="0"/>
    <s v="M. Ghosh"/>
  </r>
  <r>
    <n v="100950"/>
    <d v="2024-12-06T00:00:00"/>
    <x v="2"/>
    <s v="Sai Kapoor"/>
    <x v="4"/>
    <x v="4"/>
    <x v="0"/>
    <s v="Wooden Dining Table"/>
    <n v="12"/>
    <n v="23769.61"/>
    <n v="285235.32"/>
    <n v="0"/>
    <x v="4"/>
    <s v="P. Trivedi"/>
  </r>
  <r>
    <n v="100184"/>
    <d v="2024-06-27T00:00:00"/>
    <x v="0"/>
    <s v="Sneha Nair"/>
    <x v="3"/>
    <x v="6"/>
    <x v="2"/>
    <s v="Gel Pen Set"/>
    <n v="9"/>
    <n v="508.45"/>
    <n v="4576.05"/>
    <n v="0"/>
    <x v="0"/>
    <s v="M. Ghosh"/>
  </r>
  <r>
    <n v="101177"/>
    <d v="2024-08-31T00:00:00"/>
    <x v="5"/>
    <s v="Rahul Das"/>
    <x v="4"/>
    <x v="4"/>
    <x v="2"/>
    <s v="Gel Pen Set"/>
    <n v="8"/>
    <n v="221.12"/>
    <n v="1768.96"/>
    <n v="0"/>
    <x v="5"/>
    <s v="T. Rana"/>
  </r>
  <r>
    <n v="101849"/>
    <d v="2024-08-07T00:00:00"/>
    <x v="5"/>
    <s v="Nisha Joshi"/>
    <x v="3"/>
    <x v="6"/>
    <x v="5"/>
    <s v="Mixer Grinder"/>
    <n v="4"/>
    <n v="10673.11"/>
    <n v="42692.44"/>
    <n v="0.15"/>
    <x v="1"/>
    <s v="D. Chawla"/>
  </r>
  <r>
    <n v="101350"/>
    <d v="2024-12-16T00:00:00"/>
    <x v="2"/>
    <s v="Karan Joshi"/>
    <x v="1"/>
    <x v="9"/>
    <x v="6"/>
    <s v="Running Shoes"/>
    <n v="10"/>
    <n v="1383.3"/>
    <n v="13833"/>
    <n v="0.1"/>
    <x v="2"/>
    <s v="S. Bhat"/>
  </r>
  <r>
    <n v="101728"/>
    <d v="2024-10-11T00:00:00"/>
    <x v="10"/>
    <s v="Amit Singh"/>
    <x v="2"/>
    <x v="5"/>
    <x v="3"/>
    <s v="Tea Pack 500g"/>
    <n v="5"/>
    <n v="816.8"/>
    <n v="4084"/>
    <n v="0"/>
    <x v="3"/>
    <s v="D. Chawla"/>
  </r>
  <r>
    <n v="101069"/>
    <d v="2024-05-07T00:00:00"/>
    <x v="8"/>
    <s v="Diya Verma"/>
    <x v="3"/>
    <x v="3"/>
    <x v="1"/>
    <s v="Men's Denim Jacket"/>
    <n v="7"/>
    <n v="2435.61"/>
    <n v="17049.27"/>
    <n v="0.25"/>
    <x v="4"/>
    <s v="A. Menon"/>
  </r>
  <r>
    <n v="101812"/>
    <d v="2024-07-21T00:00:00"/>
    <x v="1"/>
    <s v="Reyansh Singh"/>
    <x v="3"/>
    <x v="6"/>
    <x v="4"/>
    <s v="Laptop Air 14"/>
    <n v="8"/>
    <n v="27934.97"/>
    <n v="223479.76"/>
    <n v="0.2"/>
    <x v="4"/>
    <s v="S. Bhat"/>
  </r>
  <r>
    <n v="101031"/>
    <d v="2024-10-10T00:00:00"/>
    <x v="10"/>
    <s v="Navya Nair"/>
    <x v="3"/>
    <x v="3"/>
    <x v="6"/>
    <s v="Sneakers"/>
    <n v="8"/>
    <n v="4169.3"/>
    <n v="33354.400000000001"/>
    <n v="0.1"/>
    <x v="2"/>
    <s v="K. Iyer"/>
  </r>
  <r>
    <n v="100251"/>
    <d v="2024-06-03T00:00:00"/>
    <x v="0"/>
    <s v="Reyansh Agarwal"/>
    <x v="1"/>
    <x v="1"/>
    <x v="0"/>
    <s v="Study Desk"/>
    <n v="8"/>
    <n v="19604.099999999999"/>
    <n v="156832.79999999999"/>
    <n v="0"/>
    <x v="1"/>
    <s v="S. Bhat"/>
  </r>
  <r>
    <n v="100824"/>
    <d v="2024-01-26T00:00:00"/>
    <x v="9"/>
    <s v="Vihaan Nair"/>
    <x v="3"/>
    <x v="3"/>
    <x v="5"/>
    <s v="Air Cooler"/>
    <n v="11"/>
    <n v="10846.26"/>
    <n v="119308.86"/>
    <n v="0"/>
    <x v="3"/>
    <s v="K. Iyer"/>
  </r>
  <r>
    <n v="101100"/>
    <d v="2024-03-06T00:00:00"/>
    <x v="3"/>
    <s v="Reyansh Pillai"/>
    <x v="3"/>
    <x v="6"/>
    <x v="1"/>
    <s v="Winter Sweater"/>
    <n v="-3"/>
    <n v="2258.3200000000002"/>
    <n v="-6774.9600000000009"/>
    <n v="0.2"/>
    <x v="4"/>
    <s v="D. Chawla"/>
  </r>
  <r>
    <n v="101537"/>
    <d v="2024-12-08T00:00:00"/>
    <x v="2"/>
    <s v="Riya Bansal"/>
    <x v="1"/>
    <x v="1"/>
    <x v="3"/>
    <s v="Basmati Rice 5kg"/>
    <m/>
    <n v="268.39"/>
    <n v="0"/>
    <n v="0.2"/>
    <x v="2"/>
    <s v="D. Chawla"/>
  </r>
  <r>
    <n v="100941"/>
    <d v="2024-11-26T00:00:00"/>
    <x v="7"/>
    <s v="Diya Bansal"/>
    <x v="2"/>
    <x v="5"/>
    <x v="3"/>
    <s v="Wheat Flour 10kg"/>
    <n v="-1"/>
    <n v="103.49"/>
    <n v="-103.49"/>
    <n v="0.25"/>
    <x v="5"/>
    <s v="S. Bhat"/>
  </r>
  <r>
    <n v="100392"/>
    <d v="2024-12-01T00:00:00"/>
    <x v="2"/>
    <s v="Rahul Sharma"/>
    <x v="4"/>
    <x v="7"/>
    <x v="2"/>
    <s v="Geometry Box"/>
    <n v="2"/>
    <n v="412.07"/>
    <n v="824.14"/>
    <n v="0.25"/>
    <x v="3"/>
    <s v="T. Rana"/>
  </r>
  <r>
    <n v="101920"/>
    <d v="2024-06-24T00:00:00"/>
    <x v="0"/>
    <s v="Ananya Bose"/>
    <x v="4"/>
    <x v="7"/>
    <x v="0"/>
    <s v="Office Chair"/>
    <n v="9"/>
    <n v="4607.17"/>
    <n v="41464.53"/>
    <n v="0"/>
    <x v="1"/>
    <s v="M. Ghosh"/>
  </r>
  <r>
    <n v="101457"/>
    <d v="2024-09-06T00:00:00"/>
    <x v="4"/>
    <s v="Ayaan Das"/>
    <x v="0"/>
    <x v="0"/>
    <x v="2"/>
    <s v="Geometry Box"/>
    <n v="9"/>
    <n v="89.43"/>
    <n v="804.87000000000012"/>
    <n v="0.2"/>
    <x v="5"/>
    <s v="T. Rana"/>
  </r>
  <r>
    <n v="101093"/>
    <m/>
    <x v="9"/>
    <s v="(Unknown)"/>
    <x v="1"/>
    <x v="1"/>
    <x v="5"/>
    <s v="Electric Kettle"/>
    <n v="4"/>
    <n v="11041.08"/>
    <n v="44164.32"/>
    <n v="0"/>
    <x v="3"/>
    <s v="P. Trivedi"/>
  </r>
  <r>
    <n v="101192"/>
    <m/>
    <x v="9"/>
    <s v="Kiara Kumar"/>
    <x v="1"/>
    <x v="1"/>
    <x v="3"/>
    <s v="Wheat Flour 10kg"/>
    <n v="4"/>
    <n v="785.11"/>
    <n v="3140.44"/>
    <n v="0"/>
    <x v="0"/>
    <s v="P. Trivedi"/>
  </r>
  <r>
    <n v="100905"/>
    <m/>
    <x v="9"/>
    <s v="Myra Malhotra"/>
    <x v="2"/>
    <x v="5"/>
    <x v="6"/>
    <s v="Sneakers"/>
    <n v="-2"/>
    <n v="0"/>
    <n v="0"/>
    <n v="0.25"/>
    <x v="1"/>
    <s v="M. Ghosh"/>
  </r>
  <r>
    <n v="100731"/>
    <m/>
    <x v="9"/>
    <s v="Rohan Nair"/>
    <x v="0"/>
    <x v="8"/>
    <x v="3"/>
    <s v="Wheat Flour 10kg"/>
    <n v="1"/>
    <n v="169.59"/>
    <n v="169.59"/>
    <n v="0"/>
    <x v="5"/>
    <s v="D. Chawla"/>
  </r>
  <r>
    <n v="100555"/>
    <m/>
    <x v="9"/>
    <s v="Ananya Singh"/>
    <x v="2"/>
    <x v="5"/>
    <x v="6"/>
    <s v="Sandals"/>
    <n v="6"/>
    <n v="2755.08"/>
    <n v="16530.48"/>
    <n v="0"/>
    <x v="0"/>
    <s v="D. Chawla"/>
  </r>
  <r>
    <n v="100367"/>
    <m/>
    <x v="9"/>
    <s v="Kiara Sharma"/>
    <x v="0"/>
    <x v="0"/>
    <x v="2"/>
    <s v="Geometry Box"/>
    <n v="7"/>
    <n v="584.05999999999995"/>
    <n v="4088.4199999999996"/>
    <n v="0"/>
    <x v="5"/>
    <s v="K. Iyer"/>
  </r>
  <r>
    <n v="100346"/>
    <m/>
    <x v="9"/>
    <s v="Nisha Bansal"/>
    <x v="2"/>
    <x v="5"/>
    <x v="6"/>
    <s v="Sandals"/>
    <n v="12"/>
    <n v="2293.3000000000002"/>
    <n v="27519.600000000002"/>
    <n v="0.05"/>
    <x v="1"/>
    <s v="A. Menon"/>
  </r>
  <r>
    <n v="101609"/>
    <m/>
    <x v="9"/>
    <s v="(Unknown)"/>
    <x v="1"/>
    <x v="9"/>
    <x v="4"/>
    <s v="Wireless Earbuds"/>
    <n v="6"/>
    <n v="19779.95"/>
    <n v="118679.70000000001"/>
    <n v="0"/>
    <x v="4"/>
    <s v="A. Menon"/>
  </r>
  <r>
    <n v="100536"/>
    <m/>
    <x v="9"/>
    <s v="Vivaan Sharma"/>
    <x v="4"/>
    <x v="7"/>
    <x v="1"/>
    <s v="Women's Kurti"/>
    <n v="12"/>
    <n v="3454.17"/>
    <n v="41450.04"/>
    <n v="0.15"/>
    <x v="4"/>
    <s v="T. Rana"/>
  </r>
  <r>
    <n v="101423"/>
    <m/>
    <x v="9"/>
    <s v="Diya Joshi"/>
    <x v="4"/>
    <x v="7"/>
    <x v="5"/>
    <s v="Air Cooler"/>
    <n v="6"/>
    <n v="8105.09"/>
    <n v="48630.54"/>
    <n v="0"/>
    <x v="5"/>
    <s v="R. Kulkarni"/>
  </r>
  <r>
    <n v="101210"/>
    <m/>
    <x v="9"/>
    <s v="Sai Patel"/>
    <x v="2"/>
    <x v="2"/>
    <x v="6"/>
    <s v="Leather Formal Shoes"/>
    <n v="12"/>
    <n v="2200.46"/>
    <n v="26405.52"/>
    <n v="0.05"/>
    <x v="2"/>
    <s v="R. Kulkarni"/>
  </r>
  <r>
    <n v="101373"/>
    <m/>
    <x v="9"/>
    <s v="Pooja Iyer"/>
    <x v="3"/>
    <x v="3"/>
    <x v="5"/>
    <s v="Ceiling Fan"/>
    <n v="9"/>
    <n v="0"/>
    <n v="0"/>
    <n v="0.05"/>
    <x v="4"/>
    <s v="T. Rana"/>
  </r>
  <r>
    <n v="101640"/>
    <m/>
    <x v="9"/>
    <s v="Ira Chopra"/>
    <x v="1"/>
    <x v="1"/>
    <x v="1"/>
    <s v="Kids T-Shirt"/>
    <n v="1"/>
    <n v="3376.13"/>
    <n v="3376.13"/>
    <n v="0"/>
    <x v="2"/>
    <s v="D. Chawla"/>
  </r>
  <r>
    <n v="100920"/>
    <m/>
    <x v="9"/>
    <s v="Diya Pillai"/>
    <x v="2"/>
    <x v="5"/>
    <x v="2"/>
    <s v="A4 Paper Ream"/>
    <n v="5"/>
    <n v="396.05"/>
    <n v="1980.25"/>
    <n v="0"/>
    <x v="1"/>
    <s v="A. Menon"/>
  </r>
  <r>
    <n v="100212"/>
    <m/>
    <x v="9"/>
    <s v="Anika Kapoor"/>
    <x v="0"/>
    <x v="0"/>
    <x v="1"/>
    <s v="Kids T-Shirt"/>
    <n v="5"/>
    <n v="1926.26"/>
    <n v="9631.2999999999993"/>
    <n v="0.1"/>
    <x v="4"/>
    <s v="K. Iyer"/>
  </r>
  <r>
    <n v="101604"/>
    <m/>
    <x v="9"/>
    <s v="Kiara Rao"/>
    <x v="0"/>
    <x v="8"/>
    <x v="5"/>
    <s v="Microwave Oven"/>
    <n v="8"/>
    <n v="1443.44"/>
    <n v="11547.52"/>
    <n v="0"/>
    <x v="3"/>
    <s v="S. Bhat"/>
  </r>
  <r>
    <n v="100503"/>
    <m/>
    <x v="9"/>
    <s v="Saanvi Bose"/>
    <x v="3"/>
    <x v="3"/>
    <x v="0"/>
    <s v="Wooden Dining Table"/>
    <n v="12"/>
    <n v="10092.94"/>
    <n v="121115.28"/>
    <n v="0"/>
    <x v="2"/>
    <s v="M. Ghosh"/>
  </r>
  <r>
    <n v="100538"/>
    <m/>
    <x v="9"/>
    <s v="Myra Malhotra"/>
    <x v="4"/>
    <x v="7"/>
    <x v="4"/>
    <s v="Bluetooth Speaker"/>
    <n v="7"/>
    <n v="37669.019999999997"/>
    <n v="263683.13999999996"/>
    <n v="0"/>
    <x v="1"/>
    <s v="M. Ghosh"/>
  </r>
  <r>
    <n v="101221"/>
    <m/>
    <x v="9"/>
    <s v="Karan Patel"/>
    <x v="1"/>
    <x v="1"/>
    <x v="4"/>
    <s v="Bluetooth Speaker"/>
    <n v="1"/>
    <n v="16076.09"/>
    <n v="16076.09"/>
    <n v="0"/>
    <x v="0"/>
    <s v="K. Iyer"/>
  </r>
  <r>
    <n v="100176"/>
    <m/>
    <x v="9"/>
    <s v="Vikram Kapoor"/>
    <x v="4"/>
    <x v="4"/>
    <x v="5"/>
    <s v="Electric Kettle"/>
    <n v="11"/>
    <n v="7685.69"/>
    <n v="84542.59"/>
    <n v="0"/>
    <x v="2"/>
    <s v="K. Iyer"/>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r>
    <m/>
    <m/>
    <x v="12"/>
    <m/>
    <x v="5"/>
    <x v="10"/>
    <x v="7"/>
    <m/>
    <m/>
    <m/>
    <m/>
    <m/>
    <x v="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ABE102-4EB9-4902-8A42-F2EE0513499A}" name="PivotTable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1:C13" firstHeaderRow="0" firstDataRow="1" firstDataCol="1"/>
  <pivotFields count="14">
    <pivotField dataField="1" compact="0" numFmtId="1" outline="0" showAll="0"/>
    <pivotField compact="0" outline="0" showAll="0"/>
    <pivotField axis="axisRow" compact="0" outline="0" showAll="0">
      <items count="14">
        <item x="9"/>
        <item x="11"/>
        <item x="3"/>
        <item x="6"/>
        <item x="8"/>
        <item x="0"/>
        <item x="1"/>
        <item x="5"/>
        <item x="4"/>
        <item x="10"/>
        <item x="7"/>
        <item x="2"/>
        <item h="1" x="12"/>
        <item t="default"/>
      </items>
    </pivotField>
    <pivotField compact="0" outline="0" showAll="0"/>
    <pivotField compact="0" outline="0" showAll="0">
      <items count="10">
        <item x="0"/>
        <item m="1" x="8"/>
        <item x="3"/>
        <item m="1" x="6"/>
        <item x="4"/>
        <item x="1"/>
        <item m="1" x="7"/>
        <item x="2"/>
        <item x="5"/>
        <item t="default"/>
      </items>
    </pivotField>
    <pivotField compact="0" outline="0" showAll="0"/>
    <pivotField compact="0" outline="0" showAll="0">
      <items count="11">
        <item x="1"/>
        <item x="4"/>
        <item m="1" x="8"/>
        <item x="6"/>
        <item m="1" x="9"/>
        <item x="0"/>
        <item x="3"/>
        <item x="5"/>
        <item x="2"/>
        <item x="7"/>
        <item t="default"/>
      </items>
    </pivotField>
    <pivotField compact="0" outline="0" showAll="0"/>
    <pivotField compact="0" outline="0" showAll="0"/>
    <pivotField compact="0" numFmtId="2" outline="0" showAll="0"/>
    <pivotField dataField="1" compact="0" numFmtId="2" outline="0" showAll="0"/>
    <pivotField compact="0" outline="0" showAll="0"/>
    <pivotField compact="0" outline="0" showAll="0"/>
    <pivotField compact="0" outline="0" showAl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Amount" fld="10" baseField="0" baseItem="0" numFmtId="2"/>
    <dataField name="Count of Orders" fld="0"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A07E9F-E2F7-4D98-873E-DC90DBA8C8CC}" name="PivotTable2"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7" firstHeaderRow="1" firstDataRow="1" firstDataCol="1"/>
  <pivotFields count="14">
    <pivotField compact="0" numFmtId="1" outline="0" showAll="0"/>
    <pivotField compact="0" outline="0" showAll="0"/>
    <pivotField compact="0" outline="0" showAll="0">
      <items count="14">
        <item x="9"/>
        <item x="11"/>
        <item x="3"/>
        <item x="6"/>
        <item x="8"/>
        <item x="0"/>
        <item x="1"/>
        <item x="5"/>
        <item x="4"/>
        <item x="10"/>
        <item x="7"/>
        <item x="2"/>
        <item h="1" x="12"/>
        <item t="default"/>
      </items>
    </pivotField>
    <pivotField compact="0" outline="0" showAll="0"/>
    <pivotField axis="axisRow" compact="0" outline="0" showAll="0">
      <items count="10">
        <item x="0"/>
        <item m="1" x="8"/>
        <item x="3"/>
        <item m="1" x="6"/>
        <item x="4"/>
        <item x="1"/>
        <item m="1" x="7"/>
        <item x="2"/>
        <item x="5"/>
        <item t="default"/>
      </items>
    </pivotField>
    <pivotField compact="0" outline="0" showAll="0"/>
    <pivotField compact="0" outline="0" showAll="0">
      <items count="11">
        <item x="1"/>
        <item x="4"/>
        <item m="1" x="8"/>
        <item x="6"/>
        <item m="1" x="9"/>
        <item x="0"/>
        <item x="3"/>
        <item x="5"/>
        <item x="2"/>
        <item x="7"/>
        <item t="default"/>
      </items>
    </pivotField>
    <pivotField compact="0" outline="0" showAll="0"/>
    <pivotField compact="0" outline="0" showAll="0"/>
    <pivotField compact="0" numFmtId="2" outline="0" showAll="0"/>
    <pivotField dataField="1" compact="0" numFmtId="2" outline="0" showAll="0"/>
    <pivotField compact="0" outline="0" showAll="0"/>
    <pivotField compact="0" outline="0" showAll="0"/>
    <pivotField compact="0" outline="0" showAll="0"/>
  </pivotFields>
  <rowFields count="1">
    <field x="4"/>
  </rowFields>
  <rowItems count="6">
    <i>
      <x/>
    </i>
    <i>
      <x v="2"/>
    </i>
    <i>
      <x v="4"/>
    </i>
    <i>
      <x v="5"/>
    </i>
    <i>
      <x v="7"/>
    </i>
    <i t="grand">
      <x/>
    </i>
  </rowItems>
  <colItems count="1">
    <i/>
  </colItems>
  <dataFields count="1">
    <dataField name="Sum of Total Amount" fld="10" baseField="0" baseItem="0" numFmtId="2"/>
  </dataFields>
  <chartFormats count="3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4"/>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5"/>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2" format="8">
      <pivotArea type="data" outline="0" fieldPosition="0">
        <references count="2">
          <reference field="4294967294" count="1" selected="0">
            <x v="0"/>
          </reference>
          <reference field="4" count="1" selected="0">
            <x v="4"/>
          </reference>
        </references>
      </pivotArea>
    </chartFormat>
    <chartFormat chart="2" format="9">
      <pivotArea type="data" outline="0" fieldPosition="0">
        <references count="2">
          <reference field="4294967294" count="1" selected="0">
            <x v="0"/>
          </reference>
          <reference field="4" count="1" selected="0">
            <x v="5"/>
          </reference>
        </references>
      </pivotArea>
    </chartFormat>
    <chartFormat chart="2" format="10">
      <pivotArea type="data" outline="0" fieldPosition="0">
        <references count="2">
          <reference field="4294967294" count="1" selected="0">
            <x v="0"/>
          </reference>
          <reference field="4" count="1" selected="0">
            <x v="7"/>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4"/>
          </reference>
        </references>
      </pivotArea>
    </chartFormat>
    <chartFormat chart="3" format="15">
      <pivotArea type="data" outline="0" fieldPosition="0">
        <references count="2">
          <reference field="4294967294" count="1" selected="0">
            <x v="0"/>
          </reference>
          <reference field="4" count="1" selected="0">
            <x v="5"/>
          </reference>
        </references>
      </pivotArea>
    </chartFormat>
    <chartFormat chart="3" format="16">
      <pivotArea type="data" outline="0" fieldPosition="0">
        <references count="2">
          <reference field="4294967294" count="1" selected="0">
            <x v="0"/>
          </reference>
          <reference field="4" count="1" selected="0">
            <x v="7"/>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4" count="1" selected="0">
            <x v="0"/>
          </reference>
        </references>
      </pivotArea>
    </chartFormat>
    <chartFormat chart="4" format="19">
      <pivotArea type="data" outline="0" fieldPosition="0">
        <references count="2">
          <reference field="4294967294" count="1" selected="0">
            <x v="0"/>
          </reference>
          <reference field="4" count="1" selected="0">
            <x v="2"/>
          </reference>
        </references>
      </pivotArea>
    </chartFormat>
    <chartFormat chart="4" format="20">
      <pivotArea type="data" outline="0" fieldPosition="0">
        <references count="2">
          <reference field="4294967294" count="1" selected="0">
            <x v="0"/>
          </reference>
          <reference field="4" count="1" selected="0">
            <x v="4"/>
          </reference>
        </references>
      </pivotArea>
    </chartFormat>
    <chartFormat chart="4" format="21">
      <pivotArea type="data" outline="0" fieldPosition="0">
        <references count="2">
          <reference field="4294967294" count="1" selected="0">
            <x v="0"/>
          </reference>
          <reference field="4" count="1" selected="0">
            <x v="5"/>
          </reference>
        </references>
      </pivotArea>
    </chartFormat>
    <chartFormat chart="4" format="22">
      <pivotArea type="data" outline="0" fieldPosition="0">
        <references count="2">
          <reference field="4294967294" count="1" selected="0">
            <x v="0"/>
          </reference>
          <reference field="4" count="1" selected="0">
            <x v="7"/>
          </reference>
        </references>
      </pivotArea>
    </chartFormat>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4" count="1" selected="0">
            <x v="0"/>
          </reference>
        </references>
      </pivotArea>
    </chartFormat>
    <chartFormat chart="5" format="25">
      <pivotArea type="data" outline="0" fieldPosition="0">
        <references count="2">
          <reference field="4294967294" count="1" selected="0">
            <x v="0"/>
          </reference>
          <reference field="4" count="1" selected="0">
            <x v="2"/>
          </reference>
        </references>
      </pivotArea>
    </chartFormat>
    <chartFormat chart="5" format="26">
      <pivotArea type="data" outline="0" fieldPosition="0">
        <references count="2">
          <reference field="4294967294" count="1" selected="0">
            <x v="0"/>
          </reference>
          <reference field="4" count="1" selected="0">
            <x v="4"/>
          </reference>
        </references>
      </pivotArea>
    </chartFormat>
    <chartFormat chart="5" format="27">
      <pivotArea type="data" outline="0" fieldPosition="0">
        <references count="2">
          <reference field="4294967294" count="1" selected="0">
            <x v="0"/>
          </reference>
          <reference field="4" count="1" selected="0">
            <x v="5"/>
          </reference>
        </references>
      </pivotArea>
    </chartFormat>
    <chartFormat chart="5" format="28">
      <pivotArea type="data" outline="0" fieldPosition="0">
        <references count="2">
          <reference field="4294967294" count="1" selected="0">
            <x v="0"/>
          </reference>
          <reference field="4" count="1" selected="0">
            <x v="7"/>
          </reference>
        </references>
      </pivotArea>
    </chartFormat>
    <chartFormat chart="1" format="5">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357402-619A-4AA9-B3B8-7CAA71C33A72}" name="PivotTable3"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10" firstHeaderRow="1" firstDataRow="1" firstDataCol="1"/>
  <pivotFields count="14">
    <pivotField compact="0" numFmtId="1" outline="0" showAll="0"/>
    <pivotField compact="0" outline="0" showAll="0"/>
    <pivotField compact="0" outline="0" showAll="0">
      <items count="14">
        <item x="9"/>
        <item x="11"/>
        <item x="3"/>
        <item x="6"/>
        <item x="8"/>
        <item x="0"/>
        <item x="1"/>
        <item x="5"/>
        <item x="4"/>
        <item x="10"/>
        <item x="7"/>
        <item x="2"/>
        <item h="1" x="12"/>
        <item t="default"/>
      </items>
    </pivotField>
    <pivotField compact="0" outline="0" showAll="0"/>
    <pivotField compact="0" outline="0" showAll="0">
      <items count="10">
        <item x="0"/>
        <item m="1" x="8"/>
        <item x="3"/>
        <item m="1" x="6"/>
        <item x="4"/>
        <item x="1"/>
        <item m="1" x="7"/>
        <item x="2"/>
        <item x="5"/>
        <item t="default"/>
      </items>
    </pivotField>
    <pivotField compact="0" outline="0" showAll="0"/>
    <pivotField compact="0" outline="0" showAll="0">
      <items count="11">
        <item x="1"/>
        <item x="4"/>
        <item m="1" x="8"/>
        <item x="6"/>
        <item m="1" x="9"/>
        <item x="0"/>
        <item x="3"/>
        <item x="5"/>
        <item x="2"/>
        <item x="7"/>
        <item t="default"/>
      </items>
    </pivotField>
    <pivotField compact="0" outline="0" showAll="0"/>
    <pivotField compact="0" outline="0" showAll="0"/>
    <pivotField compact="0" numFmtId="2" outline="0" showAll="0"/>
    <pivotField dataField="1" compact="0" numFmtId="2" outline="0" showAll="0"/>
    <pivotField compact="0" outline="0" showAll="0"/>
    <pivotField axis="axisRow" compact="0" outline="0" showAll="0">
      <items count="8">
        <item x="1"/>
        <item x="3"/>
        <item x="0"/>
        <item x="2"/>
        <item x="4"/>
        <item x="5"/>
        <item x="6"/>
        <item t="default"/>
      </items>
    </pivotField>
    <pivotField compact="0" outline="0" showAll="0"/>
  </pivotFields>
  <rowFields count="1">
    <field x="12"/>
  </rowFields>
  <rowItems count="7">
    <i>
      <x/>
    </i>
    <i>
      <x v="1"/>
    </i>
    <i>
      <x v="2"/>
    </i>
    <i>
      <x v="3"/>
    </i>
    <i>
      <x v="4"/>
    </i>
    <i>
      <x v="5"/>
    </i>
    <i t="grand">
      <x/>
    </i>
  </rowItems>
  <colItems count="1">
    <i/>
  </colItems>
  <dataFields count="1">
    <dataField name="Sum of Total Amount" fld="10" baseField="0" baseItem="0" numFmtId="2"/>
  </dataFields>
  <chartFormats count="3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1" format="6">
      <pivotArea type="data" outline="0" fieldPosition="0">
        <references count="2">
          <reference field="4294967294" count="1" selected="0">
            <x v="0"/>
          </reference>
          <reference field="12" count="1" selected="0">
            <x v="4"/>
          </reference>
        </references>
      </pivotArea>
    </chartFormat>
    <chartFormat chart="1" format="7">
      <pivotArea type="data" outline="0" fieldPosition="0">
        <references count="2">
          <reference field="4294967294" count="1" selected="0">
            <x v="0"/>
          </reference>
          <reference field="12"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 chart="2" format="12">
      <pivotArea type="data" outline="0" fieldPosition="0">
        <references count="2">
          <reference field="4294967294" count="1" selected="0">
            <x v="0"/>
          </reference>
          <reference field="12" count="1" selected="0">
            <x v="3"/>
          </reference>
        </references>
      </pivotArea>
    </chartFormat>
    <chartFormat chart="2" format="13">
      <pivotArea type="data" outline="0" fieldPosition="0">
        <references count="2">
          <reference field="4294967294" count="1" selected="0">
            <x v="0"/>
          </reference>
          <reference field="12" count="1" selected="0">
            <x v="4"/>
          </reference>
        </references>
      </pivotArea>
    </chartFormat>
    <chartFormat chart="2" format="14">
      <pivotArea type="data" outline="0" fieldPosition="0">
        <references count="2">
          <reference field="4294967294" count="1" selected="0">
            <x v="0"/>
          </reference>
          <reference field="12" count="1" selected="0">
            <x v="5"/>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2" count="1" selected="0">
            <x v="0"/>
          </reference>
        </references>
      </pivotArea>
    </chartFormat>
    <chartFormat chart="3" format="17">
      <pivotArea type="data" outline="0" fieldPosition="0">
        <references count="2">
          <reference field="4294967294" count="1" selected="0">
            <x v="0"/>
          </reference>
          <reference field="12" count="1" selected="0">
            <x v="1"/>
          </reference>
        </references>
      </pivotArea>
    </chartFormat>
    <chartFormat chart="3" format="18">
      <pivotArea type="data" outline="0" fieldPosition="0">
        <references count="2">
          <reference field="4294967294" count="1" selected="0">
            <x v="0"/>
          </reference>
          <reference field="12" count="1" selected="0">
            <x v="2"/>
          </reference>
        </references>
      </pivotArea>
    </chartFormat>
    <chartFormat chart="3" format="19">
      <pivotArea type="data" outline="0" fieldPosition="0">
        <references count="2">
          <reference field="4294967294" count="1" selected="0">
            <x v="0"/>
          </reference>
          <reference field="12" count="1" selected="0">
            <x v="3"/>
          </reference>
        </references>
      </pivotArea>
    </chartFormat>
    <chartFormat chart="3" format="20">
      <pivotArea type="data" outline="0" fieldPosition="0">
        <references count="2">
          <reference field="4294967294" count="1" selected="0">
            <x v="0"/>
          </reference>
          <reference field="12" count="1" selected="0">
            <x v="4"/>
          </reference>
        </references>
      </pivotArea>
    </chartFormat>
    <chartFormat chart="3" format="21">
      <pivotArea type="data" outline="0" fieldPosition="0">
        <references count="2">
          <reference field="4294967294" count="1" selected="0">
            <x v="0"/>
          </reference>
          <reference field="12" count="1" selected="0">
            <x v="5"/>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2" count="1" selected="0">
            <x v="0"/>
          </reference>
        </references>
      </pivotArea>
    </chartFormat>
    <chartFormat chart="4" format="24">
      <pivotArea type="data" outline="0" fieldPosition="0">
        <references count="2">
          <reference field="4294967294" count="1" selected="0">
            <x v="0"/>
          </reference>
          <reference field="12" count="1" selected="0">
            <x v="1"/>
          </reference>
        </references>
      </pivotArea>
    </chartFormat>
    <chartFormat chart="4" format="25">
      <pivotArea type="data" outline="0" fieldPosition="0">
        <references count="2">
          <reference field="4294967294" count="1" selected="0">
            <x v="0"/>
          </reference>
          <reference field="12" count="1" selected="0">
            <x v="2"/>
          </reference>
        </references>
      </pivotArea>
    </chartFormat>
    <chartFormat chart="4" format="26">
      <pivotArea type="data" outline="0" fieldPosition="0">
        <references count="2">
          <reference field="4294967294" count="1" selected="0">
            <x v="0"/>
          </reference>
          <reference field="12" count="1" selected="0">
            <x v="3"/>
          </reference>
        </references>
      </pivotArea>
    </chartFormat>
    <chartFormat chart="4" format="27">
      <pivotArea type="data" outline="0" fieldPosition="0">
        <references count="2">
          <reference field="4294967294" count="1" selected="0">
            <x v="0"/>
          </reference>
          <reference field="12" count="1" selected="0">
            <x v="4"/>
          </reference>
        </references>
      </pivotArea>
    </chartFormat>
    <chartFormat chart="4" format="28">
      <pivotArea type="data" outline="0" fieldPosition="0">
        <references count="2">
          <reference field="4294967294" count="1" selected="0">
            <x v="0"/>
          </reference>
          <reference field="12" count="1" selected="0">
            <x v="5"/>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B53AC-E794-48D8-80A2-1E59FFBCDDF0}"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9" firstHeaderRow="1" firstDataRow="1" firstDataCol="1"/>
  <pivotFields count="14">
    <pivotField compact="0" numFmtId="1" outline="0" showAll="0"/>
    <pivotField compact="0" outline="0" showAll="0"/>
    <pivotField compact="0" outline="0" showAll="0">
      <items count="14">
        <item x="9"/>
        <item x="11"/>
        <item x="3"/>
        <item x="6"/>
        <item x="8"/>
        <item x="0"/>
        <item x="1"/>
        <item x="5"/>
        <item x="4"/>
        <item x="10"/>
        <item x="7"/>
        <item x="2"/>
        <item h="1" x="12"/>
        <item t="default"/>
      </items>
    </pivotField>
    <pivotField compact="0" outline="0" showAll="0"/>
    <pivotField compact="0" outline="0" showAll="0">
      <items count="10">
        <item x="0"/>
        <item m="1" x="8"/>
        <item x="3"/>
        <item m="1" x="6"/>
        <item x="4"/>
        <item x="1"/>
        <item m="1" x="7"/>
        <item x="2"/>
        <item x="5"/>
        <item t="default"/>
      </items>
    </pivotField>
    <pivotField axis="axisRow" compact="0" outline="0" showAll="0" measureFilter="1">
      <items count="12">
        <item x="1"/>
        <item x="0"/>
        <item x="6"/>
        <item x="4"/>
        <item x="9"/>
        <item x="7"/>
        <item x="3"/>
        <item x="2"/>
        <item x="8"/>
        <item x="5"/>
        <item x="10"/>
        <item t="default"/>
      </items>
    </pivotField>
    <pivotField compact="0" outline="0" showAll="0">
      <items count="11">
        <item x="1"/>
        <item x="4"/>
        <item m="1" x="8"/>
        <item x="6"/>
        <item m="1" x="9"/>
        <item x="0"/>
        <item x="3"/>
        <item x="5"/>
        <item x="2"/>
        <item x="7"/>
        <item t="default"/>
      </items>
    </pivotField>
    <pivotField compact="0" outline="0" showAll="0"/>
    <pivotField compact="0" outline="0" showAll="0"/>
    <pivotField compact="0" numFmtId="2" outline="0" showAll="0"/>
    <pivotField dataField="1" compact="0" numFmtId="2" outline="0" showAll="0"/>
    <pivotField compact="0" outline="0" showAll="0"/>
    <pivotField compact="0" outline="0" showAll="0"/>
    <pivotField compact="0" outline="0" showAll="0"/>
  </pivotFields>
  <rowFields count="1">
    <field x="5"/>
  </rowFields>
  <rowItems count="6">
    <i>
      <x/>
    </i>
    <i>
      <x v="3"/>
    </i>
    <i>
      <x v="6"/>
    </i>
    <i>
      <x v="7"/>
    </i>
    <i>
      <x v="8"/>
    </i>
    <i t="grand">
      <x/>
    </i>
  </rowItems>
  <colItems count="1">
    <i/>
  </colItems>
  <dataFields count="1">
    <dataField name="Sum of Total Amount" fld="10" baseField="0" baseItem="0" numFmtId="2"/>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6"/>
          </reference>
        </references>
      </pivotArea>
    </chartFormat>
    <chartFormat chart="0" format="3" series="1">
      <pivotArea type="data" outline="0" fieldPosition="0">
        <references count="2">
          <reference field="4294967294" count="1" selected="0">
            <x v="0"/>
          </reference>
          <reference field="5" count="1" selected="0">
            <x v="7"/>
          </reference>
        </references>
      </pivotArea>
    </chartFormat>
    <chartFormat chart="0" format="4" series="1">
      <pivotArea type="data" outline="0" fieldPosition="0">
        <references count="2">
          <reference field="4294967294" count="1" selected="0">
            <x v="0"/>
          </reference>
          <reference field="5" count="1" selected="0">
            <x v="8"/>
          </reference>
        </references>
      </pivotArea>
    </chartFormat>
    <chartFormat chart="1"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C8552B-58FE-488D-901F-E678C525A09C}"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11" firstHeaderRow="1" firstDataRow="1" firstDataCol="1"/>
  <pivotFields count="14">
    <pivotField compact="0" numFmtId="1" outline="0" showAll="0"/>
    <pivotField compact="0" outline="0" showAll="0"/>
    <pivotField compact="0" outline="0" showAll="0">
      <items count="14">
        <item x="9"/>
        <item x="11"/>
        <item x="3"/>
        <item x="6"/>
        <item x="8"/>
        <item x="0"/>
        <item x="1"/>
        <item x="5"/>
        <item x="4"/>
        <item x="10"/>
        <item x="7"/>
        <item x="2"/>
        <item h="1" x="12"/>
        <item t="default"/>
      </items>
    </pivotField>
    <pivotField compact="0" outline="0" showAll="0"/>
    <pivotField compact="0" outline="0" showAll="0">
      <items count="10">
        <item x="0"/>
        <item m="1" x="8"/>
        <item x="3"/>
        <item m="1" x="6"/>
        <item x="4"/>
        <item x="1"/>
        <item m="1" x="7"/>
        <item x="2"/>
        <item x="5"/>
        <item t="default"/>
      </items>
    </pivotField>
    <pivotField compact="0" outline="0" showAll="0"/>
    <pivotField axis="axisRow" compact="0" outline="0" showAll="0">
      <items count="11">
        <item x="1"/>
        <item x="4"/>
        <item m="1" x="8"/>
        <item x="6"/>
        <item m="1" x="9"/>
        <item x="0"/>
        <item x="3"/>
        <item x="5"/>
        <item x="2"/>
        <item x="7"/>
        <item t="default"/>
      </items>
    </pivotField>
    <pivotField compact="0" outline="0" showAll="0"/>
    <pivotField dataField="1" compact="0" outline="0" showAll="0"/>
    <pivotField compact="0" numFmtId="2" outline="0" showAll="0"/>
    <pivotField compact="0" numFmtId="2" outline="0" showAll="0"/>
    <pivotField compact="0" outline="0" showAll="0"/>
    <pivotField compact="0" outline="0" showAll="0"/>
    <pivotField compact="0" outline="0" showAll="0"/>
  </pivotFields>
  <rowFields count="1">
    <field x="6"/>
  </rowFields>
  <rowItems count="8">
    <i>
      <x/>
    </i>
    <i>
      <x v="1"/>
    </i>
    <i>
      <x v="3"/>
    </i>
    <i>
      <x v="5"/>
    </i>
    <i>
      <x v="6"/>
    </i>
    <i>
      <x v="7"/>
    </i>
    <i>
      <x v="8"/>
    </i>
    <i t="grand">
      <x/>
    </i>
  </rowItems>
  <colItems count="1">
    <i/>
  </colItems>
  <dataFields count="1">
    <dataField name="Sum of Quantity" fld="8" baseField="0" baseItem="0"/>
  </dataFields>
  <chartFormats count="4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5"/>
          </reference>
        </references>
      </pivotArea>
    </chartFormat>
    <chartFormat chart="1" format="6">
      <pivotArea type="data" outline="0" fieldPosition="0">
        <references count="2">
          <reference field="4294967294" count="1" selected="0">
            <x v="0"/>
          </reference>
          <reference field="6" count="1" selected="0">
            <x v="6"/>
          </reference>
        </references>
      </pivotArea>
    </chartFormat>
    <chartFormat chart="1" format="7">
      <pivotArea type="data" outline="0" fieldPosition="0">
        <references count="2">
          <reference field="4294967294" count="1" selected="0">
            <x v="0"/>
          </reference>
          <reference field="6" count="1" selected="0">
            <x v="7"/>
          </reference>
        </references>
      </pivotArea>
    </chartFormat>
    <chartFormat chart="1" format="8">
      <pivotArea type="data" outline="0" fieldPosition="0">
        <references count="2">
          <reference field="4294967294" count="1" selected="0">
            <x v="0"/>
          </reference>
          <reference field="6" count="1" selected="0">
            <x v="8"/>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6" count="1" selected="0">
            <x v="0"/>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5"/>
          </reference>
        </references>
      </pivotArea>
    </chartFormat>
    <chartFormat chart="2" format="14">
      <pivotArea type="data" outline="0" fieldPosition="0">
        <references count="2">
          <reference field="4294967294" count="1" selected="0">
            <x v="0"/>
          </reference>
          <reference field="6" count="1" selected="0">
            <x v="6"/>
          </reference>
        </references>
      </pivotArea>
    </chartFormat>
    <chartFormat chart="2" format="15">
      <pivotArea type="data" outline="0" fieldPosition="0">
        <references count="2">
          <reference field="4294967294" count="1" selected="0">
            <x v="0"/>
          </reference>
          <reference field="6" count="1" selected="0">
            <x v="7"/>
          </reference>
        </references>
      </pivotArea>
    </chartFormat>
    <chartFormat chart="2" format="16">
      <pivotArea type="data" outline="0" fieldPosition="0">
        <references count="2">
          <reference field="4294967294" count="1" selected="0">
            <x v="0"/>
          </reference>
          <reference field="6" count="1" selected="0">
            <x v="8"/>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6" count="1" selected="0">
            <x v="0"/>
          </reference>
        </references>
      </pivotArea>
    </chartFormat>
    <chartFormat chart="3" format="19">
      <pivotArea type="data" outline="0" fieldPosition="0">
        <references count="2">
          <reference field="4294967294" count="1" selected="0">
            <x v="0"/>
          </reference>
          <reference field="6" count="1" selected="0">
            <x v="1"/>
          </reference>
        </references>
      </pivotArea>
    </chartFormat>
    <chartFormat chart="3" format="20">
      <pivotArea type="data" outline="0" fieldPosition="0">
        <references count="2">
          <reference field="4294967294" count="1" selected="0">
            <x v="0"/>
          </reference>
          <reference field="6" count="1" selected="0">
            <x v="3"/>
          </reference>
        </references>
      </pivotArea>
    </chartFormat>
    <chartFormat chart="3" format="21">
      <pivotArea type="data" outline="0" fieldPosition="0">
        <references count="2">
          <reference field="4294967294" count="1" selected="0">
            <x v="0"/>
          </reference>
          <reference field="6" count="1" selected="0">
            <x v="5"/>
          </reference>
        </references>
      </pivotArea>
    </chartFormat>
    <chartFormat chart="3" format="22">
      <pivotArea type="data" outline="0" fieldPosition="0">
        <references count="2">
          <reference field="4294967294" count="1" selected="0">
            <x v="0"/>
          </reference>
          <reference field="6" count="1" selected="0">
            <x v="6"/>
          </reference>
        </references>
      </pivotArea>
    </chartFormat>
    <chartFormat chart="3" format="23">
      <pivotArea type="data" outline="0" fieldPosition="0">
        <references count="2">
          <reference field="4294967294" count="1" selected="0">
            <x v="0"/>
          </reference>
          <reference field="6" count="1" selected="0">
            <x v="7"/>
          </reference>
        </references>
      </pivotArea>
    </chartFormat>
    <chartFormat chart="3" format="24">
      <pivotArea type="data" outline="0" fieldPosition="0">
        <references count="2">
          <reference field="4294967294" count="1" selected="0">
            <x v="0"/>
          </reference>
          <reference field="6" count="1" selected="0">
            <x v="8"/>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6" count="1" selected="0">
            <x v="0"/>
          </reference>
        </references>
      </pivotArea>
    </chartFormat>
    <chartFormat chart="4" format="27">
      <pivotArea type="data" outline="0" fieldPosition="0">
        <references count="2">
          <reference field="4294967294" count="1" selected="0">
            <x v="0"/>
          </reference>
          <reference field="6" count="1" selected="0">
            <x v="1"/>
          </reference>
        </references>
      </pivotArea>
    </chartFormat>
    <chartFormat chart="4" format="28">
      <pivotArea type="data" outline="0" fieldPosition="0">
        <references count="2">
          <reference field="4294967294" count="1" selected="0">
            <x v="0"/>
          </reference>
          <reference field="6" count="1" selected="0">
            <x v="3"/>
          </reference>
        </references>
      </pivotArea>
    </chartFormat>
    <chartFormat chart="4" format="29">
      <pivotArea type="data" outline="0" fieldPosition="0">
        <references count="2">
          <reference field="4294967294" count="1" selected="0">
            <x v="0"/>
          </reference>
          <reference field="6" count="1" selected="0">
            <x v="5"/>
          </reference>
        </references>
      </pivotArea>
    </chartFormat>
    <chartFormat chart="4" format="30">
      <pivotArea type="data" outline="0" fieldPosition="0">
        <references count="2">
          <reference field="4294967294" count="1" selected="0">
            <x v="0"/>
          </reference>
          <reference field="6" count="1" selected="0">
            <x v="6"/>
          </reference>
        </references>
      </pivotArea>
    </chartFormat>
    <chartFormat chart="4" format="31">
      <pivotArea type="data" outline="0" fieldPosition="0">
        <references count="2">
          <reference field="4294967294" count="1" selected="0">
            <x v="0"/>
          </reference>
          <reference field="6" count="1" selected="0">
            <x v="7"/>
          </reference>
        </references>
      </pivotArea>
    </chartFormat>
    <chartFormat chart="4" format="32">
      <pivotArea type="data" outline="0" fieldPosition="0">
        <references count="2">
          <reference field="4294967294" count="1" selected="0">
            <x v="0"/>
          </reference>
          <reference field="6" count="1" selected="0">
            <x v="8"/>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6"/>
          </reference>
        </references>
      </pivotArea>
    </chartFormat>
    <chartFormat chart="0" format="6">
      <pivotArea type="data" outline="0" fieldPosition="0">
        <references count="2">
          <reference field="4294967294" count="1" selected="0">
            <x v="0"/>
          </reference>
          <reference field="6" count="1" selected="0">
            <x v="7"/>
          </reference>
        </references>
      </pivotArea>
    </chartFormat>
    <chartFormat chart="0" format="7">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421D0AA-60DA-0E49-AEBB-E693463DEC8A}" sourceName="Month">
  <pivotTables>
    <pivotTable tabId="4" name="PivotTable1"/>
    <pivotTable tabId="6" name="PivotTable3"/>
    <pivotTable tabId="5" name="PivotTable2"/>
    <pivotTable tabId="7" name="PivotTable4"/>
    <pivotTable tabId="8" name="PivotTable1"/>
  </pivotTables>
  <data>
    <tabular pivotCacheId="893713557">
      <items count="13">
        <i x="9" s="1"/>
        <i x="11" s="1"/>
        <i x="3" s="1"/>
        <i x="6" s="1"/>
        <i x="8" s="1"/>
        <i x="0" s="1"/>
        <i x="1" s="1"/>
        <i x="5" s="1"/>
        <i x="4" s="1"/>
        <i x="10" s="1"/>
        <i x="7" s="1"/>
        <i x="2" s="1"/>
        <i x="1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8A51A9-9C7E-CD4E-9685-6FFF7CAAE894}" sourceName="Region">
  <pivotTables>
    <pivotTable tabId="4" name="PivotTable1"/>
    <pivotTable tabId="6" name="PivotTable3"/>
    <pivotTable tabId="5" name="PivotTable2"/>
    <pivotTable tabId="8" name="PivotTable1"/>
    <pivotTable tabId="7" name="PivotTable4"/>
  </pivotTables>
  <data>
    <tabular pivotCacheId="893713557">
      <items count="9">
        <i x="0" s="1"/>
        <i x="3" s="1"/>
        <i x="4" s="1"/>
        <i x="1" s="1"/>
        <i x="2" s="1"/>
        <i x="8" s="1" nd="1"/>
        <i x="6" s="1" nd="1"/>
        <i x="7"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6F20136-503B-4A4D-9D6D-8D124CC0B87A}" sourceName="Product Category">
  <pivotTables>
    <pivotTable tabId="6" name="PivotTable3"/>
    <pivotTable tabId="5" name="PivotTable2"/>
    <pivotTable tabId="4" name="PivotTable1"/>
    <pivotTable tabId="8" name="PivotTable1"/>
    <pivotTable tabId="7" name="PivotTable4"/>
  </pivotTables>
  <data>
    <tabular pivotCacheId="893713557">
      <items count="10">
        <i x="1" s="1"/>
        <i x="4" s="1"/>
        <i x="6" s="1"/>
        <i x="0" s="1"/>
        <i x="3" s="1"/>
        <i x="5" s="1"/>
        <i x="2" s="1"/>
        <i x="8" s="1" nd="1"/>
        <i x="9"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E46267E-D497-DF49-94C3-718F2B5AF775}" cache="Slicer_Month" caption="Month" rowHeight="230716"/>
  <slicer name="Region" xr10:uid="{F846C5A7-CF2E-7844-AD29-30A35E3F5B3D}" cache="Slicer_Region" caption="Region" columnCount="5" rowHeight="230716"/>
  <slicer name="Product Category" xr10:uid="{92C05F78-EBFA-AA46-8623-D40AE492E322}" cache="Slicer_Product_Category" caption="Product Category" rowHeight="230716"/>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FAB7-11C8-45FA-927B-2A360FF3E065}">
  <dimension ref="A1:L2036"/>
  <sheetViews>
    <sheetView workbookViewId="0">
      <selection activeCell="N7" sqref="N7"/>
    </sheetView>
  </sheetViews>
  <sheetFormatPr baseColWidth="10" defaultColWidth="8.83203125" defaultRowHeight="15" x14ac:dyDescent="0.2"/>
  <cols>
    <col min="1" max="1" width="9.5" bestFit="1" customWidth="1"/>
    <col min="2" max="2" width="12" bestFit="1" customWidth="1"/>
    <col min="3" max="3" width="18.5" bestFit="1" customWidth="1"/>
    <col min="4" max="4" width="9.5" bestFit="1" customWidth="1"/>
    <col min="5" max="5" width="17.1640625" bestFit="1" customWidth="1"/>
    <col min="6" max="6" width="18.83203125" bestFit="1" customWidth="1"/>
    <col min="7" max="7" width="19.33203125" bestFit="1" customWidth="1"/>
    <col min="8" max="8" width="9.5" bestFit="1" customWidth="1"/>
    <col min="9" max="9" width="11.83203125" bestFit="1" customWidth="1"/>
    <col min="10" max="10" width="10" bestFit="1" customWidth="1"/>
    <col min="11" max="11" width="18" bestFit="1" customWidth="1"/>
    <col min="12" max="12" width="11.1640625" bestFit="1" customWidth="1"/>
  </cols>
  <sheetData>
    <row r="1" spans="1:12" x14ac:dyDescent="0.2">
      <c r="A1" s="3" t="s">
        <v>0</v>
      </c>
      <c r="B1" s="3" t="s">
        <v>1</v>
      </c>
      <c r="C1" s="3" t="s">
        <v>2</v>
      </c>
      <c r="D1" s="3" t="s">
        <v>3</v>
      </c>
      <c r="E1" s="3" t="s">
        <v>4</v>
      </c>
      <c r="F1" s="3" t="s">
        <v>5</v>
      </c>
      <c r="G1" s="3" t="s">
        <v>6</v>
      </c>
      <c r="H1" s="3" t="s">
        <v>7</v>
      </c>
      <c r="I1" s="3" t="s">
        <v>8</v>
      </c>
      <c r="J1" s="3" t="s">
        <v>9</v>
      </c>
      <c r="K1" s="3" t="s">
        <v>10</v>
      </c>
      <c r="L1" s="3" t="s">
        <v>11</v>
      </c>
    </row>
    <row r="2" spans="1:12" x14ac:dyDescent="0.2">
      <c r="A2" s="2">
        <v>100197</v>
      </c>
      <c r="B2" s="17">
        <v>45452</v>
      </c>
      <c r="C2" s="2" t="s">
        <v>12</v>
      </c>
      <c r="D2" s="2" t="s">
        <v>13</v>
      </c>
      <c r="E2" s="2" t="s">
        <v>14</v>
      </c>
      <c r="F2" s="2" t="s">
        <v>15</v>
      </c>
      <c r="G2" s="2" t="s">
        <v>16</v>
      </c>
      <c r="H2" s="2">
        <v>12</v>
      </c>
      <c r="I2" s="2">
        <v>23820.37</v>
      </c>
      <c r="J2" s="2">
        <v>0</v>
      </c>
      <c r="K2" s="2" t="s">
        <v>17</v>
      </c>
      <c r="L2" s="2" t="s">
        <v>18</v>
      </c>
    </row>
    <row r="3" spans="1:12" x14ac:dyDescent="0.2">
      <c r="A3" s="2">
        <v>101557</v>
      </c>
      <c r="B3" s="17">
        <v>45494</v>
      </c>
      <c r="C3" s="2" t="s">
        <v>19</v>
      </c>
      <c r="D3" s="2" t="s">
        <v>20</v>
      </c>
      <c r="E3" s="2" t="s">
        <v>21</v>
      </c>
      <c r="F3" s="2" t="s">
        <v>22</v>
      </c>
      <c r="G3" s="2" t="s">
        <v>23</v>
      </c>
      <c r="H3" s="2">
        <v>9</v>
      </c>
      <c r="I3" s="2">
        <v>2886.71</v>
      </c>
      <c r="J3" s="2">
        <v>20</v>
      </c>
      <c r="K3" s="2" t="s">
        <v>24</v>
      </c>
      <c r="L3" s="2" t="s">
        <v>25</v>
      </c>
    </row>
    <row r="4" spans="1:12" x14ac:dyDescent="0.2">
      <c r="A4" s="2">
        <v>100573</v>
      </c>
      <c r="B4" s="17">
        <v>45642</v>
      </c>
      <c r="C4" s="2" t="s">
        <v>26</v>
      </c>
      <c r="D4" s="2" t="s">
        <v>27</v>
      </c>
      <c r="E4" s="2" t="s">
        <v>21</v>
      </c>
      <c r="F4" s="2" t="s">
        <v>28</v>
      </c>
      <c r="G4" s="2" t="s">
        <v>16</v>
      </c>
      <c r="H4" s="2">
        <v>7</v>
      </c>
      <c r="I4" s="2">
        <v>13577.31</v>
      </c>
      <c r="J4" s="2">
        <v>5</v>
      </c>
      <c r="K4" s="2" t="s">
        <v>29</v>
      </c>
      <c r="L4" s="2" t="s">
        <v>25</v>
      </c>
    </row>
    <row r="5" spans="1:12" x14ac:dyDescent="0.2">
      <c r="A5" s="2">
        <v>101717</v>
      </c>
      <c r="B5" s="18">
        <v>45381</v>
      </c>
      <c r="C5" s="2" t="s">
        <v>30</v>
      </c>
      <c r="D5" s="2" t="s">
        <v>31</v>
      </c>
      <c r="E5" s="2" t="s">
        <v>32</v>
      </c>
      <c r="F5" s="2" t="s">
        <v>33</v>
      </c>
      <c r="G5" s="2" t="s">
        <v>34</v>
      </c>
      <c r="H5" s="2">
        <v>2</v>
      </c>
      <c r="I5" s="2">
        <v>404.01</v>
      </c>
      <c r="J5" s="2">
        <v>0.15</v>
      </c>
      <c r="K5" s="2" t="s">
        <v>17</v>
      </c>
      <c r="L5" s="2" t="s">
        <v>35</v>
      </c>
    </row>
    <row r="6" spans="1:12" x14ac:dyDescent="0.2">
      <c r="A6" s="2">
        <v>100201</v>
      </c>
      <c r="B6" s="18">
        <v>45553</v>
      </c>
      <c r="C6" s="2" t="s">
        <v>36</v>
      </c>
      <c r="D6" s="2" t="s">
        <v>37</v>
      </c>
      <c r="E6" s="2" t="s">
        <v>38</v>
      </c>
      <c r="F6" s="2" t="s">
        <v>39</v>
      </c>
      <c r="G6" s="2" t="s">
        <v>40</v>
      </c>
      <c r="H6" s="2">
        <v>10</v>
      </c>
      <c r="I6" s="2">
        <v>787.21</v>
      </c>
      <c r="J6" s="2">
        <v>0</v>
      </c>
      <c r="K6" s="2" t="s">
        <v>41</v>
      </c>
      <c r="L6" s="2" t="s">
        <v>42</v>
      </c>
    </row>
    <row r="7" spans="1:12" x14ac:dyDescent="0.2">
      <c r="A7" s="2">
        <v>101949</v>
      </c>
      <c r="B7" s="18">
        <v>45352</v>
      </c>
      <c r="C7" s="2" t="s">
        <v>43</v>
      </c>
      <c r="D7" s="2" t="s">
        <v>44</v>
      </c>
      <c r="E7" s="2" t="s">
        <v>32</v>
      </c>
      <c r="F7" s="2" t="s">
        <v>45</v>
      </c>
      <c r="G7" s="2" t="s">
        <v>46</v>
      </c>
      <c r="H7" s="2">
        <v>6</v>
      </c>
      <c r="I7" s="2">
        <v>30540.06</v>
      </c>
      <c r="J7" s="2">
        <v>0</v>
      </c>
      <c r="K7" s="2" t="s">
        <v>41</v>
      </c>
      <c r="L7" s="2" t="s">
        <v>18</v>
      </c>
    </row>
    <row r="8" spans="1:12" x14ac:dyDescent="0.2">
      <c r="A8" s="2">
        <v>100913</v>
      </c>
      <c r="B8" s="17">
        <v>45475</v>
      </c>
      <c r="C8" s="2" t="s">
        <v>47</v>
      </c>
      <c r="D8" s="2" t="s">
        <v>48</v>
      </c>
      <c r="E8" s="2" t="s">
        <v>49</v>
      </c>
      <c r="F8" s="2" t="s">
        <v>50</v>
      </c>
      <c r="G8" s="2" t="s">
        <v>51</v>
      </c>
      <c r="H8" s="2">
        <v>6</v>
      </c>
      <c r="I8" s="2">
        <v>7665.27</v>
      </c>
      <c r="J8" s="2">
        <v>0.15</v>
      </c>
      <c r="K8" s="2" t="s">
        <v>17</v>
      </c>
      <c r="L8" s="2" t="s">
        <v>52</v>
      </c>
    </row>
    <row r="9" spans="1:12" x14ac:dyDescent="0.2">
      <c r="A9" s="2">
        <v>100842</v>
      </c>
      <c r="B9" s="17">
        <v>45507</v>
      </c>
      <c r="C9" s="2" t="s">
        <v>53</v>
      </c>
      <c r="D9" s="2" t="s">
        <v>31</v>
      </c>
      <c r="E9" s="2" t="s">
        <v>54</v>
      </c>
      <c r="F9" s="2" t="s">
        <v>55</v>
      </c>
      <c r="G9" s="2" t="s">
        <v>56</v>
      </c>
      <c r="H9" s="2">
        <v>12</v>
      </c>
      <c r="I9" s="2">
        <v>3717.1</v>
      </c>
      <c r="J9" s="2">
        <v>0.2</v>
      </c>
      <c r="K9" s="2" t="s">
        <v>17</v>
      </c>
      <c r="L9" s="2" t="s">
        <v>42</v>
      </c>
    </row>
    <row r="10" spans="1:12" x14ac:dyDescent="0.2">
      <c r="A10" s="2">
        <v>100475</v>
      </c>
      <c r="B10" s="17">
        <v>45403</v>
      </c>
      <c r="C10" s="2" t="s">
        <v>57</v>
      </c>
      <c r="D10" s="2" t="s">
        <v>58</v>
      </c>
      <c r="E10" s="2" t="s">
        <v>38</v>
      </c>
      <c r="F10" s="2" t="s">
        <v>28</v>
      </c>
      <c r="G10" s="2" t="s">
        <v>59</v>
      </c>
      <c r="H10" s="2">
        <v>1</v>
      </c>
      <c r="I10" s="2"/>
      <c r="J10" s="2">
        <v>0.05</v>
      </c>
      <c r="K10" s="2" t="s">
        <v>17</v>
      </c>
      <c r="L10" s="2" t="s">
        <v>52</v>
      </c>
    </row>
    <row r="11" spans="1:12" x14ac:dyDescent="0.2">
      <c r="A11" s="2">
        <v>100373</v>
      </c>
      <c r="B11" s="18">
        <v>45609</v>
      </c>
      <c r="C11" s="2" t="s">
        <v>60</v>
      </c>
      <c r="D11" s="2" t="s">
        <v>61</v>
      </c>
      <c r="E11" s="2" t="s">
        <v>14</v>
      </c>
      <c r="F11" s="2" t="s">
        <v>55</v>
      </c>
      <c r="G11" s="2" t="s">
        <v>62</v>
      </c>
      <c r="H11" s="2">
        <v>10</v>
      </c>
      <c r="I11" s="2">
        <v>1963.72</v>
      </c>
      <c r="J11" s="2">
        <v>0.25</v>
      </c>
      <c r="K11" s="2" t="s">
        <v>41</v>
      </c>
      <c r="L11" s="2" t="s">
        <v>35</v>
      </c>
    </row>
    <row r="12" spans="1:12" x14ac:dyDescent="0.2">
      <c r="A12" s="2">
        <v>101445</v>
      </c>
      <c r="B12" s="18">
        <v>45511</v>
      </c>
      <c r="C12" s="2" t="s">
        <v>63</v>
      </c>
      <c r="D12" s="2" t="s">
        <v>58</v>
      </c>
      <c r="E12" s="2" t="s">
        <v>38</v>
      </c>
      <c r="F12" s="2" t="s">
        <v>64</v>
      </c>
      <c r="G12" s="2" t="s">
        <v>40</v>
      </c>
      <c r="H12" s="2">
        <v>5</v>
      </c>
      <c r="I12" s="2" t="s">
        <v>65</v>
      </c>
      <c r="J12" s="2">
        <v>0</v>
      </c>
      <c r="K12" s="2" t="s">
        <v>66</v>
      </c>
      <c r="L12" s="2" t="s">
        <v>35</v>
      </c>
    </row>
    <row r="13" spans="1:12" x14ac:dyDescent="0.2">
      <c r="A13" s="2">
        <v>101103</v>
      </c>
      <c r="B13" s="2" t="s">
        <v>67</v>
      </c>
      <c r="C13" s="2" t="s">
        <v>68</v>
      </c>
      <c r="D13" s="2" t="s">
        <v>37</v>
      </c>
      <c r="E13" s="2" t="s">
        <v>69</v>
      </c>
      <c r="F13" s="2" t="s">
        <v>70</v>
      </c>
      <c r="G13" s="2" t="s">
        <v>71</v>
      </c>
      <c r="H13" s="2">
        <v>5</v>
      </c>
      <c r="I13" s="2">
        <v>16851.16</v>
      </c>
      <c r="J13" s="2"/>
      <c r="K13" s="2" t="s">
        <v>41</v>
      </c>
      <c r="L13" s="2" t="s">
        <v>42</v>
      </c>
    </row>
    <row r="14" spans="1:12" x14ac:dyDescent="0.2">
      <c r="A14" s="2">
        <v>100242</v>
      </c>
      <c r="B14" s="17">
        <v>45433</v>
      </c>
      <c r="C14" s="2" t="s">
        <v>72</v>
      </c>
      <c r="D14" s="2" t="s">
        <v>73</v>
      </c>
      <c r="E14" s="2" t="s">
        <v>49</v>
      </c>
      <c r="F14" s="2" t="s">
        <v>74</v>
      </c>
      <c r="G14" s="2" t="s">
        <v>75</v>
      </c>
      <c r="H14" s="2">
        <v>11</v>
      </c>
      <c r="I14" s="2" t="s">
        <v>76</v>
      </c>
      <c r="J14" s="2">
        <v>0.05</v>
      </c>
      <c r="K14" s="2" t="s">
        <v>41</v>
      </c>
      <c r="L14" s="2" t="s">
        <v>52</v>
      </c>
    </row>
    <row r="15" spans="1:12" x14ac:dyDescent="0.2">
      <c r="A15" s="2">
        <v>100904</v>
      </c>
      <c r="B15" s="2" t="s">
        <v>77</v>
      </c>
      <c r="C15" s="2" t="s">
        <v>78</v>
      </c>
      <c r="D15" s="2" t="s">
        <v>48</v>
      </c>
      <c r="E15" s="2" t="s">
        <v>79</v>
      </c>
      <c r="F15" s="2" t="s">
        <v>80</v>
      </c>
      <c r="G15" s="2" t="s">
        <v>81</v>
      </c>
      <c r="H15" s="2">
        <v>9</v>
      </c>
      <c r="I15" s="2" t="s">
        <v>82</v>
      </c>
      <c r="J15" s="2">
        <v>15</v>
      </c>
      <c r="K15" s="2" t="s">
        <v>83</v>
      </c>
      <c r="L15" s="2" t="s">
        <v>35</v>
      </c>
    </row>
    <row r="16" spans="1:12" x14ac:dyDescent="0.2">
      <c r="A16" s="2"/>
      <c r="B16" s="2"/>
      <c r="C16" s="2"/>
      <c r="D16" s="2"/>
      <c r="E16" s="2"/>
      <c r="F16" s="2"/>
      <c r="G16" s="2"/>
      <c r="H16" s="2"/>
      <c r="I16" s="2"/>
      <c r="J16" s="2"/>
      <c r="K16" s="2"/>
      <c r="L16" s="2"/>
    </row>
    <row r="17" spans="1:12" x14ac:dyDescent="0.2">
      <c r="A17" s="2">
        <v>101979</v>
      </c>
      <c r="B17" s="18">
        <v>45487</v>
      </c>
      <c r="C17" s="2" t="s">
        <v>84</v>
      </c>
      <c r="D17" s="2" t="s">
        <v>85</v>
      </c>
      <c r="E17" s="2" t="s">
        <v>14</v>
      </c>
      <c r="F17" s="2" t="s">
        <v>86</v>
      </c>
      <c r="G17" s="2" t="s">
        <v>46</v>
      </c>
      <c r="H17" s="2">
        <v>9</v>
      </c>
      <c r="I17" s="2">
        <v>12583.22</v>
      </c>
      <c r="J17" s="2">
        <v>0</v>
      </c>
      <c r="K17" s="2" t="s">
        <v>66</v>
      </c>
      <c r="L17" s="2" t="s">
        <v>87</v>
      </c>
    </row>
    <row r="18" spans="1:12" x14ac:dyDescent="0.2">
      <c r="A18" s="2">
        <v>100207</v>
      </c>
      <c r="B18" s="17">
        <v>45358</v>
      </c>
      <c r="C18" s="2" t="s">
        <v>88</v>
      </c>
      <c r="D18" s="2" t="s">
        <v>89</v>
      </c>
      <c r="E18" s="2" t="s">
        <v>32</v>
      </c>
      <c r="F18" s="2" t="s">
        <v>28</v>
      </c>
      <c r="G18" s="2" t="s">
        <v>16</v>
      </c>
      <c r="H18" s="2">
        <v>10</v>
      </c>
      <c r="I18" s="2" t="s">
        <v>90</v>
      </c>
      <c r="J18" s="2">
        <v>0</v>
      </c>
      <c r="K18" s="2" t="s">
        <v>83</v>
      </c>
      <c r="L18" s="2" t="s">
        <v>25</v>
      </c>
    </row>
    <row r="19" spans="1:12" x14ac:dyDescent="0.2">
      <c r="A19" s="2">
        <v>100128</v>
      </c>
      <c r="B19" s="17">
        <v>45589</v>
      </c>
      <c r="C19" s="2" t="s">
        <v>91</v>
      </c>
      <c r="D19" s="2" t="s">
        <v>92</v>
      </c>
      <c r="E19" s="2" t="s">
        <v>54</v>
      </c>
      <c r="F19" s="2" t="s">
        <v>80</v>
      </c>
      <c r="G19" s="2" t="s">
        <v>93</v>
      </c>
      <c r="H19" s="2">
        <v>2</v>
      </c>
      <c r="I19" s="2">
        <v>287.64</v>
      </c>
      <c r="J19" s="2">
        <v>0.15</v>
      </c>
      <c r="K19" s="2" t="s">
        <v>29</v>
      </c>
      <c r="L19" s="2" t="s">
        <v>18</v>
      </c>
    </row>
    <row r="20" spans="1:12" x14ac:dyDescent="0.2">
      <c r="A20" s="2">
        <v>100977</v>
      </c>
      <c r="B20" s="18">
        <v>45421</v>
      </c>
      <c r="C20" s="2" t="s">
        <v>94</v>
      </c>
      <c r="D20" s="2" t="s">
        <v>95</v>
      </c>
      <c r="E20" s="2" t="s">
        <v>21</v>
      </c>
      <c r="F20" s="2" t="s">
        <v>96</v>
      </c>
      <c r="G20" s="2" t="s">
        <v>97</v>
      </c>
      <c r="H20" s="2">
        <v>8</v>
      </c>
      <c r="I20" s="2">
        <v>36865.370000000003</v>
      </c>
      <c r="J20" s="2">
        <v>25</v>
      </c>
      <c r="K20" s="2" t="s">
        <v>24</v>
      </c>
      <c r="L20" s="2" t="s">
        <v>87</v>
      </c>
    </row>
    <row r="21" spans="1:12" x14ac:dyDescent="0.2">
      <c r="A21" s="2">
        <v>101799</v>
      </c>
      <c r="B21" s="17">
        <v>45409</v>
      </c>
      <c r="C21" s="2" t="s">
        <v>98</v>
      </c>
      <c r="D21" s="2" t="s">
        <v>37</v>
      </c>
      <c r="E21" s="2" t="s">
        <v>69</v>
      </c>
      <c r="F21" s="2" t="s">
        <v>55</v>
      </c>
      <c r="G21" s="2" t="s">
        <v>99</v>
      </c>
      <c r="H21" s="2">
        <v>4</v>
      </c>
      <c r="I21" s="2">
        <v>7237.69</v>
      </c>
      <c r="J21" s="2">
        <v>0.05</v>
      </c>
      <c r="K21" s="2" t="s">
        <v>24</v>
      </c>
      <c r="L21" s="2" t="s">
        <v>25</v>
      </c>
    </row>
    <row r="22" spans="1:12" x14ac:dyDescent="0.2">
      <c r="A22" s="2">
        <v>101166</v>
      </c>
      <c r="B22" s="17">
        <v>45482</v>
      </c>
      <c r="C22" s="2" t="s">
        <v>100</v>
      </c>
      <c r="D22" s="2" t="s">
        <v>101</v>
      </c>
      <c r="E22" s="2" t="s">
        <v>38</v>
      </c>
      <c r="F22" s="2" t="s">
        <v>102</v>
      </c>
      <c r="G22" s="2" t="s">
        <v>103</v>
      </c>
      <c r="H22" s="2">
        <v>1</v>
      </c>
      <c r="I22" s="2" t="s">
        <v>104</v>
      </c>
      <c r="J22" s="2">
        <v>5</v>
      </c>
      <c r="K22" s="2" t="s">
        <v>24</v>
      </c>
      <c r="L22" s="2" t="s">
        <v>25</v>
      </c>
    </row>
    <row r="23" spans="1:12" x14ac:dyDescent="0.2">
      <c r="A23" s="2">
        <v>101753</v>
      </c>
      <c r="B23" s="17">
        <v>45525</v>
      </c>
      <c r="C23" s="2" t="s">
        <v>105</v>
      </c>
      <c r="D23" s="2" t="s">
        <v>27</v>
      </c>
      <c r="E23" s="2" t="s">
        <v>21</v>
      </c>
      <c r="F23" s="2" t="s">
        <v>106</v>
      </c>
      <c r="G23" s="2" t="s">
        <v>103</v>
      </c>
      <c r="H23" s="2">
        <v>8</v>
      </c>
      <c r="I23" s="2">
        <v>2442.09</v>
      </c>
      <c r="J23" s="2">
        <v>25</v>
      </c>
      <c r="K23" s="2" t="s">
        <v>41</v>
      </c>
      <c r="L23" s="2" t="s">
        <v>42</v>
      </c>
    </row>
    <row r="24" spans="1:12" x14ac:dyDescent="0.2">
      <c r="A24" s="2">
        <v>101178</v>
      </c>
      <c r="B24" s="2" t="s">
        <v>107</v>
      </c>
      <c r="C24" s="2" t="s">
        <v>108</v>
      </c>
      <c r="D24" s="2" t="s">
        <v>109</v>
      </c>
      <c r="E24" s="2" t="s">
        <v>21</v>
      </c>
      <c r="F24" s="2" t="s">
        <v>86</v>
      </c>
      <c r="G24" s="2" t="s">
        <v>46</v>
      </c>
      <c r="H24" s="2">
        <v>12</v>
      </c>
      <c r="I24" s="2"/>
      <c r="J24" s="2">
        <v>0.05</v>
      </c>
      <c r="K24" s="2" t="s">
        <v>17</v>
      </c>
      <c r="L24" s="2" t="s">
        <v>52</v>
      </c>
    </row>
    <row r="25" spans="1:12" x14ac:dyDescent="0.2">
      <c r="A25" s="2">
        <v>100299</v>
      </c>
      <c r="B25" s="17">
        <v>45537</v>
      </c>
      <c r="C25" s="2" t="s">
        <v>110</v>
      </c>
      <c r="D25" s="2" t="s">
        <v>44</v>
      </c>
      <c r="E25" s="2" t="s">
        <v>32</v>
      </c>
      <c r="F25" s="2" t="s">
        <v>86</v>
      </c>
      <c r="G25" s="2" t="s">
        <v>111</v>
      </c>
      <c r="H25" s="2">
        <v>10</v>
      </c>
      <c r="I25" s="2">
        <v>32187.13</v>
      </c>
      <c r="J25" s="2">
        <v>0.25</v>
      </c>
      <c r="K25" s="2" t="s">
        <v>66</v>
      </c>
      <c r="L25" s="2" t="s">
        <v>42</v>
      </c>
    </row>
    <row r="26" spans="1:12" x14ac:dyDescent="0.2">
      <c r="A26" s="2">
        <v>101361</v>
      </c>
      <c r="B26" s="17">
        <v>45520</v>
      </c>
      <c r="C26" s="2" t="s">
        <v>112</v>
      </c>
      <c r="D26" s="2" t="s">
        <v>27</v>
      </c>
      <c r="E26" s="2" t="s">
        <v>21</v>
      </c>
      <c r="F26" s="2" t="s">
        <v>113</v>
      </c>
      <c r="G26" s="2" t="s">
        <v>114</v>
      </c>
      <c r="H26" s="2">
        <v>10</v>
      </c>
      <c r="I26" s="2">
        <v>315.76</v>
      </c>
      <c r="J26" s="2">
        <v>0.15</v>
      </c>
      <c r="K26" s="2" t="s">
        <v>29</v>
      </c>
      <c r="L26" s="2" t="s">
        <v>25</v>
      </c>
    </row>
    <row r="27" spans="1:12" x14ac:dyDescent="0.2">
      <c r="A27" s="2">
        <v>100230</v>
      </c>
      <c r="B27" s="17">
        <v>45328</v>
      </c>
      <c r="C27" s="2" t="s">
        <v>115</v>
      </c>
      <c r="D27" s="2" t="s">
        <v>95</v>
      </c>
      <c r="E27" s="2" t="s">
        <v>21</v>
      </c>
      <c r="F27" s="2" t="s">
        <v>15</v>
      </c>
      <c r="G27" s="2" t="s">
        <v>116</v>
      </c>
      <c r="H27" s="2">
        <v>11</v>
      </c>
      <c r="I27" s="2" t="s">
        <v>117</v>
      </c>
      <c r="J27" s="2">
        <v>10</v>
      </c>
      <c r="K27" s="2" t="s">
        <v>41</v>
      </c>
      <c r="L27" s="2" t="s">
        <v>35</v>
      </c>
    </row>
    <row r="28" spans="1:12" x14ac:dyDescent="0.2">
      <c r="A28" s="2">
        <v>101486</v>
      </c>
      <c r="B28" s="17">
        <v>45641</v>
      </c>
      <c r="C28" s="2" t="s">
        <v>118</v>
      </c>
      <c r="D28" s="2" t="s">
        <v>13</v>
      </c>
      <c r="E28" s="2" t="s">
        <v>119</v>
      </c>
      <c r="F28" s="2" t="s">
        <v>120</v>
      </c>
      <c r="G28" s="2" t="s">
        <v>23</v>
      </c>
      <c r="H28" s="2">
        <v>3</v>
      </c>
      <c r="I28" s="2">
        <v>2929.96</v>
      </c>
      <c r="J28" s="2">
        <v>0.25</v>
      </c>
      <c r="K28" s="2" t="s">
        <v>41</v>
      </c>
      <c r="L28" s="2" t="s">
        <v>121</v>
      </c>
    </row>
    <row r="29" spans="1:12" x14ac:dyDescent="0.2">
      <c r="A29" s="2">
        <v>101756</v>
      </c>
      <c r="B29" s="17">
        <v>45436</v>
      </c>
      <c r="C29" s="2" t="s">
        <v>122</v>
      </c>
      <c r="D29" s="2" t="s">
        <v>58</v>
      </c>
      <c r="E29" s="2" t="s">
        <v>69</v>
      </c>
      <c r="F29" s="2" t="s">
        <v>15</v>
      </c>
      <c r="G29" s="2" t="s">
        <v>116</v>
      </c>
      <c r="H29" s="2">
        <v>5</v>
      </c>
      <c r="I29" s="2">
        <v>24061.23</v>
      </c>
      <c r="J29" s="2">
        <v>25</v>
      </c>
      <c r="K29" s="2" t="s">
        <v>17</v>
      </c>
      <c r="L29" s="2" t="s">
        <v>18</v>
      </c>
    </row>
    <row r="30" spans="1:12" x14ac:dyDescent="0.2">
      <c r="A30" s="2">
        <v>100703</v>
      </c>
      <c r="B30" s="17">
        <v>45539</v>
      </c>
      <c r="C30" s="2" t="s">
        <v>123</v>
      </c>
      <c r="D30" s="2" t="s">
        <v>13</v>
      </c>
      <c r="E30" s="2" t="s">
        <v>14</v>
      </c>
      <c r="F30" s="2" t="s">
        <v>124</v>
      </c>
      <c r="G30" s="2" t="s">
        <v>62</v>
      </c>
      <c r="H30" s="2">
        <v>1</v>
      </c>
      <c r="I30" s="2">
        <v>6972.32</v>
      </c>
      <c r="J30" s="2">
        <v>0</v>
      </c>
      <c r="K30" s="2" t="s">
        <v>29</v>
      </c>
      <c r="L30" s="2" t="s">
        <v>35</v>
      </c>
    </row>
    <row r="31" spans="1:12" x14ac:dyDescent="0.2">
      <c r="A31" s="2">
        <v>101199</v>
      </c>
      <c r="B31" s="17">
        <v>45526</v>
      </c>
      <c r="C31" s="2" t="s">
        <v>125</v>
      </c>
      <c r="D31" s="2" t="s">
        <v>44</v>
      </c>
      <c r="E31" s="2" t="s">
        <v>32</v>
      </c>
      <c r="F31" s="2" t="s">
        <v>55</v>
      </c>
      <c r="G31" s="2" t="s">
        <v>51</v>
      </c>
      <c r="H31" s="2">
        <v>2</v>
      </c>
      <c r="I31" s="2">
        <v>3123.23</v>
      </c>
      <c r="J31" s="2">
        <v>0.05</v>
      </c>
      <c r="K31" s="2" t="s">
        <v>41</v>
      </c>
      <c r="L31" s="2" t="s">
        <v>87</v>
      </c>
    </row>
    <row r="32" spans="1:12" x14ac:dyDescent="0.2">
      <c r="A32" s="2">
        <v>101689</v>
      </c>
      <c r="B32" s="18">
        <v>45460</v>
      </c>
      <c r="C32" s="2" t="s">
        <v>126</v>
      </c>
      <c r="D32" s="2" t="s">
        <v>101</v>
      </c>
      <c r="E32" s="2" t="s">
        <v>69</v>
      </c>
      <c r="F32" s="2" t="s">
        <v>33</v>
      </c>
      <c r="G32" s="2" t="s">
        <v>81</v>
      </c>
      <c r="H32" s="2">
        <v>9</v>
      </c>
      <c r="I32" s="2">
        <v>71.53</v>
      </c>
      <c r="J32" s="2">
        <v>0</v>
      </c>
      <c r="K32" s="2" t="s">
        <v>17</v>
      </c>
      <c r="L32" s="2" t="s">
        <v>42</v>
      </c>
    </row>
    <row r="33" spans="1:12" x14ac:dyDescent="0.2">
      <c r="A33" s="2">
        <v>100864</v>
      </c>
      <c r="B33" s="17">
        <v>45633</v>
      </c>
      <c r="C33" s="2" t="s">
        <v>127</v>
      </c>
      <c r="D33" s="2" t="s">
        <v>37</v>
      </c>
      <c r="E33" s="2" t="s">
        <v>69</v>
      </c>
      <c r="F33" s="2" t="s">
        <v>70</v>
      </c>
      <c r="G33" s="2" t="s">
        <v>111</v>
      </c>
      <c r="H33" s="2">
        <v>1</v>
      </c>
      <c r="I33" s="2">
        <v>9819.93</v>
      </c>
      <c r="J33" s="2">
        <v>0.15</v>
      </c>
      <c r="K33" s="2" t="s">
        <v>29</v>
      </c>
      <c r="L33" s="2" t="s">
        <v>42</v>
      </c>
    </row>
    <row r="34" spans="1:12" x14ac:dyDescent="0.2">
      <c r="A34" s="2">
        <v>100821</v>
      </c>
      <c r="B34" s="18">
        <v>45527</v>
      </c>
      <c r="C34" s="2" t="s">
        <v>128</v>
      </c>
      <c r="D34" s="2" t="s">
        <v>129</v>
      </c>
      <c r="E34" s="2" t="s">
        <v>49</v>
      </c>
      <c r="F34" s="2" t="s">
        <v>70</v>
      </c>
      <c r="G34" s="2" t="s">
        <v>97</v>
      </c>
      <c r="H34" s="2">
        <v>12</v>
      </c>
      <c r="I34" s="2">
        <v>29441.22</v>
      </c>
      <c r="J34" s="2">
        <v>0.2</v>
      </c>
      <c r="K34" s="2" t="s">
        <v>66</v>
      </c>
      <c r="L34" s="2" t="s">
        <v>25</v>
      </c>
    </row>
    <row r="35" spans="1:12" x14ac:dyDescent="0.2">
      <c r="A35" s="2">
        <v>101751</v>
      </c>
      <c r="B35" s="17">
        <v>45605</v>
      </c>
      <c r="C35" s="2" t="s">
        <v>130</v>
      </c>
      <c r="D35" s="2" t="s">
        <v>131</v>
      </c>
      <c r="E35" s="2" t="s">
        <v>21</v>
      </c>
      <c r="F35" s="2" t="s">
        <v>80</v>
      </c>
      <c r="G35" s="2" t="s">
        <v>81</v>
      </c>
      <c r="H35" s="2">
        <v>4</v>
      </c>
      <c r="I35" s="2">
        <v>598.05999999999995</v>
      </c>
      <c r="J35" s="2">
        <v>0</v>
      </c>
      <c r="K35" s="2" t="s">
        <v>41</v>
      </c>
      <c r="L35" s="2" t="s">
        <v>42</v>
      </c>
    </row>
    <row r="36" spans="1:12" x14ac:dyDescent="0.2">
      <c r="A36" s="2">
        <v>100111</v>
      </c>
      <c r="B36" s="17">
        <v>45365</v>
      </c>
      <c r="C36" s="2" t="s">
        <v>132</v>
      </c>
      <c r="D36" s="2" t="s">
        <v>95</v>
      </c>
      <c r="E36" s="2" t="s">
        <v>133</v>
      </c>
      <c r="F36" s="2" t="s">
        <v>22</v>
      </c>
      <c r="G36" s="2" t="s">
        <v>23</v>
      </c>
      <c r="H36" s="2">
        <v>11</v>
      </c>
      <c r="I36" s="2">
        <v>2521.73</v>
      </c>
      <c r="J36" s="2">
        <v>15</v>
      </c>
      <c r="K36" s="2" t="s">
        <v>66</v>
      </c>
      <c r="L36" s="2" t="s">
        <v>25</v>
      </c>
    </row>
    <row r="37" spans="1:12" x14ac:dyDescent="0.2">
      <c r="A37" s="2">
        <v>101764</v>
      </c>
      <c r="B37" s="18">
        <v>45451</v>
      </c>
      <c r="C37" s="2" t="s">
        <v>134</v>
      </c>
      <c r="D37" s="2" t="s">
        <v>101</v>
      </c>
      <c r="E37" s="2" t="s">
        <v>38</v>
      </c>
      <c r="F37" s="2" t="s">
        <v>106</v>
      </c>
      <c r="G37" s="2" t="s">
        <v>135</v>
      </c>
      <c r="H37" s="2">
        <v>2</v>
      </c>
      <c r="I37" s="2">
        <v>2079.71</v>
      </c>
      <c r="J37" s="2">
        <v>0.2</v>
      </c>
      <c r="K37" s="2" t="s">
        <v>66</v>
      </c>
      <c r="L37" s="2" t="s">
        <v>35</v>
      </c>
    </row>
    <row r="38" spans="1:12" x14ac:dyDescent="0.2">
      <c r="A38" s="2">
        <v>100472</v>
      </c>
      <c r="B38" s="18">
        <v>45405</v>
      </c>
      <c r="C38" s="2" t="s">
        <v>136</v>
      </c>
      <c r="D38" s="2" t="s">
        <v>13</v>
      </c>
      <c r="E38" s="2" t="s">
        <v>119</v>
      </c>
      <c r="F38" s="2" t="s">
        <v>102</v>
      </c>
      <c r="G38" s="2" t="s">
        <v>137</v>
      </c>
      <c r="H38" s="2">
        <v>12</v>
      </c>
      <c r="I38" s="2" t="s">
        <v>138</v>
      </c>
      <c r="J38" s="2">
        <v>15</v>
      </c>
      <c r="K38" s="2" t="s">
        <v>24</v>
      </c>
      <c r="L38" s="2" t="s">
        <v>52</v>
      </c>
    </row>
    <row r="39" spans="1:12" x14ac:dyDescent="0.2">
      <c r="A39" s="2">
        <v>100279</v>
      </c>
      <c r="B39" s="17">
        <v>45293</v>
      </c>
      <c r="C39" s="2" t="s">
        <v>139</v>
      </c>
      <c r="D39" s="2" t="s">
        <v>140</v>
      </c>
      <c r="E39" s="2" t="s">
        <v>49</v>
      </c>
      <c r="F39" s="2" t="s">
        <v>22</v>
      </c>
      <c r="G39" s="2" t="s">
        <v>141</v>
      </c>
      <c r="H39" s="2">
        <v>8</v>
      </c>
      <c r="I39" s="2">
        <v>3204.31</v>
      </c>
      <c r="J39" s="2">
        <v>0</v>
      </c>
      <c r="K39" s="2" t="s">
        <v>83</v>
      </c>
      <c r="L39" s="2" t="s">
        <v>18</v>
      </c>
    </row>
    <row r="40" spans="1:12" x14ac:dyDescent="0.2">
      <c r="A40" s="2">
        <v>101927</v>
      </c>
      <c r="B40" s="17">
        <v>45329</v>
      </c>
      <c r="C40" s="2" t="s">
        <v>142</v>
      </c>
      <c r="D40" s="2" t="s">
        <v>13</v>
      </c>
      <c r="E40" s="2" t="s">
        <v>14</v>
      </c>
      <c r="F40" s="2" t="s">
        <v>45</v>
      </c>
      <c r="G40" s="2" t="s">
        <v>111</v>
      </c>
      <c r="H40" s="2">
        <v>10</v>
      </c>
      <c r="I40" s="2">
        <v>6527.53</v>
      </c>
      <c r="J40" s="2">
        <v>0</v>
      </c>
      <c r="K40" s="2" t="s">
        <v>83</v>
      </c>
      <c r="L40" s="2" t="s">
        <v>143</v>
      </c>
    </row>
    <row r="41" spans="1:12" x14ac:dyDescent="0.2">
      <c r="A41" s="2">
        <v>100300</v>
      </c>
      <c r="B41" s="17">
        <v>45554</v>
      </c>
      <c r="C41" s="2" t="s">
        <v>144</v>
      </c>
      <c r="D41" s="2" t="s">
        <v>44</v>
      </c>
      <c r="E41" s="2" t="s">
        <v>32</v>
      </c>
      <c r="F41" s="2" t="s">
        <v>22</v>
      </c>
      <c r="G41" s="2" t="s">
        <v>145</v>
      </c>
      <c r="H41" s="2">
        <v>5</v>
      </c>
      <c r="I41" s="2">
        <v>2388.0700000000002</v>
      </c>
      <c r="J41" s="2">
        <v>0.25</v>
      </c>
      <c r="K41" s="2" t="s">
        <v>41</v>
      </c>
      <c r="L41" s="2" t="s">
        <v>18</v>
      </c>
    </row>
    <row r="42" spans="1:12" x14ac:dyDescent="0.2">
      <c r="A42" s="2">
        <v>100962</v>
      </c>
      <c r="B42" s="17">
        <v>45585</v>
      </c>
      <c r="C42" s="2" t="s">
        <v>146</v>
      </c>
      <c r="D42" s="2" t="s">
        <v>129</v>
      </c>
      <c r="E42" s="2" t="s">
        <v>79</v>
      </c>
      <c r="F42" s="2" t="s">
        <v>28</v>
      </c>
      <c r="G42" s="2" t="s">
        <v>116</v>
      </c>
      <c r="H42" s="2">
        <v>4</v>
      </c>
      <c r="I42" s="2">
        <v>2459.4299999999998</v>
      </c>
      <c r="J42" s="2">
        <v>0.05</v>
      </c>
      <c r="K42" s="2" t="s">
        <v>41</v>
      </c>
      <c r="L42" s="2" t="s">
        <v>42</v>
      </c>
    </row>
    <row r="43" spans="1:12" x14ac:dyDescent="0.2">
      <c r="A43" s="2">
        <v>101040</v>
      </c>
      <c r="B43" s="18">
        <v>45315</v>
      </c>
      <c r="C43" s="2" t="s">
        <v>147</v>
      </c>
      <c r="D43" s="2" t="s">
        <v>92</v>
      </c>
      <c r="E43" s="2" t="s">
        <v>54</v>
      </c>
      <c r="F43" s="2" t="s">
        <v>39</v>
      </c>
      <c r="G43" s="2" t="s">
        <v>40</v>
      </c>
      <c r="H43" s="2">
        <v>1</v>
      </c>
      <c r="I43" s="2">
        <v>494.86</v>
      </c>
      <c r="J43" s="2">
        <v>0.1</v>
      </c>
      <c r="K43" s="2" t="s">
        <v>83</v>
      </c>
      <c r="L43" s="2" t="s">
        <v>87</v>
      </c>
    </row>
    <row r="44" spans="1:12" x14ac:dyDescent="0.2">
      <c r="A44" s="2">
        <v>101946</v>
      </c>
      <c r="B44" s="17">
        <v>45445</v>
      </c>
      <c r="C44" s="2" t="s">
        <v>148</v>
      </c>
      <c r="D44" s="2" t="s">
        <v>89</v>
      </c>
      <c r="E44" s="2" t="s">
        <v>54</v>
      </c>
      <c r="F44" s="2" t="s">
        <v>96</v>
      </c>
      <c r="G44" s="2" t="s">
        <v>149</v>
      </c>
      <c r="H44" s="2">
        <v>6</v>
      </c>
      <c r="I44" s="2">
        <v>6591.38</v>
      </c>
      <c r="J44" s="2">
        <v>5</v>
      </c>
      <c r="K44" s="2" t="s">
        <v>41</v>
      </c>
      <c r="L44" s="2" t="s">
        <v>18</v>
      </c>
    </row>
    <row r="45" spans="1:12" x14ac:dyDescent="0.2">
      <c r="A45" s="2">
        <v>101418</v>
      </c>
      <c r="B45" s="17">
        <v>45530</v>
      </c>
      <c r="C45" s="2" t="s">
        <v>150</v>
      </c>
      <c r="D45" s="2" t="s">
        <v>89</v>
      </c>
      <c r="E45" s="2" t="s">
        <v>54</v>
      </c>
      <c r="F45" s="2" t="s">
        <v>124</v>
      </c>
      <c r="G45" s="2" t="s">
        <v>99</v>
      </c>
      <c r="H45" s="2">
        <v>4</v>
      </c>
      <c r="I45" s="2">
        <v>8416.81</v>
      </c>
      <c r="J45" s="2">
        <v>0</v>
      </c>
      <c r="K45" s="2" t="s">
        <v>17</v>
      </c>
      <c r="L45" s="2" t="s">
        <v>18</v>
      </c>
    </row>
    <row r="46" spans="1:12" x14ac:dyDescent="0.2">
      <c r="A46" s="2">
        <v>101028</v>
      </c>
      <c r="B46" s="18">
        <v>45342</v>
      </c>
      <c r="C46" s="2" t="s">
        <v>151</v>
      </c>
      <c r="D46" s="2" t="s">
        <v>85</v>
      </c>
      <c r="E46" s="2" t="s">
        <v>14</v>
      </c>
      <c r="F46" s="2" t="s">
        <v>15</v>
      </c>
      <c r="G46" s="2" t="s">
        <v>152</v>
      </c>
      <c r="H46" s="2">
        <v>11</v>
      </c>
      <c r="I46" s="2">
        <v>10830.41</v>
      </c>
      <c r="J46" s="2">
        <v>0.25</v>
      </c>
      <c r="K46" s="2" t="s">
        <v>17</v>
      </c>
      <c r="L46" s="2" t="s">
        <v>87</v>
      </c>
    </row>
    <row r="47" spans="1:12" x14ac:dyDescent="0.2">
      <c r="A47" s="2">
        <v>100416</v>
      </c>
      <c r="B47" s="18">
        <v>45650</v>
      </c>
      <c r="C47" s="2" t="s">
        <v>150</v>
      </c>
      <c r="D47" s="2" t="s">
        <v>44</v>
      </c>
      <c r="E47" s="2" t="s">
        <v>32</v>
      </c>
      <c r="F47" s="2" t="s">
        <v>70</v>
      </c>
      <c r="G47" s="2" t="s">
        <v>153</v>
      </c>
      <c r="H47" s="2">
        <v>7</v>
      </c>
      <c r="I47" s="2">
        <v>19876.03</v>
      </c>
      <c r="J47" s="2">
        <v>10</v>
      </c>
      <c r="K47" s="2" t="s">
        <v>66</v>
      </c>
      <c r="L47" s="2" t="s">
        <v>143</v>
      </c>
    </row>
    <row r="48" spans="1:12" x14ac:dyDescent="0.2">
      <c r="A48" s="2">
        <v>101936</v>
      </c>
      <c r="B48" s="17">
        <v>45624</v>
      </c>
      <c r="C48" s="2" t="s">
        <v>154</v>
      </c>
      <c r="D48" s="2" t="s">
        <v>31</v>
      </c>
      <c r="E48" s="2" t="s">
        <v>54</v>
      </c>
      <c r="F48" s="2" t="s">
        <v>155</v>
      </c>
      <c r="G48" s="2" t="s">
        <v>156</v>
      </c>
      <c r="H48" s="2">
        <v>2</v>
      </c>
      <c r="I48" s="2">
        <v>2418.9</v>
      </c>
      <c r="J48" s="2">
        <v>0</v>
      </c>
      <c r="K48" s="2" t="s">
        <v>17</v>
      </c>
      <c r="L48" s="2" t="s">
        <v>35</v>
      </c>
    </row>
    <row r="49" spans="1:12" x14ac:dyDescent="0.2">
      <c r="A49" s="2">
        <v>100186</v>
      </c>
      <c r="B49" s="17">
        <v>45422</v>
      </c>
      <c r="C49" s="2" t="s">
        <v>157</v>
      </c>
      <c r="D49" s="2" t="s">
        <v>58</v>
      </c>
      <c r="E49" s="2" t="s">
        <v>38</v>
      </c>
      <c r="F49" s="2" t="s">
        <v>33</v>
      </c>
      <c r="G49" s="2" t="s">
        <v>158</v>
      </c>
      <c r="H49" s="2">
        <v>1</v>
      </c>
      <c r="I49" s="2">
        <v>578.61</v>
      </c>
      <c r="J49" s="2">
        <v>0</v>
      </c>
      <c r="K49" s="2" t="s">
        <v>17</v>
      </c>
      <c r="L49" s="2" t="s">
        <v>18</v>
      </c>
    </row>
    <row r="50" spans="1:12" x14ac:dyDescent="0.2">
      <c r="A50" s="2">
        <v>100611</v>
      </c>
      <c r="B50" s="18">
        <v>45414</v>
      </c>
      <c r="C50" s="2" t="s">
        <v>159</v>
      </c>
      <c r="D50" s="2" t="s">
        <v>160</v>
      </c>
      <c r="E50" s="2" t="s">
        <v>49</v>
      </c>
      <c r="F50" s="2" t="s">
        <v>102</v>
      </c>
      <c r="G50" s="2" t="s">
        <v>103</v>
      </c>
      <c r="H50" s="2">
        <v>11</v>
      </c>
      <c r="I50" s="2">
        <v>668.4</v>
      </c>
      <c r="J50" s="2">
        <v>0</v>
      </c>
      <c r="K50" s="2" t="s">
        <v>29</v>
      </c>
      <c r="L50" s="2" t="s">
        <v>143</v>
      </c>
    </row>
    <row r="51" spans="1:12" x14ac:dyDescent="0.2">
      <c r="A51" s="2">
        <v>101284</v>
      </c>
      <c r="B51" s="17">
        <v>45447</v>
      </c>
      <c r="C51" s="2" t="s">
        <v>161</v>
      </c>
      <c r="D51" s="2" t="s">
        <v>48</v>
      </c>
      <c r="E51" s="2" t="s">
        <v>49</v>
      </c>
      <c r="F51" s="2" t="s">
        <v>120</v>
      </c>
      <c r="G51" s="2" t="s">
        <v>145</v>
      </c>
      <c r="H51" s="2">
        <v>7</v>
      </c>
      <c r="I51" s="2">
        <v>1339.55</v>
      </c>
      <c r="J51" s="2">
        <v>0.05</v>
      </c>
      <c r="K51" s="2" t="s">
        <v>66</v>
      </c>
      <c r="L51" s="2" t="s">
        <v>87</v>
      </c>
    </row>
    <row r="52" spans="1:12" x14ac:dyDescent="0.2">
      <c r="A52" s="2">
        <v>100780</v>
      </c>
      <c r="B52" s="18">
        <v>45307</v>
      </c>
      <c r="C52" s="2" t="s">
        <v>162</v>
      </c>
      <c r="D52" s="2" t="s">
        <v>20</v>
      </c>
      <c r="E52" s="2" t="s">
        <v>21</v>
      </c>
      <c r="F52" s="2" t="s">
        <v>39</v>
      </c>
      <c r="G52" s="2" t="s">
        <v>114</v>
      </c>
      <c r="H52" s="2">
        <v>1</v>
      </c>
      <c r="I52" s="2">
        <v>721.95</v>
      </c>
      <c r="J52" s="2">
        <v>0.05</v>
      </c>
      <c r="K52" s="2" t="s">
        <v>29</v>
      </c>
      <c r="L52" s="2" t="s">
        <v>35</v>
      </c>
    </row>
    <row r="53" spans="1:12" x14ac:dyDescent="0.2">
      <c r="A53" s="2">
        <v>100803</v>
      </c>
      <c r="B53" s="2" t="s">
        <v>163</v>
      </c>
      <c r="C53" s="2" t="s">
        <v>164</v>
      </c>
      <c r="D53" s="2" t="s">
        <v>129</v>
      </c>
      <c r="E53" s="2" t="s">
        <v>79</v>
      </c>
      <c r="F53" s="2" t="s">
        <v>113</v>
      </c>
      <c r="G53" s="2" t="s">
        <v>165</v>
      </c>
      <c r="H53" s="2">
        <v>3</v>
      </c>
      <c r="I53" s="2" t="s">
        <v>166</v>
      </c>
      <c r="J53" s="2">
        <v>0.1</v>
      </c>
      <c r="K53" s="2" t="s">
        <v>29</v>
      </c>
      <c r="L53" s="2" t="s">
        <v>25</v>
      </c>
    </row>
    <row r="54" spans="1:12" x14ac:dyDescent="0.2">
      <c r="A54" s="2">
        <v>100285</v>
      </c>
      <c r="B54" s="18">
        <v>45311</v>
      </c>
      <c r="C54" s="2" t="s">
        <v>167</v>
      </c>
      <c r="D54" s="2" t="s">
        <v>27</v>
      </c>
      <c r="E54" s="2" t="s">
        <v>133</v>
      </c>
      <c r="F54" s="2" t="s">
        <v>39</v>
      </c>
      <c r="G54" s="2" t="s">
        <v>40</v>
      </c>
      <c r="H54" s="2">
        <v>9</v>
      </c>
      <c r="I54" s="2">
        <v>638.5</v>
      </c>
      <c r="J54" s="2">
        <v>0</v>
      </c>
      <c r="K54" s="2" t="s">
        <v>83</v>
      </c>
      <c r="L54" s="2" t="s">
        <v>18</v>
      </c>
    </row>
    <row r="55" spans="1:12" x14ac:dyDescent="0.2">
      <c r="A55" s="2">
        <v>101230</v>
      </c>
      <c r="B55" s="17">
        <v>45465</v>
      </c>
      <c r="C55" s="2" t="s">
        <v>168</v>
      </c>
      <c r="D55" s="2" t="s">
        <v>140</v>
      </c>
      <c r="E55" s="2" t="s">
        <v>79</v>
      </c>
      <c r="F55" s="2" t="s">
        <v>80</v>
      </c>
      <c r="G55" s="2" t="s">
        <v>93</v>
      </c>
      <c r="H55" s="2">
        <v>7</v>
      </c>
      <c r="I55" s="2">
        <v>97.66</v>
      </c>
      <c r="J55" s="2">
        <v>0.25</v>
      </c>
      <c r="K55" s="2" t="s">
        <v>41</v>
      </c>
      <c r="L55" s="2" t="s">
        <v>25</v>
      </c>
    </row>
    <row r="56" spans="1:12" x14ac:dyDescent="0.2">
      <c r="A56" s="2">
        <v>100003</v>
      </c>
      <c r="B56" s="18">
        <v>45481</v>
      </c>
      <c r="C56" s="2" t="s">
        <v>169</v>
      </c>
      <c r="D56" s="2" t="s">
        <v>85</v>
      </c>
      <c r="E56" s="2" t="s">
        <v>119</v>
      </c>
      <c r="F56" s="2" t="s">
        <v>33</v>
      </c>
      <c r="G56" s="2" t="s">
        <v>34</v>
      </c>
      <c r="H56" s="2">
        <v>4</v>
      </c>
      <c r="I56" s="2">
        <v>406.92</v>
      </c>
      <c r="J56" s="2">
        <v>0.25</v>
      </c>
      <c r="K56" s="2" t="s">
        <v>41</v>
      </c>
      <c r="L56" s="2" t="s">
        <v>121</v>
      </c>
    </row>
    <row r="57" spans="1:12" x14ac:dyDescent="0.2">
      <c r="A57" s="2">
        <v>101481</v>
      </c>
      <c r="B57" s="17">
        <v>45306</v>
      </c>
      <c r="C57" s="2" t="s">
        <v>170</v>
      </c>
      <c r="D57" s="2" t="s">
        <v>31</v>
      </c>
      <c r="E57" s="2" t="s">
        <v>54</v>
      </c>
      <c r="F57" s="2" t="s">
        <v>50</v>
      </c>
      <c r="G57" s="2" t="s">
        <v>56</v>
      </c>
      <c r="H57" s="2">
        <v>11</v>
      </c>
      <c r="I57" s="2">
        <v>4119.75</v>
      </c>
      <c r="J57" s="2">
        <v>0.15</v>
      </c>
      <c r="K57" s="2" t="s">
        <v>24</v>
      </c>
      <c r="L57" s="2" t="s">
        <v>121</v>
      </c>
    </row>
    <row r="58" spans="1:12" x14ac:dyDescent="0.2">
      <c r="A58" s="2">
        <v>100834</v>
      </c>
      <c r="B58" s="17">
        <v>45567</v>
      </c>
      <c r="C58" s="2" t="s">
        <v>159</v>
      </c>
      <c r="D58" s="2" t="s">
        <v>101</v>
      </c>
      <c r="E58" s="2" t="s">
        <v>69</v>
      </c>
      <c r="F58" s="2" t="s">
        <v>45</v>
      </c>
      <c r="G58" s="2" t="s">
        <v>97</v>
      </c>
      <c r="H58" s="2">
        <v>7</v>
      </c>
      <c r="I58" s="2">
        <v>2153.11</v>
      </c>
      <c r="J58" s="2">
        <v>0</v>
      </c>
      <c r="K58" s="2" t="s">
        <v>41</v>
      </c>
      <c r="L58" s="2" t="s">
        <v>52</v>
      </c>
    </row>
    <row r="59" spans="1:12" x14ac:dyDescent="0.2">
      <c r="A59" s="2">
        <v>101988</v>
      </c>
      <c r="B59" s="2" t="s">
        <v>171</v>
      </c>
      <c r="C59" s="2" t="s">
        <v>172</v>
      </c>
      <c r="D59" s="2" t="s">
        <v>131</v>
      </c>
      <c r="E59" s="2" t="s">
        <v>21</v>
      </c>
      <c r="F59" s="2" t="s">
        <v>45</v>
      </c>
      <c r="G59" s="2" t="s">
        <v>153</v>
      </c>
      <c r="H59" s="2"/>
      <c r="I59" s="2">
        <v>20230.900000000001</v>
      </c>
      <c r="J59" s="2">
        <v>0.25</v>
      </c>
      <c r="K59" s="2" t="s">
        <v>83</v>
      </c>
      <c r="L59" s="2" t="s">
        <v>35</v>
      </c>
    </row>
    <row r="60" spans="1:12" x14ac:dyDescent="0.2">
      <c r="A60" s="2">
        <v>100376</v>
      </c>
      <c r="B60" s="17">
        <v>45313</v>
      </c>
      <c r="C60" s="2" t="s">
        <v>170</v>
      </c>
      <c r="D60" s="2" t="s">
        <v>129</v>
      </c>
      <c r="E60" s="2" t="s">
        <v>79</v>
      </c>
      <c r="F60" s="2" t="s">
        <v>80</v>
      </c>
      <c r="G60" s="2" t="s">
        <v>93</v>
      </c>
      <c r="H60" s="2">
        <v>6</v>
      </c>
      <c r="I60" s="2">
        <v>371.86</v>
      </c>
      <c r="J60" s="2">
        <v>0</v>
      </c>
      <c r="K60" s="2" t="s">
        <v>24</v>
      </c>
      <c r="L60" s="2" t="s">
        <v>42</v>
      </c>
    </row>
    <row r="61" spans="1:12" x14ac:dyDescent="0.2">
      <c r="A61" s="2">
        <v>100398</v>
      </c>
      <c r="B61" s="2" t="s">
        <v>173</v>
      </c>
      <c r="C61" s="2" t="s">
        <v>174</v>
      </c>
      <c r="D61" s="2" t="s">
        <v>175</v>
      </c>
      <c r="E61" s="2" t="s">
        <v>69</v>
      </c>
      <c r="F61" s="2" t="s">
        <v>120</v>
      </c>
      <c r="G61" s="2" t="s">
        <v>23</v>
      </c>
      <c r="H61" s="2">
        <v>5</v>
      </c>
      <c r="I61" s="2">
        <v>2014.71</v>
      </c>
      <c r="J61" s="2">
        <v>0.15</v>
      </c>
      <c r="K61" s="2" t="s">
        <v>83</v>
      </c>
      <c r="L61" s="2" t="s">
        <v>121</v>
      </c>
    </row>
    <row r="62" spans="1:12" x14ac:dyDescent="0.2">
      <c r="A62" s="2">
        <v>100420</v>
      </c>
      <c r="B62" s="17">
        <v>45567</v>
      </c>
      <c r="C62" s="2" t="s">
        <v>176</v>
      </c>
      <c r="D62" s="2" t="s">
        <v>175</v>
      </c>
      <c r="E62" s="2" t="s">
        <v>38</v>
      </c>
      <c r="F62" s="2" t="s">
        <v>22</v>
      </c>
      <c r="G62" s="2" t="s">
        <v>145</v>
      </c>
      <c r="H62" s="2">
        <v>9</v>
      </c>
      <c r="I62" s="2"/>
      <c r="J62" s="2">
        <v>25</v>
      </c>
      <c r="K62" s="2" t="s">
        <v>17</v>
      </c>
      <c r="L62" s="2" t="s">
        <v>121</v>
      </c>
    </row>
    <row r="63" spans="1:12" x14ac:dyDescent="0.2">
      <c r="A63" s="2">
        <v>100978</v>
      </c>
      <c r="B63" s="17">
        <v>45507</v>
      </c>
      <c r="C63" s="2" t="s">
        <v>177</v>
      </c>
      <c r="D63" s="2" t="s">
        <v>13</v>
      </c>
      <c r="E63" s="2" t="s">
        <v>119</v>
      </c>
      <c r="F63" s="2" t="s">
        <v>64</v>
      </c>
      <c r="G63" s="2" t="s">
        <v>40</v>
      </c>
      <c r="H63" s="2">
        <v>3</v>
      </c>
      <c r="I63" s="2">
        <v>268.31</v>
      </c>
      <c r="J63" s="2">
        <v>0.1</v>
      </c>
      <c r="K63" s="2" t="s">
        <v>17</v>
      </c>
      <c r="L63" s="2" t="s">
        <v>18</v>
      </c>
    </row>
    <row r="64" spans="1:12" x14ac:dyDescent="0.2">
      <c r="A64" s="2">
        <v>101152</v>
      </c>
      <c r="B64" s="17">
        <v>45361</v>
      </c>
      <c r="C64" s="2" t="s">
        <v>178</v>
      </c>
      <c r="D64" s="2" t="s">
        <v>31</v>
      </c>
      <c r="E64" s="2" t="s">
        <v>32</v>
      </c>
      <c r="F64" s="2" t="s">
        <v>155</v>
      </c>
      <c r="G64" s="2" t="s">
        <v>137</v>
      </c>
      <c r="H64" s="2">
        <v>12</v>
      </c>
      <c r="I64" s="2">
        <v>819.35</v>
      </c>
      <c r="J64" s="2">
        <v>0</v>
      </c>
      <c r="K64" s="2" t="s">
        <v>17</v>
      </c>
      <c r="L64" s="2" t="s">
        <v>52</v>
      </c>
    </row>
    <row r="65" spans="1:12" x14ac:dyDescent="0.2">
      <c r="A65" s="2">
        <v>100342</v>
      </c>
      <c r="B65" s="17">
        <v>45474</v>
      </c>
      <c r="C65" s="2" t="s">
        <v>179</v>
      </c>
      <c r="D65" s="2" t="s">
        <v>85</v>
      </c>
      <c r="E65" s="2" t="s">
        <v>14</v>
      </c>
      <c r="F65" s="2" t="s">
        <v>124</v>
      </c>
      <c r="G65" s="2" t="s">
        <v>56</v>
      </c>
      <c r="H65" s="2">
        <v>11</v>
      </c>
      <c r="I65" s="2">
        <v>2954.47</v>
      </c>
      <c r="J65" s="2">
        <v>0</v>
      </c>
      <c r="K65" s="2" t="s">
        <v>29</v>
      </c>
      <c r="L65" s="2" t="s">
        <v>35</v>
      </c>
    </row>
    <row r="66" spans="1:12" x14ac:dyDescent="0.2">
      <c r="A66" s="2">
        <v>100387</v>
      </c>
      <c r="B66" s="18">
        <v>45644</v>
      </c>
      <c r="C66" s="2" t="s">
        <v>180</v>
      </c>
      <c r="D66" s="2" t="s">
        <v>181</v>
      </c>
      <c r="E66" s="2" t="s">
        <v>119</v>
      </c>
      <c r="F66" s="2" t="s">
        <v>64</v>
      </c>
      <c r="G66" s="2" t="s">
        <v>165</v>
      </c>
      <c r="H66" s="2">
        <v>2</v>
      </c>
      <c r="I66" s="2">
        <v>534.09</v>
      </c>
      <c r="J66" s="2"/>
      <c r="K66" s="2" t="s">
        <v>24</v>
      </c>
      <c r="L66" s="2" t="s">
        <v>52</v>
      </c>
    </row>
    <row r="67" spans="1:12" x14ac:dyDescent="0.2">
      <c r="A67" s="2">
        <v>101834</v>
      </c>
      <c r="B67" s="18">
        <v>45599</v>
      </c>
      <c r="C67" s="2" t="s">
        <v>123</v>
      </c>
      <c r="D67" s="2" t="s">
        <v>31</v>
      </c>
      <c r="E67" s="2" t="s">
        <v>32</v>
      </c>
      <c r="F67" s="2" t="s">
        <v>45</v>
      </c>
      <c r="G67" s="2" t="s">
        <v>153</v>
      </c>
      <c r="H67" s="2">
        <v>8</v>
      </c>
      <c r="I67" s="2">
        <v>24469.11</v>
      </c>
      <c r="J67" s="2">
        <v>10</v>
      </c>
      <c r="K67" s="2" t="s">
        <v>66</v>
      </c>
      <c r="L67" s="2" t="s">
        <v>87</v>
      </c>
    </row>
    <row r="68" spans="1:12" x14ac:dyDescent="0.2">
      <c r="A68" s="2">
        <v>100218</v>
      </c>
      <c r="B68" s="17">
        <v>45495</v>
      </c>
      <c r="C68" s="2" t="s">
        <v>164</v>
      </c>
      <c r="D68" s="2" t="s">
        <v>58</v>
      </c>
      <c r="E68" s="2" t="s">
        <v>69</v>
      </c>
      <c r="F68" s="2" t="s">
        <v>80</v>
      </c>
      <c r="G68" s="2" t="s">
        <v>93</v>
      </c>
      <c r="H68" s="2">
        <v>4</v>
      </c>
      <c r="I68" s="2">
        <v>125.37</v>
      </c>
      <c r="J68" s="2">
        <v>0</v>
      </c>
      <c r="K68" s="2" t="s">
        <v>41</v>
      </c>
      <c r="L68" s="2" t="s">
        <v>143</v>
      </c>
    </row>
    <row r="69" spans="1:12" x14ac:dyDescent="0.2">
      <c r="A69" s="2">
        <v>101846</v>
      </c>
      <c r="B69" s="2" t="s">
        <v>182</v>
      </c>
      <c r="C69" s="2" t="s">
        <v>183</v>
      </c>
      <c r="D69" s="2" t="s">
        <v>13</v>
      </c>
      <c r="E69" s="2" t="s">
        <v>14</v>
      </c>
      <c r="F69" s="2" t="s">
        <v>28</v>
      </c>
      <c r="G69" s="2" t="s">
        <v>116</v>
      </c>
      <c r="H69" s="2">
        <v>2</v>
      </c>
      <c r="I69" s="2"/>
      <c r="J69" s="2">
        <v>0.25</v>
      </c>
      <c r="K69" s="2" t="s">
        <v>66</v>
      </c>
      <c r="L69" s="2" t="s">
        <v>42</v>
      </c>
    </row>
    <row r="70" spans="1:12" x14ac:dyDescent="0.2">
      <c r="A70" s="2">
        <v>100109</v>
      </c>
      <c r="B70" s="18">
        <v>45609</v>
      </c>
      <c r="C70" s="2" t="s">
        <v>184</v>
      </c>
      <c r="D70" s="2" t="s">
        <v>140</v>
      </c>
      <c r="E70" s="2" t="s">
        <v>49</v>
      </c>
      <c r="F70" s="2" t="s">
        <v>155</v>
      </c>
      <c r="G70" s="2" t="s">
        <v>137</v>
      </c>
      <c r="H70" s="2">
        <v>3</v>
      </c>
      <c r="I70" s="2">
        <v>2508.86</v>
      </c>
      <c r="J70" s="2">
        <v>0</v>
      </c>
      <c r="K70" s="2" t="s">
        <v>83</v>
      </c>
      <c r="L70" s="2" t="s">
        <v>25</v>
      </c>
    </row>
    <row r="71" spans="1:12" x14ac:dyDescent="0.2">
      <c r="A71" s="2">
        <v>101258</v>
      </c>
      <c r="B71" s="17">
        <v>45485</v>
      </c>
      <c r="C71" s="2" t="s">
        <v>185</v>
      </c>
      <c r="D71" s="2" t="s">
        <v>48</v>
      </c>
      <c r="E71" s="2" t="s">
        <v>79</v>
      </c>
      <c r="F71" s="2" t="s">
        <v>102</v>
      </c>
      <c r="G71" s="2" t="s">
        <v>137</v>
      </c>
      <c r="H71" s="2">
        <v>5</v>
      </c>
      <c r="I71" s="2">
        <v>3843.1</v>
      </c>
      <c r="J71" s="2">
        <v>0</v>
      </c>
      <c r="K71" s="2" t="s">
        <v>24</v>
      </c>
      <c r="L71" s="2" t="s">
        <v>42</v>
      </c>
    </row>
    <row r="72" spans="1:12" x14ac:dyDescent="0.2">
      <c r="A72" s="2">
        <v>100035</v>
      </c>
      <c r="B72" s="2" t="s">
        <v>186</v>
      </c>
      <c r="C72" s="2" t="s">
        <v>187</v>
      </c>
      <c r="D72" s="2" t="s">
        <v>73</v>
      </c>
      <c r="E72" s="2" t="s">
        <v>79</v>
      </c>
      <c r="F72" s="2" t="s">
        <v>155</v>
      </c>
      <c r="G72" s="2" t="s">
        <v>156</v>
      </c>
      <c r="H72" s="2">
        <v>5</v>
      </c>
      <c r="I72" s="2">
        <v>3602.77</v>
      </c>
      <c r="J72" s="2"/>
      <c r="K72" s="2" t="s">
        <v>17</v>
      </c>
      <c r="L72" s="2" t="s">
        <v>121</v>
      </c>
    </row>
    <row r="73" spans="1:12" x14ac:dyDescent="0.2">
      <c r="A73" s="2">
        <v>100876</v>
      </c>
      <c r="B73" s="17">
        <v>45474</v>
      </c>
      <c r="C73" s="2" t="s">
        <v>188</v>
      </c>
      <c r="D73" s="2" t="s">
        <v>175</v>
      </c>
      <c r="E73" s="2" t="s">
        <v>38</v>
      </c>
      <c r="F73" s="2" t="s">
        <v>33</v>
      </c>
      <c r="G73" s="2" t="s">
        <v>34</v>
      </c>
      <c r="H73" s="2">
        <v>10</v>
      </c>
      <c r="I73" s="2">
        <v>270.23</v>
      </c>
      <c r="J73" s="2">
        <v>0</v>
      </c>
      <c r="K73" s="2" t="s">
        <v>29</v>
      </c>
      <c r="L73" s="2" t="s">
        <v>121</v>
      </c>
    </row>
    <row r="74" spans="1:12" x14ac:dyDescent="0.2">
      <c r="A74" s="2">
        <v>101574</v>
      </c>
      <c r="B74" s="18">
        <v>45528</v>
      </c>
      <c r="C74" s="2" t="s">
        <v>189</v>
      </c>
      <c r="D74" s="2" t="s">
        <v>181</v>
      </c>
      <c r="E74" s="2" t="s">
        <v>119</v>
      </c>
      <c r="F74" s="2" t="s">
        <v>70</v>
      </c>
      <c r="G74" s="2" t="s">
        <v>149</v>
      </c>
      <c r="H74" s="2">
        <v>10</v>
      </c>
      <c r="I74" s="2">
        <v>32415.23</v>
      </c>
      <c r="J74" s="2">
        <v>0.1</v>
      </c>
      <c r="K74" s="2" t="s">
        <v>29</v>
      </c>
      <c r="L74" s="2" t="s">
        <v>18</v>
      </c>
    </row>
    <row r="75" spans="1:12" x14ac:dyDescent="0.2">
      <c r="A75" s="2">
        <v>101892</v>
      </c>
      <c r="B75" s="18">
        <v>45619</v>
      </c>
      <c r="C75" s="2" t="s">
        <v>190</v>
      </c>
      <c r="D75" s="2" t="s">
        <v>73</v>
      </c>
      <c r="E75" s="2" t="s">
        <v>49</v>
      </c>
      <c r="F75" s="2" t="s">
        <v>191</v>
      </c>
      <c r="G75" s="2" t="s">
        <v>152</v>
      </c>
      <c r="H75" s="2">
        <v>7</v>
      </c>
      <c r="I75" s="2">
        <v>4926.3100000000004</v>
      </c>
      <c r="J75" s="2">
        <v>0.15</v>
      </c>
      <c r="K75" s="2" t="s">
        <v>41</v>
      </c>
      <c r="L75" s="2" t="s">
        <v>35</v>
      </c>
    </row>
    <row r="76" spans="1:12" x14ac:dyDescent="0.2">
      <c r="A76" s="2">
        <v>101899</v>
      </c>
      <c r="B76" s="17">
        <v>45520</v>
      </c>
      <c r="C76" s="2" t="s">
        <v>192</v>
      </c>
      <c r="D76" s="2" t="s">
        <v>109</v>
      </c>
      <c r="E76" s="2" t="s">
        <v>133</v>
      </c>
      <c r="F76" s="2" t="s">
        <v>80</v>
      </c>
      <c r="G76" s="2" t="s">
        <v>93</v>
      </c>
      <c r="H76" s="2">
        <v>9</v>
      </c>
      <c r="I76" s="2">
        <v>196.11</v>
      </c>
      <c r="J76" s="2">
        <v>0.1</v>
      </c>
      <c r="K76" s="2" t="s">
        <v>66</v>
      </c>
      <c r="L76" s="2" t="s">
        <v>52</v>
      </c>
    </row>
    <row r="77" spans="1:12" x14ac:dyDescent="0.2">
      <c r="A77" s="2">
        <v>101421</v>
      </c>
      <c r="B77" s="2" t="s">
        <v>193</v>
      </c>
      <c r="C77" s="2" t="s">
        <v>194</v>
      </c>
      <c r="D77" s="2" t="s">
        <v>58</v>
      </c>
      <c r="E77" s="2" t="s">
        <v>69</v>
      </c>
      <c r="F77" s="2" t="s">
        <v>86</v>
      </c>
      <c r="G77" s="2" t="s">
        <v>71</v>
      </c>
      <c r="H77" s="2">
        <v>4</v>
      </c>
      <c r="I77" s="2"/>
      <c r="J77" s="2">
        <v>0.15</v>
      </c>
      <c r="K77" s="2" t="s">
        <v>41</v>
      </c>
      <c r="L77" s="2" t="s">
        <v>42</v>
      </c>
    </row>
    <row r="78" spans="1:12" x14ac:dyDescent="0.2">
      <c r="A78" s="2">
        <v>100729</v>
      </c>
      <c r="B78" s="18">
        <v>45355</v>
      </c>
      <c r="C78" s="2" t="s">
        <v>195</v>
      </c>
      <c r="D78" s="2" t="s">
        <v>37</v>
      </c>
      <c r="E78" s="2" t="s">
        <v>38</v>
      </c>
      <c r="F78" s="2" t="s">
        <v>33</v>
      </c>
      <c r="G78" s="2" t="s">
        <v>34</v>
      </c>
      <c r="H78" s="2">
        <v>2</v>
      </c>
      <c r="I78" s="2" t="s">
        <v>196</v>
      </c>
      <c r="J78" s="2">
        <v>0</v>
      </c>
      <c r="K78" s="2" t="s">
        <v>83</v>
      </c>
      <c r="L78" s="2" t="s">
        <v>35</v>
      </c>
    </row>
    <row r="79" spans="1:12" x14ac:dyDescent="0.2">
      <c r="A79" s="2">
        <v>100238</v>
      </c>
      <c r="B79" s="17">
        <v>45418</v>
      </c>
      <c r="C79" s="2" t="s">
        <v>197</v>
      </c>
      <c r="D79" s="2" t="s">
        <v>27</v>
      </c>
      <c r="E79" s="2" t="s">
        <v>133</v>
      </c>
      <c r="F79" s="2" t="s">
        <v>55</v>
      </c>
      <c r="G79" s="2" t="s">
        <v>99</v>
      </c>
      <c r="H79" s="2">
        <v>7</v>
      </c>
      <c r="I79" s="2">
        <v>8500.59</v>
      </c>
      <c r="J79" s="2">
        <v>0.15</v>
      </c>
      <c r="K79" s="2" t="s">
        <v>66</v>
      </c>
      <c r="L79" s="2" t="s">
        <v>121</v>
      </c>
    </row>
    <row r="80" spans="1:12" x14ac:dyDescent="0.2">
      <c r="A80" s="2">
        <v>101174</v>
      </c>
      <c r="B80" s="17">
        <v>45613</v>
      </c>
      <c r="C80" s="2" t="s">
        <v>198</v>
      </c>
      <c r="D80" s="2" t="s">
        <v>101</v>
      </c>
      <c r="E80" s="2" t="s">
        <v>38</v>
      </c>
      <c r="F80" s="2" t="s">
        <v>80</v>
      </c>
      <c r="G80" s="2" t="s">
        <v>158</v>
      </c>
      <c r="H80" s="2">
        <v>12</v>
      </c>
      <c r="I80" s="2">
        <v>159.34</v>
      </c>
      <c r="J80" s="2">
        <v>5</v>
      </c>
      <c r="K80" s="2" t="s">
        <v>24</v>
      </c>
      <c r="L80" s="2" t="s">
        <v>52</v>
      </c>
    </row>
    <row r="81" spans="1:12" x14ac:dyDescent="0.2">
      <c r="A81" s="2">
        <v>100659</v>
      </c>
      <c r="B81" s="18">
        <v>45484</v>
      </c>
      <c r="C81" s="2" t="s">
        <v>199</v>
      </c>
      <c r="D81" s="2" t="s">
        <v>58</v>
      </c>
      <c r="E81" s="2" t="s">
        <v>69</v>
      </c>
      <c r="F81" s="2" t="s">
        <v>28</v>
      </c>
      <c r="G81" s="2" t="s">
        <v>16</v>
      </c>
      <c r="H81" s="2">
        <v>1</v>
      </c>
      <c r="I81" s="2">
        <v>12426.67</v>
      </c>
      <c r="J81" s="2">
        <v>0.25</v>
      </c>
      <c r="K81" s="2" t="s">
        <v>83</v>
      </c>
      <c r="L81" s="2" t="s">
        <v>143</v>
      </c>
    </row>
    <row r="82" spans="1:12" x14ac:dyDescent="0.2">
      <c r="A82" s="2">
        <v>101038</v>
      </c>
      <c r="B82" s="17">
        <v>45408</v>
      </c>
      <c r="C82" s="2" t="s">
        <v>200</v>
      </c>
      <c r="D82" s="2" t="s">
        <v>44</v>
      </c>
      <c r="E82" s="2" t="s">
        <v>54</v>
      </c>
      <c r="F82" s="2" t="s">
        <v>70</v>
      </c>
      <c r="G82" s="2" t="s">
        <v>149</v>
      </c>
      <c r="H82" s="2">
        <v>5</v>
      </c>
      <c r="I82" s="2">
        <v>22119.07</v>
      </c>
      <c r="J82" s="2">
        <v>15</v>
      </c>
      <c r="K82" s="2" t="s">
        <v>24</v>
      </c>
      <c r="L82" s="2" t="s">
        <v>121</v>
      </c>
    </row>
    <row r="83" spans="1:12" x14ac:dyDescent="0.2">
      <c r="A83" s="2">
        <v>101406</v>
      </c>
      <c r="B83" s="18">
        <v>45500</v>
      </c>
      <c r="C83" s="2" t="s">
        <v>201</v>
      </c>
      <c r="D83" s="2" t="s">
        <v>160</v>
      </c>
      <c r="E83" s="2" t="s">
        <v>49</v>
      </c>
      <c r="F83" s="2" t="s">
        <v>120</v>
      </c>
      <c r="G83" s="2" t="s">
        <v>75</v>
      </c>
      <c r="H83" s="2">
        <v>12</v>
      </c>
      <c r="I83" s="2">
        <v>413.28</v>
      </c>
      <c r="J83" s="2"/>
      <c r="K83" s="2" t="s">
        <v>17</v>
      </c>
      <c r="L83" s="2" t="s">
        <v>143</v>
      </c>
    </row>
    <row r="84" spans="1:12" x14ac:dyDescent="0.2">
      <c r="A84" s="2">
        <v>100650</v>
      </c>
      <c r="B84" s="17">
        <v>45512</v>
      </c>
      <c r="C84" s="2"/>
      <c r="D84" s="2" t="s">
        <v>175</v>
      </c>
      <c r="E84" s="2" t="s">
        <v>38</v>
      </c>
      <c r="F84" s="2" t="s">
        <v>80</v>
      </c>
      <c r="G84" s="2" t="s">
        <v>81</v>
      </c>
      <c r="H84" s="2">
        <v>2</v>
      </c>
      <c r="I84" s="2" t="s">
        <v>202</v>
      </c>
      <c r="J84" s="2">
        <v>0</v>
      </c>
      <c r="K84" s="2" t="s">
        <v>41</v>
      </c>
      <c r="L84" s="2" t="s">
        <v>18</v>
      </c>
    </row>
    <row r="85" spans="1:12" x14ac:dyDescent="0.2">
      <c r="A85" s="2">
        <v>100331</v>
      </c>
      <c r="B85" s="2" t="s">
        <v>203</v>
      </c>
      <c r="C85" s="2" t="s">
        <v>204</v>
      </c>
      <c r="D85" s="2" t="s">
        <v>58</v>
      </c>
      <c r="E85" s="2" t="s">
        <v>69</v>
      </c>
      <c r="F85" s="2" t="s">
        <v>191</v>
      </c>
      <c r="G85" s="2" t="s">
        <v>205</v>
      </c>
      <c r="H85" s="2">
        <v>11</v>
      </c>
      <c r="I85" s="2">
        <v>15801.9</v>
      </c>
      <c r="J85" s="2"/>
      <c r="K85" s="2" t="s">
        <v>29</v>
      </c>
      <c r="L85" s="2" t="s">
        <v>35</v>
      </c>
    </row>
    <row r="86" spans="1:12" x14ac:dyDescent="0.2">
      <c r="A86" s="2">
        <v>101650</v>
      </c>
      <c r="B86" s="18">
        <v>45427</v>
      </c>
      <c r="C86" s="2" t="s">
        <v>206</v>
      </c>
      <c r="D86" s="2" t="s">
        <v>31</v>
      </c>
      <c r="E86" s="2" t="s">
        <v>54</v>
      </c>
      <c r="F86" s="2" t="s">
        <v>50</v>
      </c>
      <c r="G86" s="2" t="s">
        <v>207</v>
      </c>
      <c r="H86" s="2">
        <v>9</v>
      </c>
      <c r="I86" s="2">
        <v>11212.91</v>
      </c>
      <c r="J86" s="2"/>
      <c r="K86" s="2" t="s">
        <v>41</v>
      </c>
      <c r="L86" s="2" t="s">
        <v>121</v>
      </c>
    </row>
    <row r="87" spans="1:12" x14ac:dyDescent="0.2">
      <c r="A87" s="2">
        <v>100893</v>
      </c>
      <c r="B87" s="17">
        <v>45615</v>
      </c>
      <c r="C87" s="2" t="s">
        <v>174</v>
      </c>
      <c r="D87" s="2" t="s">
        <v>27</v>
      </c>
      <c r="E87" s="2" t="s">
        <v>21</v>
      </c>
      <c r="F87" s="2" t="s">
        <v>96</v>
      </c>
      <c r="G87" s="2" t="s">
        <v>71</v>
      </c>
      <c r="H87" s="2">
        <v>7</v>
      </c>
      <c r="I87" s="2">
        <v>28575.9</v>
      </c>
      <c r="J87" s="2">
        <v>0</v>
      </c>
      <c r="K87" s="2" t="s">
        <v>66</v>
      </c>
      <c r="L87" s="2" t="s">
        <v>18</v>
      </c>
    </row>
    <row r="88" spans="1:12" x14ac:dyDescent="0.2">
      <c r="A88" s="2">
        <v>100393</v>
      </c>
      <c r="B88" s="17">
        <v>45559</v>
      </c>
      <c r="C88" s="2" t="s">
        <v>208</v>
      </c>
      <c r="D88" s="2" t="s">
        <v>27</v>
      </c>
      <c r="E88" s="2" t="s">
        <v>21</v>
      </c>
      <c r="F88" s="2" t="s">
        <v>80</v>
      </c>
      <c r="G88" s="2" t="s">
        <v>158</v>
      </c>
      <c r="H88" s="2">
        <v>11</v>
      </c>
      <c r="I88" s="2">
        <v>281.18</v>
      </c>
      <c r="J88" s="2">
        <v>0</v>
      </c>
      <c r="K88" s="2" t="s">
        <v>41</v>
      </c>
      <c r="L88" s="2" t="s">
        <v>25</v>
      </c>
    </row>
    <row r="89" spans="1:12" x14ac:dyDescent="0.2">
      <c r="A89" s="2">
        <v>101043</v>
      </c>
      <c r="B89" s="2" t="s">
        <v>209</v>
      </c>
      <c r="C89" s="2" t="s">
        <v>210</v>
      </c>
      <c r="D89" s="2" t="s">
        <v>37</v>
      </c>
      <c r="E89" s="2" t="s">
        <v>38</v>
      </c>
      <c r="F89" s="2" t="s">
        <v>86</v>
      </c>
      <c r="G89" s="2" t="s">
        <v>46</v>
      </c>
      <c r="H89" s="2">
        <v>8</v>
      </c>
      <c r="I89" s="2">
        <v>23287.4</v>
      </c>
      <c r="J89" s="2">
        <v>0</v>
      </c>
      <c r="K89" s="2" t="s">
        <v>41</v>
      </c>
      <c r="L89" s="2" t="s">
        <v>42</v>
      </c>
    </row>
    <row r="90" spans="1:12" x14ac:dyDescent="0.2">
      <c r="A90" s="2">
        <v>101959</v>
      </c>
      <c r="B90" s="18">
        <v>45584</v>
      </c>
      <c r="C90" s="2" t="s">
        <v>211</v>
      </c>
      <c r="D90" s="2" t="s">
        <v>37</v>
      </c>
      <c r="E90" s="2" t="s">
        <v>69</v>
      </c>
      <c r="F90" s="2" t="s">
        <v>15</v>
      </c>
      <c r="G90" s="2" t="s">
        <v>116</v>
      </c>
      <c r="H90" s="2">
        <v>9</v>
      </c>
      <c r="I90" s="2">
        <v>5692.62</v>
      </c>
      <c r="J90" s="2">
        <v>0</v>
      </c>
      <c r="K90" s="2" t="s">
        <v>29</v>
      </c>
      <c r="L90" s="2" t="s">
        <v>52</v>
      </c>
    </row>
    <row r="91" spans="1:12" x14ac:dyDescent="0.2">
      <c r="A91" s="2">
        <v>101050</v>
      </c>
      <c r="B91" s="18">
        <v>45382</v>
      </c>
      <c r="C91" s="2" t="s">
        <v>212</v>
      </c>
      <c r="D91" s="2" t="s">
        <v>160</v>
      </c>
      <c r="E91" s="2" t="s">
        <v>49</v>
      </c>
      <c r="F91" s="2" t="s">
        <v>15</v>
      </c>
      <c r="G91" s="2" t="s">
        <v>152</v>
      </c>
      <c r="H91" s="2"/>
      <c r="I91" s="2">
        <v>19538.34</v>
      </c>
      <c r="J91" s="2">
        <v>0.05</v>
      </c>
      <c r="K91" s="2" t="s">
        <v>66</v>
      </c>
      <c r="L91" s="2" t="s">
        <v>121</v>
      </c>
    </row>
    <row r="92" spans="1:12" x14ac:dyDescent="0.2">
      <c r="A92" s="2"/>
      <c r="B92" s="2"/>
      <c r="C92" s="2"/>
      <c r="D92" s="2"/>
      <c r="E92" s="2"/>
      <c r="F92" s="2"/>
      <c r="G92" s="2"/>
      <c r="H92" s="2"/>
      <c r="I92" s="2"/>
      <c r="J92" s="2"/>
      <c r="K92" s="2"/>
      <c r="L92" s="2"/>
    </row>
    <row r="93" spans="1:12" x14ac:dyDescent="0.2">
      <c r="A93" s="2">
        <v>100811</v>
      </c>
      <c r="B93" s="17">
        <v>45579</v>
      </c>
      <c r="C93" s="2" t="s">
        <v>213</v>
      </c>
      <c r="D93" s="2" t="s">
        <v>73</v>
      </c>
      <c r="E93" s="2" t="s">
        <v>79</v>
      </c>
      <c r="F93" s="2" t="s">
        <v>70</v>
      </c>
      <c r="G93" s="2" t="s">
        <v>46</v>
      </c>
      <c r="H93" s="2">
        <v>8</v>
      </c>
      <c r="I93" s="2">
        <v>16678.61</v>
      </c>
      <c r="J93" s="2">
        <v>0.1</v>
      </c>
      <c r="K93" s="2" t="s">
        <v>17</v>
      </c>
      <c r="L93" s="2" t="s">
        <v>25</v>
      </c>
    </row>
    <row r="94" spans="1:12" x14ac:dyDescent="0.2">
      <c r="A94" s="2">
        <v>100756</v>
      </c>
      <c r="B94" s="17">
        <v>45506</v>
      </c>
      <c r="C94" s="2" t="s">
        <v>12</v>
      </c>
      <c r="D94" s="2" t="s">
        <v>37</v>
      </c>
      <c r="E94" s="2" t="s">
        <v>38</v>
      </c>
      <c r="F94" s="2" t="s">
        <v>55</v>
      </c>
      <c r="G94" s="2" t="s">
        <v>56</v>
      </c>
      <c r="H94" s="2">
        <v>10</v>
      </c>
      <c r="I94" s="2">
        <v>2793.67</v>
      </c>
      <c r="J94" s="2">
        <v>0.05</v>
      </c>
      <c r="K94" s="2" t="s">
        <v>29</v>
      </c>
      <c r="L94" s="2" t="s">
        <v>52</v>
      </c>
    </row>
    <row r="95" spans="1:12" x14ac:dyDescent="0.2">
      <c r="A95" s="2">
        <v>101042</v>
      </c>
      <c r="B95" s="18">
        <v>45506</v>
      </c>
      <c r="C95" s="2" t="s">
        <v>214</v>
      </c>
      <c r="D95" s="2" t="s">
        <v>131</v>
      </c>
      <c r="E95" s="2" t="s">
        <v>133</v>
      </c>
      <c r="F95" s="2" t="s">
        <v>155</v>
      </c>
      <c r="G95" s="2" t="s">
        <v>103</v>
      </c>
      <c r="H95" s="2">
        <v>5</v>
      </c>
      <c r="I95" s="2">
        <v>2781.09</v>
      </c>
      <c r="J95" s="2">
        <v>0.05</v>
      </c>
      <c r="K95" s="2" t="s">
        <v>17</v>
      </c>
      <c r="L95" s="2" t="s">
        <v>25</v>
      </c>
    </row>
    <row r="96" spans="1:12" x14ac:dyDescent="0.2">
      <c r="A96" s="2">
        <v>101381</v>
      </c>
      <c r="B96" s="17">
        <v>45415</v>
      </c>
      <c r="C96" s="2" t="s">
        <v>215</v>
      </c>
      <c r="D96" s="2" t="s">
        <v>160</v>
      </c>
      <c r="E96" s="2" t="s">
        <v>79</v>
      </c>
      <c r="F96" s="2" t="s">
        <v>15</v>
      </c>
      <c r="G96" s="2" t="s">
        <v>116</v>
      </c>
      <c r="H96" s="2">
        <v>2</v>
      </c>
      <c r="I96" s="2">
        <v>19458.78</v>
      </c>
      <c r="J96" s="2">
        <v>0.15</v>
      </c>
      <c r="K96" s="2" t="s">
        <v>66</v>
      </c>
      <c r="L96" s="2" t="s">
        <v>25</v>
      </c>
    </row>
    <row r="97" spans="1:12" x14ac:dyDescent="0.2">
      <c r="A97" s="2">
        <v>101992</v>
      </c>
      <c r="B97" s="17">
        <v>45657</v>
      </c>
      <c r="C97" s="2" t="s">
        <v>216</v>
      </c>
      <c r="D97" s="2" t="s">
        <v>37</v>
      </c>
      <c r="E97" s="2" t="s">
        <v>38</v>
      </c>
      <c r="F97" s="2" t="s">
        <v>50</v>
      </c>
      <c r="G97" s="2" t="s">
        <v>51</v>
      </c>
      <c r="H97" s="2">
        <v>12</v>
      </c>
      <c r="I97" s="2"/>
      <c r="J97" s="2"/>
      <c r="K97" s="2" t="s">
        <v>83</v>
      </c>
      <c r="L97" s="2" t="s">
        <v>18</v>
      </c>
    </row>
    <row r="98" spans="1:12" x14ac:dyDescent="0.2">
      <c r="A98" s="2">
        <v>100301</v>
      </c>
      <c r="B98" s="18">
        <v>45518</v>
      </c>
      <c r="C98" s="2" t="s">
        <v>217</v>
      </c>
      <c r="D98" s="2" t="s">
        <v>92</v>
      </c>
      <c r="E98" s="2" t="s">
        <v>54</v>
      </c>
      <c r="F98" s="2" t="s">
        <v>74</v>
      </c>
      <c r="G98" s="2" t="s">
        <v>141</v>
      </c>
      <c r="H98" s="2">
        <v>8</v>
      </c>
      <c r="I98" s="2">
        <v>437.79</v>
      </c>
      <c r="J98" s="2">
        <v>0.25</v>
      </c>
      <c r="K98" s="2" t="s">
        <v>66</v>
      </c>
      <c r="L98" s="2" t="s">
        <v>87</v>
      </c>
    </row>
    <row r="99" spans="1:12" x14ac:dyDescent="0.2">
      <c r="A99" s="2">
        <v>101232</v>
      </c>
      <c r="B99" s="17">
        <v>45318</v>
      </c>
      <c r="C99" s="2"/>
      <c r="D99" s="2" t="s">
        <v>131</v>
      </c>
      <c r="E99" s="2" t="s">
        <v>133</v>
      </c>
      <c r="F99" s="2" t="s">
        <v>64</v>
      </c>
      <c r="G99" s="2" t="s">
        <v>40</v>
      </c>
      <c r="H99" s="2">
        <v>10</v>
      </c>
      <c r="I99" s="2">
        <v>596.95000000000005</v>
      </c>
      <c r="J99" s="2">
        <v>5</v>
      </c>
      <c r="K99" s="2" t="s">
        <v>24</v>
      </c>
      <c r="L99" s="2" t="s">
        <v>42</v>
      </c>
    </row>
    <row r="100" spans="1:12" x14ac:dyDescent="0.2">
      <c r="A100" s="2">
        <v>101224</v>
      </c>
      <c r="B100" s="18">
        <v>45468</v>
      </c>
      <c r="C100" s="2" t="s">
        <v>218</v>
      </c>
      <c r="D100" s="2" t="s">
        <v>37</v>
      </c>
      <c r="E100" s="2" t="s">
        <v>69</v>
      </c>
      <c r="F100" s="2" t="s">
        <v>80</v>
      </c>
      <c r="G100" s="2" t="s">
        <v>34</v>
      </c>
      <c r="H100" s="2">
        <v>10</v>
      </c>
      <c r="I100" s="2">
        <v>484.97</v>
      </c>
      <c r="J100" s="2">
        <v>0.25</v>
      </c>
      <c r="K100" s="2" t="s">
        <v>24</v>
      </c>
      <c r="L100" s="2" t="s">
        <v>121</v>
      </c>
    </row>
    <row r="101" spans="1:12" x14ac:dyDescent="0.2">
      <c r="A101" s="2">
        <v>100607</v>
      </c>
      <c r="B101" s="17">
        <v>45471</v>
      </c>
      <c r="C101" s="2" t="s">
        <v>219</v>
      </c>
      <c r="D101" s="2" t="s">
        <v>61</v>
      </c>
      <c r="E101" s="2" t="s">
        <v>119</v>
      </c>
      <c r="F101" s="2" t="s">
        <v>55</v>
      </c>
      <c r="G101" s="2" t="s">
        <v>56</v>
      </c>
      <c r="H101" s="2">
        <v>4</v>
      </c>
      <c r="I101" s="2">
        <v>2496.09</v>
      </c>
      <c r="J101" s="2">
        <v>0.2</v>
      </c>
      <c r="K101" s="2" t="s">
        <v>29</v>
      </c>
      <c r="L101" s="2" t="s">
        <v>121</v>
      </c>
    </row>
    <row r="102" spans="1:12" x14ac:dyDescent="0.2">
      <c r="A102" s="2">
        <v>100830</v>
      </c>
      <c r="B102" s="17">
        <v>45484</v>
      </c>
      <c r="C102" s="2" t="s">
        <v>220</v>
      </c>
      <c r="D102" s="2" t="s">
        <v>89</v>
      </c>
      <c r="E102" s="2" t="s">
        <v>32</v>
      </c>
      <c r="F102" s="2" t="s">
        <v>45</v>
      </c>
      <c r="G102" s="2" t="s">
        <v>97</v>
      </c>
      <c r="H102" s="2">
        <v>5</v>
      </c>
      <c r="I102" s="2">
        <v>30038.78</v>
      </c>
      <c r="J102" s="2"/>
      <c r="K102" s="2" t="s">
        <v>66</v>
      </c>
      <c r="L102" s="2" t="s">
        <v>25</v>
      </c>
    </row>
    <row r="103" spans="1:12" x14ac:dyDescent="0.2">
      <c r="A103" s="2"/>
      <c r="B103" s="2"/>
      <c r="C103" s="2"/>
      <c r="D103" s="2"/>
      <c r="E103" s="2"/>
      <c r="F103" s="2"/>
      <c r="G103" s="2"/>
      <c r="H103" s="2"/>
      <c r="I103" s="2"/>
      <c r="J103" s="2"/>
      <c r="K103" s="2"/>
      <c r="L103" s="2"/>
    </row>
    <row r="104" spans="1:12" x14ac:dyDescent="0.2">
      <c r="A104" s="2">
        <v>100946</v>
      </c>
      <c r="B104" s="17">
        <v>45621</v>
      </c>
      <c r="C104" s="2" t="s">
        <v>221</v>
      </c>
      <c r="D104" s="2" t="s">
        <v>85</v>
      </c>
      <c r="E104" s="2" t="s">
        <v>14</v>
      </c>
      <c r="F104" s="2" t="s">
        <v>39</v>
      </c>
      <c r="G104" s="2" t="s">
        <v>114</v>
      </c>
      <c r="H104" s="2">
        <v>1</v>
      </c>
      <c r="I104" s="2">
        <v>477.26</v>
      </c>
      <c r="J104" s="2">
        <v>0</v>
      </c>
      <c r="K104" s="2" t="s">
        <v>83</v>
      </c>
      <c r="L104" s="2" t="s">
        <v>87</v>
      </c>
    </row>
    <row r="105" spans="1:12" x14ac:dyDescent="0.2">
      <c r="A105" s="2">
        <v>101279</v>
      </c>
      <c r="B105" s="17">
        <v>45572</v>
      </c>
      <c r="C105" s="2" t="s">
        <v>19</v>
      </c>
      <c r="D105" s="2" t="s">
        <v>48</v>
      </c>
      <c r="E105" s="2" t="s">
        <v>49</v>
      </c>
      <c r="F105" s="2" t="s">
        <v>113</v>
      </c>
      <c r="G105" s="2" t="s">
        <v>40</v>
      </c>
      <c r="H105" s="2">
        <v>4</v>
      </c>
      <c r="I105" s="2">
        <v>457.21</v>
      </c>
      <c r="J105" s="2">
        <v>5</v>
      </c>
      <c r="K105" s="2" t="s">
        <v>41</v>
      </c>
      <c r="L105" s="2" t="s">
        <v>18</v>
      </c>
    </row>
    <row r="106" spans="1:12" x14ac:dyDescent="0.2">
      <c r="A106" s="2">
        <v>101049</v>
      </c>
      <c r="B106" s="17">
        <v>45579</v>
      </c>
      <c r="C106" s="2" t="s">
        <v>222</v>
      </c>
      <c r="D106" s="2" t="s">
        <v>31</v>
      </c>
      <c r="E106" s="2" t="s">
        <v>54</v>
      </c>
      <c r="F106" s="2" t="s">
        <v>223</v>
      </c>
      <c r="G106" s="2" t="s">
        <v>207</v>
      </c>
      <c r="H106" s="2">
        <v>3</v>
      </c>
      <c r="I106" s="2">
        <v>10266.65</v>
      </c>
      <c r="J106" s="2">
        <v>0</v>
      </c>
      <c r="K106" s="2" t="s">
        <v>29</v>
      </c>
      <c r="L106" s="2" t="s">
        <v>35</v>
      </c>
    </row>
    <row r="107" spans="1:12" x14ac:dyDescent="0.2">
      <c r="A107" s="2">
        <v>100427</v>
      </c>
      <c r="B107" s="17">
        <v>45338</v>
      </c>
      <c r="C107" s="2" t="s">
        <v>224</v>
      </c>
      <c r="D107" s="2" t="s">
        <v>44</v>
      </c>
      <c r="E107" s="2" t="s">
        <v>54</v>
      </c>
      <c r="F107" s="2" t="s">
        <v>155</v>
      </c>
      <c r="G107" s="2" t="s">
        <v>135</v>
      </c>
      <c r="H107" s="2">
        <v>4</v>
      </c>
      <c r="I107" s="2">
        <v>4310.47</v>
      </c>
      <c r="J107" s="2">
        <v>0.1</v>
      </c>
      <c r="K107" s="2" t="s">
        <v>41</v>
      </c>
      <c r="L107" s="2" t="s">
        <v>87</v>
      </c>
    </row>
    <row r="108" spans="1:12" x14ac:dyDescent="0.2">
      <c r="A108" s="2">
        <v>100684</v>
      </c>
      <c r="B108" s="18">
        <v>45439</v>
      </c>
      <c r="C108" s="2" t="s">
        <v>225</v>
      </c>
      <c r="D108" s="2" t="s">
        <v>89</v>
      </c>
      <c r="E108" s="2" t="s">
        <v>54</v>
      </c>
      <c r="F108" s="2" t="s">
        <v>124</v>
      </c>
      <c r="G108" s="2" t="s">
        <v>62</v>
      </c>
      <c r="H108" s="2">
        <v>9</v>
      </c>
      <c r="I108" s="2">
        <v>4641.54</v>
      </c>
      <c r="J108" s="2">
        <v>0.1</v>
      </c>
      <c r="K108" s="2" t="s">
        <v>17</v>
      </c>
      <c r="L108" s="2" t="s">
        <v>42</v>
      </c>
    </row>
    <row r="109" spans="1:12" x14ac:dyDescent="0.2">
      <c r="A109" s="2">
        <v>101197</v>
      </c>
      <c r="B109" s="17">
        <v>45656</v>
      </c>
      <c r="C109" s="2" t="s">
        <v>189</v>
      </c>
      <c r="D109" s="2" t="s">
        <v>20</v>
      </c>
      <c r="E109" s="2" t="s">
        <v>133</v>
      </c>
      <c r="F109" s="2" t="s">
        <v>64</v>
      </c>
      <c r="G109" s="2" t="s">
        <v>114</v>
      </c>
      <c r="H109" s="2">
        <v>12</v>
      </c>
      <c r="I109" s="2">
        <v>346.48</v>
      </c>
      <c r="J109" s="2">
        <v>0</v>
      </c>
      <c r="K109" s="2" t="s">
        <v>24</v>
      </c>
      <c r="L109" s="2" t="s">
        <v>87</v>
      </c>
    </row>
    <row r="110" spans="1:12" x14ac:dyDescent="0.2">
      <c r="A110" s="2">
        <v>101904</v>
      </c>
      <c r="B110" s="18">
        <v>45366</v>
      </c>
      <c r="C110" s="2" t="s">
        <v>226</v>
      </c>
      <c r="D110" s="2" t="s">
        <v>44</v>
      </c>
      <c r="E110" s="2" t="s">
        <v>32</v>
      </c>
      <c r="F110" s="2" t="s">
        <v>74</v>
      </c>
      <c r="G110" s="2" t="s">
        <v>23</v>
      </c>
      <c r="H110" s="2">
        <v>3</v>
      </c>
      <c r="I110" s="2">
        <v>3346.78</v>
      </c>
      <c r="J110" s="2">
        <v>0.25</v>
      </c>
      <c r="K110" s="2" t="s">
        <v>24</v>
      </c>
      <c r="L110" s="2" t="s">
        <v>87</v>
      </c>
    </row>
    <row r="111" spans="1:12" x14ac:dyDescent="0.2">
      <c r="A111" s="2">
        <v>100260</v>
      </c>
      <c r="B111" s="2" t="s">
        <v>227</v>
      </c>
      <c r="C111" s="2" t="s">
        <v>228</v>
      </c>
      <c r="D111" s="2" t="s">
        <v>58</v>
      </c>
      <c r="E111" s="2" t="s">
        <v>38</v>
      </c>
      <c r="F111" s="2" t="s">
        <v>86</v>
      </c>
      <c r="G111" s="2" t="s">
        <v>149</v>
      </c>
      <c r="H111" s="2">
        <v>6</v>
      </c>
      <c r="I111" s="2">
        <v>26623.85</v>
      </c>
      <c r="J111" s="2">
        <v>0.15</v>
      </c>
      <c r="K111" s="2" t="s">
        <v>66</v>
      </c>
      <c r="L111" s="2" t="s">
        <v>87</v>
      </c>
    </row>
    <row r="112" spans="1:12" x14ac:dyDescent="0.2">
      <c r="A112" s="2">
        <v>100341</v>
      </c>
      <c r="B112" s="17">
        <v>45315</v>
      </c>
      <c r="C112" s="2" t="s">
        <v>229</v>
      </c>
      <c r="D112" s="2" t="s">
        <v>44</v>
      </c>
      <c r="E112" s="2" t="s">
        <v>54</v>
      </c>
      <c r="F112" s="2" t="s">
        <v>120</v>
      </c>
      <c r="G112" s="2" t="s">
        <v>23</v>
      </c>
      <c r="H112" s="2">
        <v>12</v>
      </c>
      <c r="I112" s="2" t="s">
        <v>230</v>
      </c>
      <c r="J112" s="2">
        <v>0</v>
      </c>
      <c r="K112" s="2" t="s">
        <v>29</v>
      </c>
      <c r="L112" s="2" t="s">
        <v>35</v>
      </c>
    </row>
    <row r="113" spans="1:12" x14ac:dyDescent="0.2">
      <c r="A113" s="2">
        <v>100926</v>
      </c>
      <c r="B113" s="18">
        <v>45534</v>
      </c>
      <c r="C113" s="2" t="s">
        <v>231</v>
      </c>
      <c r="D113" s="2" t="s">
        <v>109</v>
      </c>
      <c r="E113" s="2" t="s">
        <v>133</v>
      </c>
      <c r="F113" s="2" t="s">
        <v>120</v>
      </c>
      <c r="G113" s="2" t="s">
        <v>232</v>
      </c>
      <c r="H113" s="2">
        <v>10</v>
      </c>
      <c r="I113" s="2">
        <v>1631.51</v>
      </c>
      <c r="J113" s="2">
        <v>10</v>
      </c>
      <c r="K113" s="2" t="s">
        <v>17</v>
      </c>
      <c r="L113" s="2" t="s">
        <v>143</v>
      </c>
    </row>
    <row r="114" spans="1:12" x14ac:dyDescent="0.2">
      <c r="A114" s="2">
        <v>101910</v>
      </c>
      <c r="B114" s="18">
        <v>45464</v>
      </c>
      <c r="C114" s="2" t="s">
        <v>233</v>
      </c>
      <c r="D114" s="2" t="s">
        <v>13</v>
      </c>
      <c r="E114" s="2" t="s">
        <v>14</v>
      </c>
      <c r="F114" s="2" t="s">
        <v>55</v>
      </c>
      <c r="G114" s="2" t="s">
        <v>56</v>
      </c>
      <c r="H114" s="2">
        <v>4</v>
      </c>
      <c r="I114" s="2">
        <v>5337.59</v>
      </c>
      <c r="J114" s="2">
        <v>0.15</v>
      </c>
      <c r="K114" s="2" t="s">
        <v>29</v>
      </c>
      <c r="L114" s="2" t="s">
        <v>35</v>
      </c>
    </row>
    <row r="115" spans="1:12" x14ac:dyDescent="0.2">
      <c r="A115" s="2">
        <v>100624</v>
      </c>
      <c r="B115" s="17">
        <v>45377</v>
      </c>
      <c r="C115" s="2" t="s">
        <v>234</v>
      </c>
      <c r="D115" s="2" t="s">
        <v>13</v>
      </c>
      <c r="E115" s="2" t="s">
        <v>14</v>
      </c>
      <c r="F115" s="2" t="s">
        <v>45</v>
      </c>
      <c r="G115" s="2" t="s">
        <v>97</v>
      </c>
      <c r="H115" s="2">
        <v>5</v>
      </c>
      <c r="I115" s="2">
        <v>40138.160000000003</v>
      </c>
      <c r="J115" s="2">
        <v>0</v>
      </c>
      <c r="K115" s="2" t="s">
        <v>83</v>
      </c>
      <c r="L115" s="2" t="s">
        <v>35</v>
      </c>
    </row>
    <row r="116" spans="1:12" x14ac:dyDescent="0.2">
      <c r="A116" s="2">
        <v>101437</v>
      </c>
      <c r="B116" s="17">
        <v>45600</v>
      </c>
      <c r="C116" s="2" t="s">
        <v>235</v>
      </c>
      <c r="D116" s="2" t="s">
        <v>181</v>
      </c>
      <c r="E116" s="2" t="s">
        <v>119</v>
      </c>
      <c r="F116" s="2" t="s">
        <v>33</v>
      </c>
      <c r="G116" s="2" t="s">
        <v>158</v>
      </c>
      <c r="H116" s="2">
        <v>11</v>
      </c>
      <c r="I116" s="2" t="s">
        <v>236</v>
      </c>
      <c r="J116" s="2">
        <v>0.25</v>
      </c>
      <c r="K116" s="2" t="s">
        <v>83</v>
      </c>
      <c r="L116" s="2" t="s">
        <v>42</v>
      </c>
    </row>
    <row r="117" spans="1:12" x14ac:dyDescent="0.2">
      <c r="A117" s="2">
        <v>101247</v>
      </c>
      <c r="B117" s="17">
        <v>45510</v>
      </c>
      <c r="C117" s="2" t="s">
        <v>237</v>
      </c>
      <c r="D117" s="2" t="s">
        <v>61</v>
      </c>
      <c r="E117" s="2" t="s">
        <v>119</v>
      </c>
      <c r="F117" s="2" t="s">
        <v>106</v>
      </c>
      <c r="G117" s="2" t="s">
        <v>137</v>
      </c>
      <c r="H117" s="2">
        <v>1</v>
      </c>
      <c r="I117" s="2">
        <v>2067.86</v>
      </c>
      <c r="J117" s="2">
        <v>0</v>
      </c>
      <c r="K117" s="2" t="s">
        <v>41</v>
      </c>
      <c r="L117" s="2" t="s">
        <v>25</v>
      </c>
    </row>
    <row r="118" spans="1:12" x14ac:dyDescent="0.2">
      <c r="A118" s="2">
        <v>100641</v>
      </c>
      <c r="B118" s="2" t="s">
        <v>238</v>
      </c>
      <c r="C118" s="2" t="s">
        <v>168</v>
      </c>
      <c r="D118" s="2" t="s">
        <v>48</v>
      </c>
      <c r="E118" s="2" t="s">
        <v>79</v>
      </c>
      <c r="F118" s="2" t="s">
        <v>15</v>
      </c>
      <c r="G118" s="2" t="s">
        <v>116</v>
      </c>
      <c r="H118" s="2">
        <v>9</v>
      </c>
      <c r="I118" s="2">
        <v>4724.13</v>
      </c>
      <c r="J118" s="2">
        <v>0.1</v>
      </c>
      <c r="K118" s="2" t="s">
        <v>24</v>
      </c>
      <c r="L118" s="2" t="s">
        <v>35</v>
      </c>
    </row>
    <row r="119" spans="1:12" x14ac:dyDescent="0.2">
      <c r="A119" s="2">
        <v>100141</v>
      </c>
      <c r="B119" s="2" t="s">
        <v>239</v>
      </c>
      <c r="C119" s="2" t="s">
        <v>240</v>
      </c>
      <c r="D119" s="2" t="s">
        <v>31</v>
      </c>
      <c r="E119" s="2" t="s">
        <v>32</v>
      </c>
      <c r="F119" s="2" t="s">
        <v>80</v>
      </c>
      <c r="G119" s="2" t="s">
        <v>34</v>
      </c>
      <c r="H119" s="2">
        <v>7</v>
      </c>
      <c r="I119" s="2">
        <v>55.02</v>
      </c>
      <c r="J119" s="2">
        <v>0</v>
      </c>
      <c r="K119" s="2" t="s">
        <v>24</v>
      </c>
      <c r="L119" s="2" t="s">
        <v>121</v>
      </c>
    </row>
    <row r="120" spans="1:12" x14ac:dyDescent="0.2">
      <c r="A120" s="2">
        <v>100596</v>
      </c>
      <c r="B120" s="17">
        <v>45399</v>
      </c>
      <c r="C120" s="2" t="s">
        <v>241</v>
      </c>
      <c r="D120" s="2" t="s">
        <v>31</v>
      </c>
      <c r="E120" s="2" t="s">
        <v>54</v>
      </c>
      <c r="F120" s="2" t="s">
        <v>113</v>
      </c>
      <c r="G120" s="2" t="s">
        <v>242</v>
      </c>
      <c r="H120" s="2">
        <v>2</v>
      </c>
      <c r="I120" s="2">
        <v>224.79</v>
      </c>
      <c r="J120" s="2">
        <v>0</v>
      </c>
      <c r="K120" s="2" t="s">
        <v>24</v>
      </c>
      <c r="L120" s="2" t="s">
        <v>42</v>
      </c>
    </row>
    <row r="121" spans="1:12" x14ac:dyDescent="0.2">
      <c r="A121" s="2">
        <v>100038</v>
      </c>
      <c r="B121" s="17">
        <v>45515</v>
      </c>
      <c r="C121" s="2" t="s">
        <v>243</v>
      </c>
      <c r="D121" s="2" t="s">
        <v>140</v>
      </c>
      <c r="E121" s="2" t="s">
        <v>79</v>
      </c>
      <c r="F121" s="2" t="s">
        <v>33</v>
      </c>
      <c r="G121" s="2" t="s">
        <v>81</v>
      </c>
      <c r="H121" s="2">
        <v>9</v>
      </c>
      <c r="I121" s="2">
        <v>358.46</v>
      </c>
      <c r="J121" s="2">
        <v>0</v>
      </c>
      <c r="K121" s="2" t="s">
        <v>29</v>
      </c>
      <c r="L121" s="2" t="s">
        <v>87</v>
      </c>
    </row>
    <row r="122" spans="1:12" x14ac:dyDescent="0.2">
      <c r="A122" s="2">
        <v>100880</v>
      </c>
      <c r="B122" s="17">
        <v>45650</v>
      </c>
      <c r="C122" s="2" t="s">
        <v>244</v>
      </c>
      <c r="D122" s="2" t="s">
        <v>31</v>
      </c>
      <c r="E122" s="2" t="s">
        <v>32</v>
      </c>
      <c r="F122" s="2" t="s">
        <v>74</v>
      </c>
      <c r="G122" s="2" t="s">
        <v>145</v>
      </c>
      <c r="H122" s="2">
        <v>7</v>
      </c>
      <c r="I122" s="2">
        <v>3142.87</v>
      </c>
      <c r="J122" s="2">
        <v>0</v>
      </c>
      <c r="K122" s="2" t="s">
        <v>24</v>
      </c>
      <c r="L122" s="2" t="s">
        <v>18</v>
      </c>
    </row>
    <row r="123" spans="1:12" x14ac:dyDescent="0.2">
      <c r="A123" s="2">
        <v>101511</v>
      </c>
      <c r="B123" s="18">
        <v>45427</v>
      </c>
      <c r="C123" s="2" t="s">
        <v>245</v>
      </c>
      <c r="D123" s="2" t="s">
        <v>44</v>
      </c>
      <c r="E123" s="2" t="s">
        <v>32</v>
      </c>
      <c r="F123" s="2" t="s">
        <v>106</v>
      </c>
      <c r="G123" s="2" t="s">
        <v>103</v>
      </c>
      <c r="H123" s="2">
        <v>8</v>
      </c>
      <c r="I123" s="2">
        <v>2669.28</v>
      </c>
      <c r="J123" s="2">
        <v>0.05</v>
      </c>
      <c r="K123" s="2" t="s">
        <v>66</v>
      </c>
      <c r="L123" s="2" t="s">
        <v>42</v>
      </c>
    </row>
    <row r="124" spans="1:12" x14ac:dyDescent="0.2">
      <c r="A124" s="2">
        <v>101699</v>
      </c>
      <c r="B124" s="18">
        <v>45349</v>
      </c>
      <c r="C124" s="2" t="s">
        <v>246</v>
      </c>
      <c r="D124" s="2" t="s">
        <v>13</v>
      </c>
      <c r="E124" s="2" t="s">
        <v>14</v>
      </c>
      <c r="F124" s="2" t="s">
        <v>55</v>
      </c>
      <c r="G124" s="2" t="s">
        <v>62</v>
      </c>
      <c r="H124" s="2">
        <v>2</v>
      </c>
      <c r="I124" s="2">
        <v>2997.28</v>
      </c>
      <c r="J124" s="2">
        <v>0</v>
      </c>
      <c r="K124" s="2" t="s">
        <v>17</v>
      </c>
      <c r="L124" s="2" t="s">
        <v>18</v>
      </c>
    </row>
    <row r="125" spans="1:12" x14ac:dyDescent="0.2">
      <c r="A125" s="2">
        <v>100515</v>
      </c>
      <c r="B125" s="18">
        <v>45464</v>
      </c>
      <c r="C125" s="2" t="s">
        <v>247</v>
      </c>
      <c r="D125" s="2" t="s">
        <v>160</v>
      </c>
      <c r="E125" s="2" t="s">
        <v>49</v>
      </c>
      <c r="F125" s="2" t="s">
        <v>64</v>
      </c>
      <c r="G125" s="2" t="s">
        <v>242</v>
      </c>
      <c r="H125" s="2">
        <v>1</v>
      </c>
      <c r="I125" s="2">
        <v>224.87</v>
      </c>
      <c r="J125" s="2">
        <v>0.15</v>
      </c>
      <c r="K125" s="2" t="s">
        <v>29</v>
      </c>
      <c r="L125" s="2" t="s">
        <v>25</v>
      </c>
    </row>
    <row r="126" spans="1:12" x14ac:dyDescent="0.2">
      <c r="A126" s="2">
        <v>101632</v>
      </c>
      <c r="B126" s="2" t="s">
        <v>248</v>
      </c>
      <c r="C126" s="2" t="s">
        <v>249</v>
      </c>
      <c r="D126" s="2" t="s">
        <v>92</v>
      </c>
      <c r="E126" s="2" t="s">
        <v>32</v>
      </c>
      <c r="F126" s="2" t="s">
        <v>28</v>
      </c>
      <c r="G126" s="2" t="s">
        <v>152</v>
      </c>
      <c r="H126" s="2">
        <v>10</v>
      </c>
      <c r="I126" s="2">
        <v>20672.93</v>
      </c>
      <c r="J126" s="2">
        <v>0.1</v>
      </c>
      <c r="K126" s="2" t="s">
        <v>17</v>
      </c>
      <c r="L126" s="2" t="s">
        <v>42</v>
      </c>
    </row>
    <row r="127" spans="1:12" x14ac:dyDescent="0.2">
      <c r="A127" s="2">
        <v>100059</v>
      </c>
      <c r="B127" s="18">
        <v>45402</v>
      </c>
      <c r="C127" s="2" t="s">
        <v>250</v>
      </c>
      <c r="D127" s="2" t="s">
        <v>101</v>
      </c>
      <c r="E127" s="2" t="s">
        <v>69</v>
      </c>
      <c r="F127" s="2" t="s">
        <v>50</v>
      </c>
      <c r="G127" s="2" t="s">
        <v>207</v>
      </c>
      <c r="H127" s="2">
        <v>2</v>
      </c>
      <c r="I127" s="2"/>
      <c r="J127" s="2">
        <v>0.25</v>
      </c>
      <c r="K127" s="2" t="s">
        <v>29</v>
      </c>
      <c r="L127" s="2" t="s">
        <v>35</v>
      </c>
    </row>
    <row r="128" spans="1:12" x14ac:dyDescent="0.2">
      <c r="A128" s="2">
        <v>101009</v>
      </c>
      <c r="B128" s="17">
        <v>45371</v>
      </c>
      <c r="C128" s="2" t="s">
        <v>251</v>
      </c>
      <c r="D128" s="2" t="s">
        <v>92</v>
      </c>
      <c r="E128" s="2" t="s">
        <v>32</v>
      </c>
      <c r="F128" s="2" t="s">
        <v>80</v>
      </c>
      <c r="G128" s="2" t="s">
        <v>158</v>
      </c>
      <c r="H128" s="2">
        <v>1</v>
      </c>
      <c r="I128" s="2"/>
      <c r="J128" s="2">
        <v>0.1</v>
      </c>
      <c r="K128" s="2" t="s">
        <v>41</v>
      </c>
      <c r="L128" s="2" t="s">
        <v>18</v>
      </c>
    </row>
    <row r="129" spans="1:12" x14ac:dyDescent="0.2">
      <c r="A129" s="2">
        <v>101795</v>
      </c>
      <c r="B129" s="2" t="s">
        <v>252</v>
      </c>
      <c r="C129" s="2" t="s">
        <v>253</v>
      </c>
      <c r="D129" s="2" t="s">
        <v>175</v>
      </c>
      <c r="E129" s="2" t="s">
        <v>69</v>
      </c>
      <c r="F129" s="2" t="s">
        <v>50</v>
      </c>
      <c r="G129" s="2" t="s">
        <v>51</v>
      </c>
      <c r="H129" s="2">
        <v>9</v>
      </c>
      <c r="I129" s="2">
        <v>4901.8900000000003</v>
      </c>
      <c r="J129" s="2">
        <v>5</v>
      </c>
      <c r="K129" s="2" t="s">
        <v>17</v>
      </c>
      <c r="L129" s="2" t="s">
        <v>121</v>
      </c>
    </row>
    <row r="130" spans="1:12" x14ac:dyDescent="0.2">
      <c r="A130" s="2">
        <v>100205</v>
      </c>
      <c r="B130" s="2" t="s">
        <v>254</v>
      </c>
      <c r="C130" s="2" t="s">
        <v>255</v>
      </c>
      <c r="D130" s="2" t="s">
        <v>89</v>
      </c>
      <c r="E130" s="2" t="s">
        <v>32</v>
      </c>
      <c r="F130" s="2" t="s">
        <v>120</v>
      </c>
      <c r="G130" s="2" t="s">
        <v>145</v>
      </c>
      <c r="H130" s="2">
        <v>12</v>
      </c>
      <c r="I130" s="2">
        <v>1899.66</v>
      </c>
      <c r="J130" s="2">
        <v>0</v>
      </c>
      <c r="K130" s="2" t="s">
        <v>66</v>
      </c>
      <c r="L130" s="2" t="s">
        <v>143</v>
      </c>
    </row>
    <row r="131" spans="1:12" x14ac:dyDescent="0.2">
      <c r="A131" s="2">
        <v>101737</v>
      </c>
      <c r="B131" s="17">
        <v>45549</v>
      </c>
      <c r="C131" s="2" t="s">
        <v>256</v>
      </c>
      <c r="D131" s="2" t="s">
        <v>58</v>
      </c>
      <c r="E131" s="2" t="s">
        <v>38</v>
      </c>
      <c r="F131" s="2" t="s">
        <v>33</v>
      </c>
      <c r="G131" s="2" t="s">
        <v>34</v>
      </c>
      <c r="H131" s="2">
        <v>3</v>
      </c>
      <c r="I131" s="2">
        <v>223.57</v>
      </c>
      <c r="J131" s="2"/>
      <c r="K131" s="2" t="s">
        <v>17</v>
      </c>
      <c r="L131" s="2" t="s">
        <v>35</v>
      </c>
    </row>
    <row r="132" spans="1:12" x14ac:dyDescent="0.2">
      <c r="A132" s="2">
        <v>101153</v>
      </c>
      <c r="B132" s="17">
        <v>45648</v>
      </c>
      <c r="C132" s="2" t="s">
        <v>257</v>
      </c>
      <c r="D132" s="2" t="s">
        <v>31</v>
      </c>
      <c r="E132" s="2" t="s">
        <v>32</v>
      </c>
      <c r="F132" s="2" t="s">
        <v>102</v>
      </c>
      <c r="G132" s="2" t="s">
        <v>137</v>
      </c>
      <c r="H132" s="2">
        <v>8</v>
      </c>
      <c r="I132" s="2">
        <v>1657.31</v>
      </c>
      <c r="J132" s="2">
        <v>0</v>
      </c>
      <c r="K132" s="2" t="s">
        <v>66</v>
      </c>
      <c r="L132" s="2" t="s">
        <v>18</v>
      </c>
    </row>
    <row r="133" spans="1:12" x14ac:dyDescent="0.2">
      <c r="A133" s="2">
        <v>101562</v>
      </c>
      <c r="B133" s="18">
        <v>45499</v>
      </c>
      <c r="C133" s="2" t="s">
        <v>258</v>
      </c>
      <c r="D133" s="2" t="s">
        <v>95</v>
      </c>
      <c r="E133" s="2" t="s">
        <v>133</v>
      </c>
      <c r="F133" s="2" t="s">
        <v>39</v>
      </c>
      <c r="G133" s="2" t="s">
        <v>40</v>
      </c>
      <c r="H133" s="2">
        <v>1</v>
      </c>
      <c r="I133" s="2">
        <v>57.63</v>
      </c>
      <c r="J133" s="2">
        <v>0</v>
      </c>
      <c r="K133" s="2" t="s">
        <v>24</v>
      </c>
      <c r="L133" s="2" t="s">
        <v>143</v>
      </c>
    </row>
    <row r="134" spans="1:12" x14ac:dyDescent="0.2">
      <c r="A134" s="2">
        <v>100263</v>
      </c>
      <c r="B134" s="18">
        <v>45379</v>
      </c>
      <c r="C134" s="2" t="s">
        <v>259</v>
      </c>
      <c r="D134" s="2" t="s">
        <v>95</v>
      </c>
      <c r="E134" s="2" t="s">
        <v>21</v>
      </c>
      <c r="F134" s="2" t="s">
        <v>223</v>
      </c>
      <c r="G134" s="2" t="s">
        <v>99</v>
      </c>
      <c r="H134" s="2">
        <v>6</v>
      </c>
      <c r="I134" s="2">
        <v>5252.05</v>
      </c>
      <c r="J134" s="2">
        <v>25</v>
      </c>
      <c r="K134" s="2" t="s">
        <v>41</v>
      </c>
      <c r="L134" s="2" t="s">
        <v>25</v>
      </c>
    </row>
    <row r="135" spans="1:12" x14ac:dyDescent="0.2">
      <c r="A135" s="2">
        <v>100638</v>
      </c>
      <c r="B135" s="18">
        <v>45488</v>
      </c>
      <c r="C135" s="2" t="s">
        <v>260</v>
      </c>
      <c r="D135" s="2" t="s">
        <v>175</v>
      </c>
      <c r="E135" s="2" t="s">
        <v>69</v>
      </c>
      <c r="F135" s="2" t="s">
        <v>191</v>
      </c>
      <c r="G135" s="2" t="s">
        <v>152</v>
      </c>
      <c r="H135" s="2">
        <v>10</v>
      </c>
      <c r="I135" s="2">
        <v>14485.06</v>
      </c>
      <c r="J135" s="2">
        <v>0.15</v>
      </c>
      <c r="K135" s="2" t="s">
        <v>17</v>
      </c>
      <c r="L135" s="2" t="s">
        <v>25</v>
      </c>
    </row>
    <row r="136" spans="1:12" x14ac:dyDescent="0.2">
      <c r="A136" s="2">
        <v>101181</v>
      </c>
      <c r="B136" s="18">
        <v>45587</v>
      </c>
      <c r="C136" s="2" t="s">
        <v>261</v>
      </c>
      <c r="D136" s="2" t="s">
        <v>58</v>
      </c>
      <c r="E136" s="2" t="s">
        <v>69</v>
      </c>
      <c r="F136" s="2" t="s">
        <v>55</v>
      </c>
      <c r="G136" s="2" t="s">
        <v>51</v>
      </c>
      <c r="H136" s="2">
        <v>9</v>
      </c>
      <c r="I136" s="2">
        <v>6108.8</v>
      </c>
      <c r="J136" s="2">
        <v>0</v>
      </c>
      <c r="K136" s="2" t="s">
        <v>24</v>
      </c>
      <c r="L136" s="2" t="s">
        <v>121</v>
      </c>
    </row>
    <row r="137" spans="1:12" x14ac:dyDescent="0.2">
      <c r="A137" s="2">
        <v>101204</v>
      </c>
      <c r="B137" s="17">
        <v>45303</v>
      </c>
      <c r="C137" s="2" t="s">
        <v>262</v>
      </c>
      <c r="D137" s="2" t="s">
        <v>95</v>
      </c>
      <c r="E137" s="2" t="s">
        <v>133</v>
      </c>
      <c r="F137" s="2" t="s">
        <v>70</v>
      </c>
      <c r="G137" s="2" t="s">
        <v>111</v>
      </c>
      <c r="H137" s="2">
        <v>11</v>
      </c>
      <c r="I137" s="2" t="s">
        <v>263</v>
      </c>
      <c r="J137" s="2">
        <v>0.05</v>
      </c>
      <c r="K137" s="2" t="s">
        <v>17</v>
      </c>
      <c r="L137" s="2" t="s">
        <v>143</v>
      </c>
    </row>
    <row r="138" spans="1:12" x14ac:dyDescent="0.2">
      <c r="A138" s="2">
        <v>100489</v>
      </c>
      <c r="B138" s="17">
        <v>45462</v>
      </c>
      <c r="C138" s="2" t="s">
        <v>264</v>
      </c>
      <c r="D138" s="2" t="s">
        <v>85</v>
      </c>
      <c r="E138" s="2" t="s">
        <v>119</v>
      </c>
      <c r="F138" s="2" t="s">
        <v>96</v>
      </c>
      <c r="G138" s="2" t="s">
        <v>97</v>
      </c>
      <c r="H138" s="2">
        <v>12</v>
      </c>
      <c r="I138" s="2">
        <v>40988.54</v>
      </c>
      <c r="J138" s="2">
        <v>0</v>
      </c>
      <c r="K138" s="2" t="s">
        <v>41</v>
      </c>
      <c r="L138" s="2" t="s">
        <v>121</v>
      </c>
    </row>
    <row r="139" spans="1:12" x14ac:dyDescent="0.2">
      <c r="A139" s="2">
        <v>101548</v>
      </c>
      <c r="B139" s="18">
        <v>45449</v>
      </c>
      <c r="C139" s="2" t="s">
        <v>200</v>
      </c>
      <c r="D139" s="2" t="s">
        <v>131</v>
      </c>
      <c r="E139" s="2" t="s">
        <v>21</v>
      </c>
      <c r="F139" s="2" t="s">
        <v>80</v>
      </c>
      <c r="G139" s="2" t="s">
        <v>93</v>
      </c>
      <c r="H139" s="2">
        <v>2</v>
      </c>
      <c r="I139" s="2"/>
      <c r="J139" s="2">
        <v>0.15</v>
      </c>
      <c r="K139" s="2" t="s">
        <v>66</v>
      </c>
      <c r="L139" s="2" t="s">
        <v>121</v>
      </c>
    </row>
    <row r="140" spans="1:12" x14ac:dyDescent="0.2">
      <c r="A140" s="2">
        <v>100008</v>
      </c>
      <c r="B140" s="18">
        <v>45400</v>
      </c>
      <c r="C140" s="2" t="s">
        <v>176</v>
      </c>
      <c r="D140" s="2" t="s">
        <v>73</v>
      </c>
      <c r="E140" s="2" t="s">
        <v>79</v>
      </c>
      <c r="F140" s="2" t="s">
        <v>70</v>
      </c>
      <c r="G140" s="2" t="s">
        <v>149</v>
      </c>
      <c r="H140" s="2">
        <v>11</v>
      </c>
      <c r="I140" s="2">
        <v>44042.33</v>
      </c>
      <c r="J140" s="2">
        <v>0.1</v>
      </c>
      <c r="K140" s="2" t="s">
        <v>29</v>
      </c>
      <c r="L140" s="2" t="s">
        <v>18</v>
      </c>
    </row>
    <row r="141" spans="1:12" x14ac:dyDescent="0.2">
      <c r="A141" s="2">
        <v>101426</v>
      </c>
      <c r="B141" s="2" t="s">
        <v>265</v>
      </c>
      <c r="C141" s="2" t="s">
        <v>266</v>
      </c>
      <c r="D141" s="2" t="s">
        <v>31</v>
      </c>
      <c r="E141" s="2" t="s">
        <v>54</v>
      </c>
      <c r="F141" s="2" t="s">
        <v>50</v>
      </c>
      <c r="G141" s="2" t="s">
        <v>62</v>
      </c>
      <c r="H141" s="2">
        <v>12</v>
      </c>
      <c r="I141" s="2"/>
      <c r="J141" s="2">
        <v>0</v>
      </c>
      <c r="K141" s="2" t="s">
        <v>24</v>
      </c>
      <c r="L141" s="2" t="s">
        <v>25</v>
      </c>
    </row>
    <row r="142" spans="1:12" x14ac:dyDescent="0.2">
      <c r="A142" s="2">
        <v>100721</v>
      </c>
      <c r="B142" s="18">
        <v>45482</v>
      </c>
      <c r="C142" s="2" t="s">
        <v>267</v>
      </c>
      <c r="D142" s="2" t="s">
        <v>109</v>
      </c>
      <c r="E142" s="2" t="s">
        <v>133</v>
      </c>
      <c r="F142" s="2" t="s">
        <v>113</v>
      </c>
      <c r="G142" s="2" t="s">
        <v>165</v>
      </c>
      <c r="H142" s="2">
        <v>8</v>
      </c>
      <c r="I142" s="2" t="s">
        <v>268</v>
      </c>
      <c r="J142" s="2">
        <v>0</v>
      </c>
      <c r="K142" s="2" t="s">
        <v>41</v>
      </c>
      <c r="L142" s="2" t="s">
        <v>121</v>
      </c>
    </row>
    <row r="143" spans="1:12" x14ac:dyDescent="0.2">
      <c r="A143" s="2">
        <v>101512</v>
      </c>
      <c r="B143" s="2" t="s">
        <v>269</v>
      </c>
      <c r="C143" s="2" t="s">
        <v>270</v>
      </c>
      <c r="D143" s="2" t="s">
        <v>61</v>
      </c>
      <c r="E143" s="2" t="s">
        <v>14</v>
      </c>
      <c r="F143" s="2" t="s">
        <v>28</v>
      </c>
      <c r="G143" s="2" t="s">
        <v>59</v>
      </c>
      <c r="H143" s="2">
        <v>10</v>
      </c>
      <c r="I143" s="2">
        <v>3328.43</v>
      </c>
      <c r="J143" s="2">
        <v>20</v>
      </c>
      <c r="K143" s="2" t="s">
        <v>83</v>
      </c>
      <c r="L143" s="2" t="s">
        <v>52</v>
      </c>
    </row>
    <row r="144" spans="1:12" x14ac:dyDescent="0.2">
      <c r="A144" s="2">
        <v>101830</v>
      </c>
      <c r="B144" s="18">
        <v>45372</v>
      </c>
      <c r="C144" s="2" t="s">
        <v>271</v>
      </c>
      <c r="D144" s="2" t="s">
        <v>101</v>
      </c>
      <c r="E144" s="2" t="s">
        <v>69</v>
      </c>
      <c r="F144" s="2" t="s">
        <v>223</v>
      </c>
      <c r="G144" s="2" t="s">
        <v>56</v>
      </c>
      <c r="H144" s="2">
        <v>1</v>
      </c>
      <c r="I144" s="2"/>
      <c r="J144" s="2"/>
      <c r="K144" s="2" t="s">
        <v>83</v>
      </c>
      <c r="L144" s="2" t="s">
        <v>52</v>
      </c>
    </row>
    <row r="145" spans="1:12" x14ac:dyDescent="0.2">
      <c r="A145" s="2">
        <v>100021</v>
      </c>
      <c r="B145" s="18">
        <v>45447</v>
      </c>
      <c r="C145" s="2" t="s">
        <v>272</v>
      </c>
      <c r="D145" s="2" t="s">
        <v>44</v>
      </c>
      <c r="E145" s="2" t="s">
        <v>54</v>
      </c>
      <c r="F145" s="2" t="s">
        <v>80</v>
      </c>
      <c r="G145" s="2" t="s">
        <v>158</v>
      </c>
      <c r="H145" s="2">
        <v>12</v>
      </c>
      <c r="I145" s="2">
        <v>139.35</v>
      </c>
      <c r="J145" s="2">
        <v>0.1</v>
      </c>
      <c r="K145" s="2" t="s">
        <v>83</v>
      </c>
      <c r="L145" s="2" t="s">
        <v>35</v>
      </c>
    </row>
    <row r="146" spans="1:12" x14ac:dyDescent="0.2">
      <c r="A146" s="2">
        <v>101377</v>
      </c>
      <c r="B146" s="18">
        <v>45348</v>
      </c>
      <c r="C146" s="2" t="s">
        <v>273</v>
      </c>
      <c r="D146" s="2" t="s">
        <v>58</v>
      </c>
      <c r="E146" s="2" t="s">
        <v>69</v>
      </c>
      <c r="F146" s="2" t="s">
        <v>102</v>
      </c>
      <c r="G146" s="2" t="s">
        <v>156</v>
      </c>
      <c r="H146" s="2">
        <v>2</v>
      </c>
      <c r="I146" s="2">
        <v>1657.86</v>
      </c>
      <c r="J146" s="2">
        <v>0</v>
      </c>
      <c r="K146" s="2" t="s">
        <v>83</v>
      </c>
      <c r="L146" s="2" t="s">
        <v>87</v>
      </c>
    </row>
    <row r="147" spans="1:12" x14ac:dyDescent="0.2">
      <c r="A147" s="2">
        <v>100432</v>
      </c>
      <c r="B147" s="17">
        <v>45514</v>
      </c>
      <c r="C147" s="2" t="s">
        <v>237</v>
      </c>
      <c r="D147" s="2" t="s">
        <v>89</v>
      </c>
      <c r="E147" s="2" t="s">
        <v>54</v>
      </c>
      <c r="F147" s="2" t="s">
        <v>74</v>
      </c>
      <c r="G147" s="2" t="s">
        <v>75</v>
      </c>
      <c r="H147" s="2">
        <v>8</v>
      </c>
      <c r="I147" s="2">
        <v>3165.8</v>
      </c>
      <c r="J147" s="2">
        <v>0</v>
      </c>
      <c r="K147" s="2" t="s">
        <v>17</v>
      </c>
      <c r="L147" s="2" t="s">
        <v>25</v>
      </c>
    </row>
    <row r="148" spans="1:12" x14ac:dyDescent="0.2">
      <c r="A148" s="2">
        <v>101578</v>
      </c>
      <c r="B148" s="17">
        <v>45588</v>
      </c>
      <c r="C148" s="2" t="s">
        <v>274</v>
      </c>
      <c r="D148" s="2" t="s">
        <v>48</v>
      </c>
      <c r="E148" s="2" t="s">
        <v>49</v>
      </c>
      <c r="F148" s="2" t="s">
        <v>50</v>
      </c>
      <c r="G148" s="2" t="s">
        <v>99</v>
      </c>
      <c r="H148" s="2">
        <v>6</v>
      </c>
      <c r="I148" s="2">
        <v>3130.25</v>
      </c>
      <c r="J148" s="2"/>
      <c r="K148" s="2" t="s">
        <v>41</v>
      </c>
      <c r="L148" s="2" t="s">
        <v>42</v>
      </c>
    </row>
    <row r="149" spans="1:12" x14ac:dyDescent="0.2">
      <c r="A149" s="2">
        <v>100717</v>
      </c>
      <c r="B149" s="2" t="s">
        <v>275</v>
      </c>
      <c r="C149" s="2" t="s">
        <v>180</v>
      </c>
      <c r="D149" s="2" t="s">
        <v>61</v>
      </c>
      <c r="E149" s="2" t="s">
        <v>14</v>
      </c>
      <c r="F149" s="2" t="s">
        <v>106</v>
      </c>
      <c r="G149" s="2" t="s">
        <v>135</v>
      </c>
      <c r="H149" s="2">
        <v>7</v>
      </c>
      <c r="I149" s="2">
        <v>3618.7</v>
      </c>
      <c r="J149" s="2">
        <v>5</v>
      </c>
      <c r="K149" s="2" t="s">
        <v>29</v>
      </c>
      <c r="L149" s="2" t="s">
        <v>52</v>
      </c>
    </row>
    <row r="150" spans="1:12" x14ac:dyDescent="0.2">
      <c r="A150" s="2">
        <v>100833</v>
      </c>
      <c r="B150" s="17">
        <v>45326</v>
      </c>
      <c r="C150" s="2" t="s">
        <v>221</v>
      </c>
      <c r="D150" s="2" t="s">
        <v>95</v>
      </c>
      <c r="E150" s="2" t="s">
        <v>21</v>
      </c>
      <c r="F150" s="2" t="s">
        <v>15</v>
      </c>
      <c r="G150" s="2" t="s">
        <v>59</v>
      </c>
      <c r="H150" s="2">
        <v>8</v>
      </c>
      <c r="I150" s="2">
        <v>6164.01</v>
      </c>
      <c r="J150" s="2">
        <v>20</v>
      </c>
      <c r="K150" s="2" t="s">
        <v>41</v>
      </c>
      <c r="L150" s="2" t="s">
        <v>87</v>
      </c>
    </row>
    <row r="151" spans="1:12" x14ac:dyDescent="0.2">
      <c r="A151" s="2">
        <v>101829</v>
      </c>
      <c r="B151" s="17">
        <v>45406</v>
      </c>
      <c r="C151" s="2" t="s">
        <v>276</v>
      </c>
      <c r="D151" s="2" t="s">
        <v>131</v>
      </c>
      <c r="E151" s="2" t="s">
        <v>133</v>
      </c>
      <c r="F151" s="2" t="s">
        <v>70</v>
      </c>
      <c r="G151" s="2" t="s">
        <v>97</v>
      </c>
      <c r="H151" s="2">
        <v>4</v>
      </c>
      <c r="I151" s="2">
        <v>30450.53</v>
      </c>
      <c r="J151" s="2">
        <v>0.15</v>
      </c>
      <c r="K151" s="2" t="s">
        <v>29</v>
      </c>
      <c r="L151" s="2" t="s">
        <v>25</v>
      </c>
    </row>
    <row r="152" spans="1:12" x14ac:dyDescent="0.2">
      <c r="A152" s="2">
        <v>101428</v>
      </c>
      <c r="B152" s="2" t="s">
        <v>277</v>
      </c>
      <c r="C152" s="2" t="s">
        <v>278</v>
      </c>
      <c r="D152" s="2" t="s">
        <v>175</v>
      </c>
      <c r="E152" s="2" t="s">
        <v>38</v>
      </c>
      <c r="F152" s="2" t="s">
        <v>64</v>
      </c>
      <c r="G152" s="2" t="s">
        <v>242</v>
      </c>
      <c r="H152" s="2">
        <v>9</v>
      </c>
      <c r="I152" s="2">
        <v>197.34</v>
      </c>
      <c r="J152" s="2">
        <v>0.05</v>
      </c>
      <c r="K152" s="2" t="s">
        <v>83</v>
      </c>
      <c r="L152" s="2" t="s">
        <v>35</v>
      </c>
    </row>
    <row r="153" spans="1:12" x14ac:dyDescent="0.2">
      <c r="A153" s="2">
        <v>101095</v>
      </c>
      <c r="B153" s="2" t="s">
        <v>279</v>
      </c>
      <c r="C153" s="2" t="s">
        <v>280</v>
      </c>
      <c r="D153" s="2" t="s">
        <v>44</v>
      </c>
      <c r="E153" s="2" t="s">
        <v>32</v>
      </c>
      <c r="F153" s="2" t="s">
        <v>113</v>
      </c>
      <c r="G153" s="2" t="s">
        <v>40</v>
      </c>
      <c r="H153" s="2"/>
      <c r="I153" s="2"/>
      <c r="J153" s="2">
        <v>0</v>
      </c>
      <c r="K153" s="2" t="s">
        <v>24</v>
      </c>
      <c r="L153" s="2" t="s">
        <v>52</v>
      </c>
    </row>
    <row r="154" spans="1:12" x14ac:dyDescent="0.2">
      <c r="A154" s="2">
        <v>100541</v>
      </c>
      <c r="B154" s="17">
        <v>45509</v>
      </c>
      <c r="C154" s="2" t="s">
        <v>281</v>
      </c>
      <c r="D154" s="2" t="s">
        <v>129</v>
      </c>
      <c r="E154" s="2" t="s">
        <v>79</v>
      </c>
      <c r="F154" s="2" t="s">
        <v>55</v>
      </c>
      <c r="G154" s="2" t="s">
        <v>51</v>
      </c>
      <c r="H154" s="2">
        <v>8</v>
      </c>
      <c r="I154" s="2">
        <v>6447.95</v>
      </c>
      <c r="J154" s="2">
        <v>0</v>
      </c>
      <c r="K154" s="2" t="s">
        <v>29</v>
      </c>
      <c r="L154" s="2" t="s">
        <v>87</v>
      </c>
    </row>
    <row r="155" spans="1:12" x14ac:dyDescent="0.2">
      <c r="A155" s="2">
        <v>100789</v>
      </c>
      <c r="B155" s="17">
        <v>45621</v>
      </c>
      <c r="C155" s="2" t="s">
        <v>282</v>
      </c>
      <c r="D155" s="2" t="s">
        <v>160</v>
      </c>
      <c r="E155" s="2" t="s">
        <v>49</v>
      </c>
      <c r="F155" s="2" t="s">
        <v>96</v>
      </c>
      <c r="G155" s="2" t="s">
        <v>149</v>
      </c>
      <c r="H155" s="2">
        <v>5</v>
      </c>
      <c r="I155" s="2" t="s">
        <v>283</v>
      </c>
      <c r="J155" s="2">
        <v>5</v>
      </c>
      <c r="K155" s="2" t="s">
        <v>41</v>
      </c>
      <c r="L155" s="2" t="s">
        <v>18</v>
      </c>
    </row>
    <row r="156" spans="1:12" x14ac:dyDescent="0.2">
      <c r="A156" s="2">
        <v>101006</v>
      </c>
      <c r="B156" s="17">
        <v>45419</v>
      </c>
      <c r="C156" s="2"/>
      <c r="D156" s="2" t="s">
        <v>85</v>
      </c>
      <c r="E156" s="2" t="s">
        <v>14</v>
      </c>
      <c r="F156" s="2" t="s">
        <v>74</v>
      </c>
      <c r="G156" s="2" t="s">
        <v>75</v>
      </c>
      <c r="H156" s="2">
        <v>6</v>
      </c>
      <c r="I156" s="2">
        <v>461.76</v>
      </c>
      <c r="J156" s="2">
        <v>0</v>
      </c>
      <c r="K156" s="2" t="s">
        <v>24</v>
      </c>
      <c r="L156" s="2" t="s">
        <v>52</v>
      </c>
    </row>
    <row r="157" spans="1:12" x14ac:dyDescent="0.2">
      <c r="A157" s="2">
        <v>100673</v>
      </c>
      <c r="B157" s="17">
        <v>45325</v>
      </c>
      <c r="C157" s="2" t="s">
        <v>284</v>
      </c>
      <c r="D157" s="2" t="s">
        <v>61</v>
      </c>
      <c r="E157" s="2" t="s">
        <v>14</v>
      </c>
      <c r="F157" s="2" t="s">
        <v>15</v>
      </c>
      <c r="G157" s="2" t="s">
        <v>59</v>
      </c>
      <c r="H157" s="2">
        <v>9</v>
      </c>
      <c r="I157" s="2">
        <v>7562.17</v>
      </c>
      <c r="J157" s="2"/>
      <c r="K157" s="2" t="s">
        <v>41</v>
      </c>
      <c r="L157" s="2" t="s">
        <v>25</v>
      </c>
    </row>
    <row r="158" spans="1:12" x14ac:dyDescent="0.2">
      <c r="A158" s="2">
        <v>100572</v>
      </c>
      <c r="B158" s="2" t="s">
        <v>285</v>
      </c>
      <c r="C158" s="2" t="s">
        <v>286</v>
      </c>
      <c r="D158" s="2" t="s">
        <v>181</v>
      </c>
      <c r="E158" s="2" t="s">
        <v>119</v>
      </c>
      <c r="F158" s="2" t="s">
        <v>55</v>
      </c>
      <c r="G158" s="2" t="s">
        <v>62</v>
      </c>
      <c r="H158" s="2">
        <v>3</v>
      </c>
      <c r="I158" s="2">
        <v>9300.7900000000009</v>
      </c>
      <c r="J158" s="2">
        <v>10</v>
      </c>
      <c r="K158" s="2" t="s">
        <v>24</v>
      </c>
      <c r="L158" s="2" t="s">
        <v>25</v>
      </c>
    </row>
    <row r="159" spans="1:12" x14ac:dyDescent="0.2">
      <c r="A159" s="2">
        <v>101605</v>
      </c>
      <c r="B159" s="17">
        <v>45543</v>
      </c>
      <c r="C159" s="2" t="s">
        <v>287</v>
      </c>
      <c r="D159" s="2" t="s">
        <v>58</v>
      </c>
      <c r="E159" s="2" t="s">
        <v>38</v>
      </c>
      <c r="F159" s="2" t="s">
        <v>80</v>
      </c>
      <c r="G159" s="2" t="s">
        <v>158</v>
      </c>
      <c r="H159" s="2">
        <v>7</v>
      </c>
      <c r="I159" s="2">
        <v>532.14</v>
      </c>
      <c r="J159" s="2"/>
      <c r="K159" s="2" t="s">
        <v>29</v>
      </c>
      <c r="L159" s="2" t="s">
        <v>87</v>
      </c>
    </row>
    <row r="160" spans="1:12" x14ac:dyDescent="0.2">
      <c r="A160" s="2">
        <v>101969</v>
      </c>
      <c r="B160" s="18">
        <v>45344</v>
      </c>
      <c r="C160" s="2" t="s">
        <v>288</v>
      </c>
      <c r="D160" s="2" t="s">
        <v>20</v>
      </c>
      <c r="E160" s="2" t="s">
        <v>21</v>
      </c>
      <c r="F160" s="2" t="s">
        <v>80</v>
      </c>
      <c r="G160" s="2" t="s">
        <v>93</v>
      </c>
      <c r="H160" s="2">
        <v>1</v>
      </c>
      <c r="I160" s="2">
        <v>155.63</v>
      </c>
      <c r="J160" s="2">
        <v>0</v>
      </c>
      <c r="K160" s="2" t="s">
        <v>17</v>
      </c>
      <c r="L160" s="2" t="s">
        <v>42</v>
      </c>
    </row>
    <row r="161" spans="1:12" x14ac:dyDescent="0.2">
      <c r="A161" s="2">
        <v>100928</v>
      </c>
      <c r="B161" s="17">
        <v>45485</v>
      </c>
      <c r="C161" s="2" t="s">
        <v>289</v>
      </c>
      <c r="D161" s="2" t="s">
        <v>181</v>
      </c>
      <c r="E161" s="2" t="s">
        <v>119</v>
      </c>
      <c r="F161" s="2" t="s">
        <v>64</v>
      </c>
      <c r="G161" s="2" t="s">
        <v>40</v>
      </c>
      <c r="H161" s="2">
        <v>3</v>
      </c>
      <c r="I161" s="2">
        <v>618.12</v>
      </c>
      <c r="J161" s="2"/>
      <c r="K161" s="2" t="s">
        <v>29</v>
      </c>
      <c r="L161" s="2" t="s">
        <v>18</v>
      </c>
    </row>
    <row r="162" spans="1:12" x14ac:dyDescent="0.2">
      <c r="A162" s="2">
        <v>101921</v>
      </c>
      <c r="B162" s="17">
        <v>45330</v>
      </c>
      <c r="C162" s="2" t="s">
        <v>290</v>
      </c>
      <c r="D162" s="2" t="s">
        <v>140</v>
      </c>
      <c r="E162" s="2" t="s">
        <v>79</v>
      </c>
      <c r="F162" s="2" t="s">
        <v>106</v>
      </c>
      <c r="G162" s="2" t="s">
        <v>135</v>
      </c>
      <c r="H162" s="2">
        <v>1</v>
      </c>
      <c r="I162" s="2">
        <v>1663.08</v>
      </c>
      <c r="J162" s="2">
        <v>0</v>
      </c>
      <c r="K162" s="2" t="s">
        <v>17</v>
      </c>
      <c r="L162" s="2" t="s">
        <v>52</v>
      </c>
    </row>
    <row r="163" spans="1:12" x14ac:dyDescent="0.2">
      <c r="A163" s="2">
        <v>101039</v>
      </c>
      <c r="B163" s="17">
        <v>45342</v>
      </c>
      <c r="C163" s="2" t="s">
        <v>291</v>
      </c>
      <c r="D163" s="2" t="s">
        <v>27</v>
      </c>
      <c r="E163" s="2" t="s">
        <v>21</v>
      </c>
      <c r="F163" s="2" t="s">
        <v>124</v>
      </c>
      <c r="G163" s="2" t="s">
        <v>62</v>
      </c>
      <c r="H163" s="2">
        <v>5</v>
      </c>
      <c r="I163" s="2">
        <v>2172.79</v>
      </c>
      <c r="J163" s="2">
        <v>20</v>
      </c>
      <c r="K163" s="2" t="s">
        <v>29</v>
      </c>
      <c r="L163" s="2" t="s">
        <v>42</v>
      </c>
    </row>
    <row r="164" spans="1:12" x14ac:dyDescent="0.2">
      <c r="A164" s="2">
        <v>100597</v>
      </c>
      <c r="B164" s="17">
        <v>45325</v>
      </c>
      <c r="C164" s="2" t="s">
        <v>30</v>
      </c>
      <c r="D164" s="2" t="s">
        <v>27</v>
      </c>
      <c r="E164" s="2" t="s">
        <v>133</v>
      </c>
      <c r="F164" s="2" t="s">
        <v>113</v>
      </c>
      <c r="G164" s="2" t="s">
        <v>292</v>
      </c>
      <c r="H164" s="2">
        <v>7</v>
      </c>
      <c r="I164" s="2"/>
      <c r="J164" s="2">
        <v>0.15</v>
      </c>
      <c r="K164" s="2" t="s">
        <v>29</v>
      </c>
      <c r="L164" s="2" t="s">
        <v>25</v>
      </c>
    </row>
    <row r="165" spans="1:12" x14ac:dyDescent="0.2">
      <c r="A165" s="2">
        <v>101981</v>
      </c>
      <c r="B165" s="18">
        <v>45480</v>
      </c>
      <c r="C165" s="2" t="s">
        <v>293</v>
      </c>
      <c r="D165" s="2" t="s">
        <v>31</v>
      </c>
      <c r="E165" s="2" t="s">
        <v>32</v>
      </c>
      <c r="F165" s="2" t="s">
        <v>80</v>
      </c>
      <c r="G165" s="2" t="s">
        <v>81</v>
      </c>
      <c r="H165" s="2">
        <v>-2</v>
      </c>
      <c r="I165" s="2">
        <v>461.93</v>
      </c>
      <c r="J165" s="2">
        <v>10</v>
      </c>
      <c r="K165" s="2" t="s">
        <v>24</v>
      </c>
      <c r="L165" s="2" t="s">
        <v>35</v>
      </c>
    </row>
    <row r="166" spans="1:12" x14ac:dyDescent="0.2">
      <c r="A166" s="2">
        <v>101671</v>
      </c>
      <c r="B166" s="17">
        <v>45638</v>
      </c>
      <c r="C166" s="2" t="s">
        <v>294</v>
      </c>
      <c r="D166" s="2" t="s">
        <v>101</v>
      </c>
      <c r="E166" s="2" t="s">
        <v>38</v>
      </c>
      <c r="F166" s="2" t="s">
        <v>155</v>
      </c>
      <c r="G166" s="2" t="s">
        <v>137</v>
      </c>
      <c r="H166" s="2">
        <v>10</v>
      </c>
      <c r="I166" s="2" t="s">
        <v>295</v>
      </c>
      <c r="J166" s="2">
        <v>0.05</v>
      </c>
      <c r="K166" s="2" t="s">
        <v>83</v>
      </c>
      <c r="L166" s="2" t="s">
        <v>87</v>
      </c>
    </row>
    <row r="167" spans="1:12" x14ac:dyDescent="0.2">
      <c r="A167" s="2">
        <v>100695</v>
      </c>
      <c r="B167" s="18">
        <v>45383</v>
      </c>
      <c r="C167" s="2" t="s">
        <v>296</v>
      </c>
      <c r="D167" s="2" t="s">
        <v>13</v>
      </c>
      <c r="E167" s="2" t="s">
        <v>14</v>
      </c>
      <c r="F167" s="2" t="s">
        <v>155</v>
      </c>
      <c r="G167" s="2" t="s">
        <v>103</v>
      </c>
      <c r="H167" s="2">
        <v>4</v>
      </c>
      <c r="I167" s="2">
        <v>4079.69</v>
      </c>
      <c r="J167" s="2">
        <v>0</v>
      </c>
      <c r="K167" s="2" t="s">
        <v>17</v>
      </c>
      <c r="L167" s="2" t="s">
        <v>121</v>
      </c>
    </row>
    <row r="168" spans="1:12" x14ac:dyDescent="0.2">
      <c r="A168" s="2">
        <v>101387</v>
      </c>
      <c r="B168" s="17">
        <v>45629</v>
      </c>
      <c r="C168" s="2" t="s">
        <v>297</v>
      </c>
      <c r="D168" s="2" t="s">
        <v>58</v>
      </c>
      <c r="E168" s="2" t="s">
        <v>38</v>
      </c>
      <c r="F168" s="2" t="s">
        <v>28</v>
      </c>
      <c r="G168" s="2" t="s">
        <v>16</v>
      </c>
      <c r="H168" s="2">
        <v>6</v>
      </c>
      <c r="I168" s="2">
        <v>20921.71</v>
      </c>
      <c r="J168" s="2">
        <v>0</v>
      </c>
      <c r="K168" s="2" t="s">
        <v>41</v>
      </c>
      <c r="L168" s="2" t="s">
        <v>42</v>
      </c>
    </row>
    <row r="169" spans="1:12" x14ac:dyDescent="0.2">
      <c r="A169" s="2">
        <v>101711</v>
      </c>
      <c r="B169" s="18">
        <v>45568</v>
      </c>
      <c r="C169" s="2" t="s">
        <v>298</v>
      </c>
      <c r="D169" s="2" t="s">
        <v>109</v>
      </c>
      <c r="E169" s="2" t="s">
        <v>133</v>
      </c>
      <c r="F169" s="2" t="s">
        <v>106</v>
      </c>
      <c r="G169" s="2" t="s">
        <v>156</v>
      </c>
      <c r="H169" s="2">
        <v>12</v>
      </c>
      <c r="I169" s="2">
        <v>3728.78</v>
      </c>
      <c r="J169" s="2">
        <v>0.1</v>
      </c>
      <c r="K169" s="2" t="s">
        <v>29</v>
      </c>
      <c r="L169" s="2" t="s">
        <v>52</v>
      </c>
    </row>
    <row r="170" spans="1:12" x14ac:dyDescent="0.2">
      <c r="A170" s="2">
        <v>100173</v>
      </c>
      <c r="B170" s="17">
        <v>45412</v>
      </c>
      <c r="C170" s="2" t="s">
        <v>299</v>
      </c>
      <c r="D170" s="2" t="s">
        <v>131</v>
      </c>
      <c r="E170" s="2" t="s">
        <v>21</v>
      </c>
      <c r="F170" s="2" t="s">
        <v>223</v>
      </c>
      <c r="G170" s="2" t="s">
        <v>51</v>
      </c>
      <c r="H170" s="2">
        <v>3</v>
      </c>
      <c r="I170" s="2">
        <v>11701.63</v>
      </c>
      <c r="J170" s="2">
        <v>0.05</v>
      </c>
      <c r="K170" s="2" t="s">
        <v>29</v>
      </c>
      <c r="L170" s="2" t="s">
        <v>35</v>
      </c>
    </row>
    <row r="171" spans="1:12" x14ac:dyDescent="0.2">
      <c r="A171" s="2">
        <v>100595</v>
      </c>
      <c r="B171" s="17">
        <v>45517</v>
      </c>
      <c r="C171" s="2"/>
      <c r="D171" s="2" t="s">
        <v>129</v>
      </c>
      <c r="E171" s="2" t="s">
        <v>49</v>
      </c>
      <c r="F171" s="2" t="s">
        <v>28</v>
      </c>
      <c r="G171" s="2" t="s">
        <v>205</v>
      </c>
      <c r="H171" s="2">
        <v>4</v>
      </c>
      <c r="I171" s="2">
        <v>6639.13</v>
      </c>
      <c r="J171" s="2">
        <v>15</v>
      </c>
      <c r="K171" s="2" t="s">
        <v>29</v>
      </c>
      <c r="L171" s="2" t="s">
        <v>42</v>
      </c>
    </row>
    <row r="172" spans="1:12" x14ac:dyDescent="0.2">
      <c r="A172" s="2">
        <v>101960</v>
      </c>
      <c r="B172" s="18">
        <v>45599</v>
      </c>
      <c r="C172" s="2"/>
      <c r="D172" s="2" t="s">
        <v>109</v>
      </c>
      <c r="E172" s="2" t="s">
        <v>133</v>
      </c>
      <c r="F172" s="2" t="s">
        <v>96</v>
      </c>
      <c r="G172" s="2" t="s">
        <v>71</v>
      </c>
      <c r="H172" s="2">
        <v>11</v>
      </c>
      <c r="I172" s="2">
        <v>41742.94</v>
      </c>
      <c r="J172" s="2">
        <v>10</v>
      </c>
      <c r="K172" s="2" t="s">
        <v>66</v>
      </c>
      <c r="L172" s="2" t="s">
        <v>25</v>
      </c>
    </row>
    <row r="173" spans="1:12" x14ac:dyDescent="0.2">
      <c r="A173" s="2">
        <v>101773</v>
      </c>
      <c r="B173" s="18">
        <v>45433</v>
      </c>
      <c r="C173" s="2" t="s">
        <v>300</v>
      </c>
      <c r="D173" s="2" t="s">
        <v>61</v>
      </c>
      <c r="E173" s="2" t="s">
        <v>14</v>
      </c>
      <c r="F173" s="2" t="s">
        <v>28</v>
      </c>
      <c r="G173" s="2" t="s">
        <v>16</v>
      </c>
      <c r="H173" s="2">
        <v>3</v>
      </c>
      <c r="I173" s="2">
        <v>23992.61</v>
      </c>
      <c r="J173" s="2">
        <v>0</v>
      </c>
      <c r="K173" s="2" t="s">
        <v>41</v>
      </c>
      <c r="L173" s="2" t="s">
        <v>42</v>
      </c>
    </row>
    <row r="174" spans="1:12" x14ac:dyDescent="0.2">
      <c r="A174" s="2">
        <v>100052</v>
      </c>
      <c r="B174" s="17">
        <v>45597</v>
      </c>
      <c r="C174" s="2" t="s">
        <v>301</v>
      </c>
      <c r="D174" s="2" t="s">
        <v>73</v>
      </c>
      <c r="E174" s="2" t="s">
        <v>79</v>
      </c>
      <c r="F174" s="2" t="s">
        <v>86</v>
      </c>
      <c r="G174" s="2" t="s">
        <v>46</v>
      </c>
      <c r="H174" s="2">
        <v>9</v>
      </c>
      <c r="I174" s="2">
        <v>44513.71</v>
      </c>
      <c r="J174" s="2">
        <v>0.05</v>
      </c>
      <c r="K174" s="2" t="s">
        <v>17</v>
      </c>
      <c r="L174" s="2" t="s">
        <v>87</v>
      </c>
    </row>
    <row r="175" spans="1:12" x14ac:dyDescent="0.2">
      <c r="A175" s="2">
        <v>100037</v>
      </c>
      <c r="B175" s="17">
        <v>45544</v>
      </c>
      <c r="C175" s="2"/>
      <c r="D175" s="2" t="s">
        <v>175</v>
      </c>
      <c r="E175" s="2" t="s">
        <v>38</v>
      </c>
      <c r="F175" s="2" t="s">
        <v>96</v>
      </c>
      <c r="G175" s="2" t="s">
        <v>153</v>
      </c>
      <c r="H175" s="2">
        <v>8</v>
      </c>
      <c r="I175" s="2">
        <v>27384.42</v>
      </c>
      <c r="J175" s="2">
        <v>0.2</v>
      </c>
      <c r="K175" s="2" t="s">
        <v>83</v>
      </c>
      <c r="L175" s="2" t="s">
        <v>52</v>
      </c>
    </row>
    <row r="176" spans="1:12" x14ac:dyDescent="0.2">
      <c r="A176" s="2">
        <v>101826</v>
      </c>
      <c r="B176" s="17">
        <v>45506</v>
      </c>
      <c r="C176" s="2" t="s">
        <v>302</v>
      </c>
      <c r="D176" s="2" t="s">
        <v>20</v>
      </c>
      <c r="E176" s="2" t="s">
        <v>133</v>
      </c>
      <c r="F176" s="2" t="s">
        <v>15</v>
      </c>
      <c r="G176" s="2" t="s">
        <v>116</v>
      </c>
      <c r="H176" s="2">
        <v>6</v>
      </c>
      <c r="I176" s="2">
        <v>16728.04</v>
      </c>
      <c r="J176" s="2">
        <v>0.1</v>
      </c>
      <c r="K176" s="2" t="s">
        <v>66</v>
      </c>
      <c r="L176" s="2" t="s">
        <v>121</v>
      </c>
    </row>
    <row r="177" spans="1:12" x14ac:dyDescent="0.2">
      <c r="A177" s="2">
        <v>101294</v>
      </c>
      <c r="B177" s="2" t="s">
        <v>303</v>
      </c>
      <c r="C177" s="2" t="s">
        <v>304</v>
      </c>
      <c r="D177" s="2" t="s">
        <v>85</v>
      </c>
      <c r="E177" s="2" t="s">
        <v>119</v>
      </c>
      <c r="F177" s="2" t="s">
        <v>28</v>
      </c>
      <c r="G177" s="2" t="s">
        <v>116</v>
      </c>
      <c r="H177" s="2">
        <v>9</v>
      </c>
      <c r="I177" s="2">
        <v>13348.76</v>
      </c>
      <c r="J177" s="2">
        <v>0.2</v>
      </c>
      <c r="K177" s="2" t="s">
        <v>29</v>
      </c>
      <c r="L177" s="2" t="s">
        <v>121</v>
      </c>
    </row>
    <row r="178" spans="1:12" x14ac:dyDescent="0.2">
      <c r="A178" s="2">
        <v>101151</v>
      </c>
      <c r="B178" s="2" t="s">
        <v>305</v>
      </c>
      <c r="C178" s="2" t="s">
        <v>213</v>
      </c>
      <c r="D178" s="2" t="s">
        <v>48</v>
      </c>
      <c r="E178" s="2" t="s">
        <v>79</v>
      </c>
      <c r="F178" s="2" t="s">
        <v>191</v>
      </c>
      <c r="G178" s="2" t="s">
        <v>205</v>
      </c>
      <c r="H178" s="2">
        <v>9</v>
      </c>
      <c r="I178" s="2">
        <v>4805.8599999999997</v>
      </c>
      <c r="J178" s="2">
        <v>0.1</v>
      </c>
      <c r="K178" s="2" t="s">
        <v>24</v>
      </c>
      <c r="L178" s="2" t="s">
        <v>87</v>
      </c>
    </row>
    <row r="179" spans="1:12" x14ac:dyDescent="0.2">
      <c r="A179" s="2">
        <v>100956</v>
      </c>
      <c r="B179" s="17">
        <v>45466</v>
      </c>
      <c r="C179" s="2" t="s">
        <v>306</v>
      </c>
      <c r="D179" s="2" t="s">
        <v>89</v>
      </c>
      <c r="E179" s="2" t="s">
        <v>32</v>
      </c>
      <c r="F179" s="2" t="s">
        <v>155</v>
      </c>
      <c r="G179" s="2" t="s">
        <v>137</v>
      </c>
      <c r="H179" s="2">
        <v>3</v>
      </c>
      <c r="I179" s="2">
        <v>4447.75</v>
      </c>
      <c r="J179" s="2">
        <v>0.2</v>
      </c>
      <c r="K179" s="2" t="s">
        <v>29</v>
      </c>
      <c r="L179" s="2" t="s">
        <v>143</v>
      </c>
    </row>
    <row r="180" spans="1:12" x14ac:dyDescent="0.2">
      <c r="A180" s="2">
        <v>100448</v>
      </c>
      <c r="B180" s="17">
        <v>45423</v>
      </c>
      <c r="C180" s="2" t="s">
        <v>217</v>
      </c>
      <c r="D180" s="2" t="s">
        <v>160</v>
      </c>
      <c r="E180" s="2" t="s">
        <v>79</v>
      </c>
      <c r="F180" s="2" t="s">
        <v>96</v>
      </c>
      <c r="G180" s="2" t="s">
        <v>149</v>
      </c>
      <c r="H180" s="2">
        <v>6</v>
      </c>
      <c r="I180" s="2">
        <v>43106.29</v>
      </c>
      <c r="J180" s="2">
        <v>0</v>
      </c>
      <c r="K180" s="2" t="s">
        <v>29</v>
      </c>
      <c r="L180" s="2" t="s">
        <v>25</v>
      </c>
    </row>
    <row r="181" spans="1:12" x14ac:dyDescent="0.2">
      <c r="A181" s="2">
        <v>101666</v>
      </c>
      <c r="B181" s="17">
        <v>45405</v>
      </c>
      <c r="C181" s="2" t="s">
        <v>307</v>
      </c>
      <c r="D181" s="2" t="s">
        <v>31</v>
      </c>
      <c r="E181" s="2" t="s">
        <v>54</v>
      </c>
      <c r="F181" s="2" t="s">
        <v>74</v>
      </c>
      <c r="G181" s="2" t="s">
        <v>232</v>
      </c>
      <c r="H181" s="2">
        <v>-3</v>
      </c>
      <c r="I181" s="2" t="s">
        <v>308</v>
      </c>
      <c r="J181" s="2">
        <v>0</v>
      </c>
      <c r="K181" s="2" t="s">
        <v>66</v>
      </c>
      <c r="L181" s="2" t="s">
        <v>42</v>
      </c>
    </row>
    <row r="182" spans="1:12" x14ac:dyDescent="0.2">
      <c r="A182" s="2">
        <v>101139</v>
      </c>
      <c r="B182" s="18">
        <v>45590</v>
      </c>
      <c r="C182" s="2" t="s">
        <v>309</v>
      </c>
      <c r="D182" s="2" t="s">
        <v>131</v>
      </c>
      <c r="E182" s="2" t="s">
        <v>133</v>
      </c>
      <c r="F182" s="2" t="s">
        <v>74</v>
      </c>
      <c r="G182" s="2" t="s">
        <v>145</v>
      </c>
      <c r="H182" s="2">
        <v>10</v>
      </c>
      <c r="I182" s="2">
        <v>1772.43</v>
      </c>
      <c r="J182" s="2"/>
      <c r="K182" s="2" t="s">
        <v>24</v>
      </c>
      <c r="L182" s="2" t="s">
        <v>42</v>
      </c>
    </row>
    <row r="183" spans="1:12" x14ac:dyDescent="0.2">
      <c r="A183" s="2">
        <v>101976</v>
      </c>
      <c r="B183" s="18">
        <v>45445</v>
      </c>
      <c r="C183" s="2" t="s">
        <v>310</v>
      </c>
      <c r="D183" s="2" t="s">
        <v>44</v>
      </c>
      <c r="E183" s="2" t="s">
        <v>54</v>
      </c>
      <c r="F183" s="2" t="s">
        <v>50</v>
      </c>
      <c r="G183" s="2" t="s">
        <v>62</v>
      </c>
      <c r="H183" s="2">
        <v>9</v>
      </c>
      <c r="I183" s="2">
        <v>4646.3599999999997</v>
      </c>
      <c r="J183" s="2">
        <v>0</v>
      </c>
      <c r="K183" s="2" t="s">
        <v>66</v>
      </c>
      <c r="L183" s="2" t="s">
        <v>143</v>
      </c>
    </row>
    <row r="184" spans="1:12" x14ac:dyDescent="0.2">
      <c r="A184" s="2">
        <v>100747</v>
      </c>
      <c r="B184" s="17">
        <v>45562</v>
      </c>
      <c r="C184" s="2" t="s">
        <v>311</v>
      </c>
      <c r="D184" s="2" t="s">
        <v>85</v>
      </c>
      <c r="E184" s="2" t="s">
        <v>119</v>
      </c>
      <c r="F184" s="2" t="s">
        <v>124</v>
      </c>
      <c r="G184" s="2" t="s">
        <v>56</v>
      </c>
      <c r="H184" s="2">
        <v>2</v>
      </c>
      <c r="I184" s="2"/>
      <c r="J184" s="2">
        <v>0</v>
      </c>
      <c r="K184" s="2" t="s">
        <v>66</v>
      </c>
      <c r="L184" s="2" t="s">
        <v>35</v>
      </c>
    </row>
    <row r="185" spans="1:12" x14ac:dyDescent="0.2">
      <c r="A185" s="2">
        <v>101331</v>
      </c>
      <c r="B185" s="17">
        <v>45586</v>
      </c>
      <c r="C185" s="2" t="s">
        <v>208</v>
      </c>
      <c r="D185" s="2" t="s">
        <v>31</v>
      </c>
      <c r="E185" s="2" t="s">
        <v>54</v>
      </c>
      <c r="F185" s="2" t="s">
        <v>102</v>
      </c>
      <c r="G185" s="2" t="s">
        <v>135</v>
      </c>
      <c r="H185" s="2">
        <v>8</v>
      </c>
      <c r="I185" s="2">
        <v>3770.51</v>
      </c>
      <c r="J185" s="2"/>
      <c r="K185" s="2" t="s">
        <v>29</v>
      </c>
      <c r="L185" s="2" t="s">
        <v>18</v>
      </c>
    </row>
    <row r="186" spans="1:12" x14ac:dyDescent="0.2">
      <c r="A186" s="2">
        <v>100361</v>
      </c>
      <c r="B186" s="18">
        <v>45342</v>
      </c>
      <c r="C186" s="2" t="s">
        <v>312</v>
      </c>
      <c r="D186" s="2" t="s">
        <v>48</v>
      </c>
      <c r="E186" s="2" t="s">
        <v>49</v>
      </c>
      <c r="F186" s="2" t="s">
        <v>39</v>
      </c>
      <c r="G186" s="2" t="s">
        <v>114</v>
      </c>
      <c r="H186" s="2">
        <v>3</v>
      </c>
      <c r="I186" s="2">
        <v>467.75</v>
      </c>
      <c r="J186" s="2"/>
      <c r="K186" s="2" t="s">
        <v>41</v>
      </c>
      <c r="L186" s="2" t="s">
        <v>121</v>
      </c>
    </row>
    <row r="187" spans="1:12" x14ac:dyDescent="0.2">
      <c r="A187" s="2">
        <v>100984</v>
      </c>
      <c r="B187" s="17">
        <v>45513</v>
      </c>
      <c r="C187" s="2" t="s">
        <v>313</v>
      </c>
      <c r="D187" s="2" t="s">
        <v>13</v>
      </c>
      <c r="E187" s="2" t="s">
        <v>119</v>
      </c>
      <c r="F187" s="2" t="s">
        <v>28</v>
      </c>
      <c r="G187" s="2" t="s">
        <v>16</v>
      </c>
      <c r="H187" s="2">
        <v>12</v>
      </c>
      <c r="I187" s="2">
        <v>11435.02</v>
      </c>
      <c r="J187" s="2">
        <v>0</v>
      </c>
      <c r="K187" s="2" t="s">
        <v>17</v>
      </c>
      <c r="L187" s="2" t="s">
        <v>42</v>
      </c>
    </row>
    <row r="188" spans="1:12" x14ac:dyDescent="0.2">
      <c r="A188" s="2">
        <v>101348</v>
      </c>
      <c r="B188" s="18">
        <v>45606</v>
      </c>
      <c r="C188" s="2" t="s">
        <v>314</v>
      </c>
      <c r="D188" s="2" t="s">
        <v>181</v>
      </c>
      <c r="E188" s="2" t="s">
        <v>14</v>
      </c>
      <c r="F188" s="2" t="s">
        <v>28</v>
      </c>
      <c r="G188" s="2" t="s">
        <v>116</v>
      </c>
      <c r="H188" s="2">
        <v>12</v>
      </c>
      <c r="I188" s="2">
        <v>10323.77</v>
      </c>
      <c r="J188" s="2">
        <v>0</v>
      </c>
      <c r="K188" s="2" t="s">
        <v>41</v>
      </c>
      <c r="L188" s="2" t="s">
        <v>52</v>
      </c>
    </row>
    <row r="189" spans="1:12" x14ac:dyDescent="0.2">
      <c r="A189" s="2">
        <v>101667</v>
      </c>
      <c r="B189" s="17">
        <v>45373</v>
      </c>
      <c r="C189" s="2" t="s">
        <v>315</v>
      </c>
      <c r="D189" s="2" t="s">
        <v>109</v>
      </c>
      <c r="E189" s="2" t="s">
        <v>133</v>
      </c>
      <c r="F189" s="2" t="s">
        <v>124</v>
      </c>
      <c r="G189" s="2" t="s">
        <v>207</v>
      </c>
      <c r="H189" s="2">
        <v>5</v>
      </c>
      <c r="I189" s="2">
        <v>11804.7</v>
      </c>
      <c r="J189" s="2">
        <v>15</v>
      </c>
      <c r="K189" s="2" t="s">
        <v>29</v>
      </c>
      <c r="L189" s="2" t="s">
        <v>143</v>
      </c>
    </row>
    <row r="190" spans="1:12" x14ac:dyDescent="0.2">
      <c r="A190" s="2">
        <v>100883</v>
      </c>
      <c r="B190" s="2" t="s">
        <v>316</v>
      </c>
      <c r="C190" s="2" t="s">
        <v>317</v>
      </c>
      <c r="D190" s="2" t="s">
        <v>181</v>
      </c>
      <c r="E190" s="2" t="s">
        <v>119</v>
      </c>
      <c r="F190" s="2" t="s">
        <v>80</v>
      </c>
      <c r="G190" s="2" t="s">
        <v>158</v>
      </c>
      <c r="H190" s="2">
        <v>12</v>
      </c>
      <c r="I190" s="2">
        <v>394.5</v>
      </c>
      <c r="J190" s="2">
        <v>20</v>
      </c>
      <c r="K190" s="2" t="s">
        <v>83</v>
      </c>
      <c r="L190" s="2" t="s">
        <v>35</v>
      </c>
    </row>
    <row r="191" spans="1:12" x14ac:dyDescent="0.2">
      <c r="A191" s="2">
        <v>100456</v>
      </c>
      <c r="B191" s="17">
        <v>45539</v>
      </c>
      <c r="C191" s="2" t="s">
        <v>318</v>
      </c>
      <c r="D191" s="2" t="s">
        <v>73</v>
      </c>
      <c r="E191" s="2" t="s">
        <v>79</v>
      </c>
      <c r="F191" s="2" t="s">
        <v>223</v>
      </c>
      <c r="G191" s="2" t="s">
        <v>56</v>
      </c>
      <c r="H191" s="2">
        <v>5</v>
      </c>
      <c r="I191" s="2"/>
      <c r="J191" s="2">
        <v>0</v>
      </c>
      <c r="K191" s="2" t="s">
        <v>83</v>
      </c>
      <c r="L191" s="2" t="s">
        <v>52</v>
      </c>
    </row>
    <row r="192" spans="1:12" x14ac:dyDescent="0.2">
      <c r="A192" s="2">
        <v>100147</v>
      </c>
      <c r="B192" s="17">
        <v>45373</v>
      </c>
      <c r="C192" s="2" t="s">
        <v>319</v>
      </c>
      <c r="D192" s="2" t="s">
        <v>44</v>
      </c>
      <c r="E192" s="2" t="s">
        <v>32</v>
      </c>
      <c r="F192" s="2" t="s">
        <v>86</v>
      </c>
      <c r="G192" s="2" t="s">
        <v>97</v>
      </c>
      <c r="H192" s="2">
        <v>1</v>
      </c>
      <c r="I192" s="2">
        <v>11027.38</v>
      </c>
      <c r="J192" s="2">
        <v>0.15</v>
      </c>
      <c r="K192" s="2" t="s">
        <v>29</v>
      </c>
      <c r="L192" s="2" t="s">
        <v>143</v>
      </c>
    </row>
    <row r="193" spans="1:12" x14ac:dyDescent="0.2">
      <c r="A193" s="2">
        <v>100312</v>
      </c>
      <c r="B193" s="18">
        <v>45393</v>
      </c>
      <c r="C193" s="2" t="s">
        <v>320</v>
      </c>
      <c r="D193" s="2" t="s">
        <v>160</v>
      </c>
      <c r="E193" s="2" t="s">
        <v>49</v>
      </c>
      <c r="F193" s="2" t="s">
        <v>102</v>
      </c>
      <c r="G193" s="2" t="s">
        <v>137</v>
      </c>
      <c r="H193" s="2">
        <v>2</v>
      </c>
      <c r="I193" s="2">
        <v>976.87</v>
      </c>
      <c r="J193" s="2"/>
      <c r="K193" s="2" t="s">
        <v>17</v>
      </c>
      <c r="L193" s="2" t="s">
        <v>25</v>
      </c>
    </row>
    <row r="194" spans="1:12" x14ac:dyDescent="0.2">
      <c r="A194" s="2">
        <v>100464</v>
      </c>
      <c r="B194" s="18">
        <v>45511</v>
      </c>
      <c r="C194" s="2" t="s">
        <v>192</v>
      </c>
      <c r="D194" s="2" t="s">
        <v>101</v>
      </c>
      <c r="E194" s="2" t="s">
        <v>38</v>
      </c>
      <c r="F194" s="2" t="s">
        <v>96</v>
      </c>
      <c r="G194" s="2" t="s">
        <v>149</v>
      </c>
      <c r="H194" s="2">
        <v>8</v>
      </c>
      <c r="I194" s="2">
        <v>13414.88</v>
      </c>
      <c r="J194" s="2"/>
      <c r="K194" s="2" t="s">
        <v>24</v>
      </c>
      <c r="L194" s="2" t="s">
        <v>35</v>
      </c>
    </row>
    <row r="195" spans="1:12" x14ac:dyDescent="0.2">
      <c r="A195" s="2">
        <v>100439</v>
      </c>
      <c r="B195" s="17">
        <v>45515</v>
      </c>
      <c r="C195" s="2" t="s">
        <v>321</v>
      </c>
      <c r="D195" s="2" t="s">
        <v>73</v>
      </c>
      <c r="E195" s="2" t="s">
        <v>79</v>
      </c>
      <c r="F195" s="2" t="s">
        <v>39</v>
      </c>
      <c r="G195" s="2" t="s">
        <v>165</v>
      </c>
      <c r="H195" s="2">
        <v>9</v>
      </c>
      <c r="I195" s="2">
        <v>807.85</v>
      </c>
      <c r="J195" s="2">
        <v>0.25</v>
      </c>
      <c r="K195" s="2" t="s">
        <v>41</v>
      </c>
      <c r="L195" s="2" t="s">
        <v>121</v>
      </c>
    </row>
    <row r="196" spans="1:12" x14ac:dyDescent="0.2">
      <c r="A196" s="2">
        <v>101680</v>
      </c>
      <c r="B196" s="17">
        <v>45475</v>
      </c>
      <c r="C196" s="2" t="s">
        <v>139</v>
      </c>
      <c r="D196" s="2" t="s">
        <v>101</v>
      </c>
      <c r="E196" s="2" t="s">
        <v>38</v>
      </c>
      <c r="F196" s="2" t="s">
        <v>39</v>
      </c>
      <c r="G196" s="2" t="s">
        <v>40</v>
      </c>
      <c r="H196" s="2">
        <v>7</v>
      </c>
      <c r="I196" s="2">
        <v>120.08</v>
      </c>
      <c r="J196" s="2">
        <v>0.25</v>
      </c>
      <c r="K196" s="2" t="s">
        <v>29</v>
      </c>
      <c r="L196" s="2" t="s">
        <v>18</v>
      </c>
    </row>
    <row r="197" spans="1:12" x14ac:dyDescent="0.2">
      <c r="A197" s="2">
        <v>100726</v>
      </c>
      <c r="B197" s="18">
        <v>45641</v>
      </c>
      <c r="C197" s="2"/>
      <c r="D197" s="2" t="s">
        <v>129</v>
      </c>
      <c r="E197" s="2" t="s">
        <v>79</v>
      </c>
      <c r="F197" s="2" t="s">
        <v>28</v>
      </c>
      <c r="G197" s="2" t="s">
        <v>16</v>
      </c>
      <c r="H197" s="2">
        <v>8</v>
      </c>
      <c r="I197" s="2">
        <v>18116.04</v>
      </c>
      <c r="J197" s="2">
        <v>0</v>
      </c>
      <c r="K197" s="2" t="s">
        <v>83</v>
      </c>
      <c r="L197" s="2" t="s">
        <v>42</v>
      </c>
    </row>
    <row r="198" spans="1:12" x14ac:dyDescent="0.2">
      <c r="A198" s="2">
        <v>100870</v>
      </c>
      <c r="B198" s="18">
        <v>45639</v>
      </c>
      <c r="C198" s="2" t="s">
        <v>168</v>
      </c>
      <c r="D198" s="2" t="s">
        <v>181</v>
      </c>
      <c r="E198" s="2" t="s">
        <v>14</v>
      </c>
      <c r="F198" s="2" t="s">
        <v>15</v>
      </c>
      <c r="G198" s="2" t="s">
        <v>205</v>
      </c>
      <c r="H198" s="2">
        <v>8</v>
      </c>
      <c r="I198" s="2">
        <v>22387.16</v>
      </c>
      <c r="J198" s="2">
        <v>0</v>
      </c>
      <c r="K198" s="2" t="s">
        <v>66</v>
      </c>
      <c r="L198" s="2" t="s">
        <v>35</v>
      </c>
    </row>
    <row r="199" spans="1:12" x14ac:dyDescent="0.2">
      <c r="A199" s="2">
        <v>101885</v>
      </c>
      <c r="B199" s="17">
        <v>45597</v>
      </c>
      <c r="C199" s="2"/>
      <c r="D199" s="2" t="s">
        <v>37</v>
      </c>
      <c r="E199" s="2" t="s">
        <v>38</v>
      </c>
      <c r="F199" s="2" t="s">
        <v>80</v>
      </c>
      <c r="G199" s="2" t="s">
        <v>81</v>
      </c>
      <c r="H199" s="2">
        <v>9</v>
      </c>
      <c r="I199" s="2">
        <v>331.3</v>
      </c>
      <c r="J199" s="2"/>
      <c r="K199" s="2" t="s">
        <v>83</v>
      </c>
      <c r="L199" s="2" t="s">
        <v>143</v>
      </c>
    </row>
    <row r="200" spans="1:12" x14ac:dyDescent="0.2">
      <c r="A200" s="2">
        <v>100397</v>
      </c>
      <c r="B200" s="18">
        <v>45547</v>
      </c>
      <c r="C200" s="2" t="s">
        <v>322</v>
      </c>
      <c r="D200" s="2" t="s">
        <v>92</v>
      </c>
      <c r="E200" s="2" t="s">
        <v>32</v>
      </c>
      <c r="F200" s="2" t="s">
        <v>15</v>
      </c>
      <c r="G200" s="2" t="s">
        <v>16</v>
      </c>
      <c r="H200" s="2">
        <v>7</v>
      </c>
      <c r="I200" s="2">
        <v>19455.64</v>
      </c>
      <c r="J200" s="2">
        <v>0</v>
      </c>
      <c r="K200" s="2" t="s">
        <v>17</v>
      </c>
      <c r="L200" s="2" t="s">
        <v>35</v>
      </c>
    </row>
    <row r="201" spans="1:12" x14ac:dyDescent="0.2">
      <c r="A201" s="2">
        <v>100739</v>
      </c>
      <c r="B201" s="17">
        <v>45400</v>
      </c>
      <c r="C201" s="2" t="s">
        <v>323</v>
      </c>
      <c r="D201" s="2" t="s">
        <v>101</v>
      </c>
      <c r="E201" s="2" t="s">
        <v>69</v>
      </c>
      <c r="F201" s="2" t="s">
        <v>28</v>
      </c>
      <c r="G201" s="2" t="s">
        <v>152</v>
      </c>
      <c r="H201" s="2">
        <v>3</v>
      </c>
      <c r="I201" s="2">
        <v>21173.25</v>
      </c>
      <c r="J201" s="2">
        <v>20</v>
      </c>
      <c r="K201" s="2" t="s">
        <v>17</v>
      </c>
      <c r="L201" s="2" t="s">
        <v>52</v>
      </c>
    </row>
    <row r="202" spans="1:12" x14ac:dyDescent="0.2">
      <c r="A202" s="2">
        <v>100958</v>
      </c>
      <c r="B202" s="17">
        <v>45557</v>
      </c>
      <c r="C202" s="2"/>
      <c r="D202" s="2" t="s">
        <v>181</v>
      </c>
      <c r="E202" s="2" t="s">
        <v>14</v>
      </c>
      <c r="F202" s="2" t="s">
        <v>64</v>
      </c>
      <c r="G202" s="2" t="s">
        <v>292</v>
      </c>
      <c r="H202" s="2">
        <v>8</v>
      </c>
      <c r="I202" s="2">
        <v>824.21</v>
      </c>
      <c r="J202" s="2">
        <v>0.15</v>
      </c>
      <c r="K202" s="2" t="s">
        <v>24</v>
      </c>
      <c r="L202" s="2" t="s">
        <v>35</v>
      </c>
    </row>
    <row r="203" spans="1:12" x14ac:dyDescent="0.2">
      <c r="A203" s="2">
        <v>100675</v>
      </c>
      <c r="B203" s="2" t="s">
        <v>324</v>
      </c>
      <c r="C203" s="2"/>
      <c r="D203" s="2" t="s">
        <v>44</v>
      </c>
      <c r="E203" s="2" t="s">
        <v>54</v>
      </c>
      <c r="F203" s="2" t="s">
        <v>70</v>
      </c>
      <c r="G203" s="2" t="s">
        <v>149</v>
      </c>
      <c r="H203" s="2">
        <v>5</v>
      </c>
      <c r="I203" s="2">
        <v>43380.42</v>
      </c>
      <c r="J203" s="2">
        <v>0</v>
      </c>
      <c r="K203" s="2" t="s">
        <v>29</v>
      </c>
      <c r="L203" s="2" t="s">
        <v>35</v>
      </c>
    </row>
    <row r="204" spans="1:12" x14ac:dyDescent="0.2">
      <c r="A204" s="2">
        <v>101939</v>
      </c>
      <c r="B204" s="18">
        <v>45361</v>
      </c>
      <c r="C204" s="2" t="s">
        <v>325</v>
      </c>
      <c r="D204" s="2" t="s">
        <v>20</v>
      </c>
      <c r="E204" s="2" t="s">
        <v>21</v>
      </c>
      <c r="F204" s="2" t="s">
        <v>33</v>
      </c>
      <c r="G204" s="2" t="s">
        <v>34</v>
      </c>
      <c r="H204" s="2">
        <v>12</v>
      </c>
      <c r="I204" s="2">
        <v>410.62</v>
      </c>
      <c r="J204" s="2">
        <v>0</v>
      </c>
      <c r="K204" s="2" t="s">
        <v>17</v>
      </c>
      <c r="L204" s="2" t="s">
        <v>18</v>
      </c>
    </row>
    <row r="205" spans="1:12" x14ac:dyDescent="0.2">
      <c r="A205" s="2">
        <v>100526</v>
      </c>
      <c r="B205" s="18">
        <v>45295</v>
      </c>
      <c r="C205" s="2" t="s">
        <v>326</v>
      </c>
      <c r="D205" s="2" t="s">
        <v>89</v>
      </c>
      <c r="E205" s="2" t="s">
        <v>54</v>
      </c>
      <c r="F205" s="2" t="s">
        <v>80</v>
      </c>
      <c r="G205" s="2" t="s">
        <v>81</v>
      </c>
      <c r="H205" s="2">
        <v>12</v>
      </c>
      <c r="I205" s="2">
        <v>461.87</v>
      </c>
      <c r="J205" s="2">
        <v>0</v>
      </c>
      <c r="K205" s="2" t="s">
        <v>83</v>
      </c>
      <c r="L205" s="2" t="s">
        <v>35</v>
      </c>
    </row>
    <row r="206" spans="1:12" x14ac:dyDescent="0.2">
      <c r="A206" s="2">
        <v>101337</v>
      </c>
      <c r="B206" s="18">
        <v>45365</v>
      </c>
      <c r="C206" s="2" t="s">
        <v>327</v>
      </c>
      <c r="D206" s="2" t="s">
        <v>58</v>
      </c>
      <c r="E206" s="2" t="s">
        <v>69</v>
      </c>
      <c r="F206" s="2" t="s">
        <v>15</v>
      </c>
      <c r="G206" s="2" t="s">
        <v>152</v>
      </c>
      <c r="H206" s="2">
        <v>9</v>
      </c>
      <c r="I206" s="2">
        <v>24122.47</v>
      </c>
      <c r="J206" s="2">
        <v>0.15</v>
      </c>
      <c r="K206" s="2" t="s">
        <v>24</v>
      </c>
      <c r="L206" s="2" t="s">
        <v>52</v>
      </c>
    </row>
    <row r="207" spans="1:12" x14ac:dyDescent="0.2">
      <c r="A207" s="2">
        <v>101786</v>
      </c>
      <c r="B207" s="17">
        <v>45345</v>
      </c>
      <c r="C207" s="2" t="s">
        <v>328</v>
      </c>
      <c r="D207" s="2" t="s">
        <v>73</v>
      </c>
      <c r="E207" s="2" t="s">
        <v>49</v>
      </c>
      <c r="F207" s="2" t="s">
        <v>55</v>
      </c>
      <c r="G207" s="2" t="s">
        <v>56</v>
      </c>
      <c r="H207" s="2">
        <v>6</v>
      </c>
      <c r="I207" s="2">
        <v>6558.77</v>
      </c>
      <c r="J207" s="2">
        <v>15</v>
      </c>
      <c r="K207" s="2" t="s">
        <v>24</v>
      </c>
      <c r="L207" s="2" t="s">
        <v>35</v>
      </c>
    </row>
    <row r="208" spans="1:12" x14ac:dyDescent="0.2">
      <c r="A208" s="2">
        <v>101556</v>
      </c>
      <c r="B208" s="2" t="s">
        <v>329</v>
      </c>
      <c r="C208" s="2" t="s">
        <v>330</v>
      </c>
      <c r="D208" s="2" t="s">
        <v>92</v>
      </c>
      <c r="E208" s="2" t="s">
        <v>32</v>
      </c>
      <c r="F208" s="2" t="s">
        <v>33</v>
      </c>
      <c r="G208" s="2" t="s">
        <v>158</v>
      </c>
      <c r="H208" s="2">
        <v>9</v>
      </c>
      <c r="I208" s="2">
        <v>262.04000000000002</v>
      </c>
      <c r="J208" s="2">
        <v>0</v>
      </c>
      <c r="K208" s="2" t="s">
        <v>24</v>
      </c>
      <c r="L208" s="2" t="s">
        <v>42</v>
      </c>
    </row>
    <row r="209" spans="1:12" x14ac:dyDescent="0.2">
      <c r="A209" s="2">
        <v>100453</v>
      </c>
      <c r="B209" s="17">
        <v>45519</v>
      </c>
      <c r="C209" s="2" t="s">
        <v>331</v>
      </c>
      <c r="D209" s="2" t="s">
        <v>175</v>
      </c>
      <c r="E209" s="2" t="s">
        <v>38</v>
      </c>
      <c r="F209" s="2" t="s">
        <v>15</v>
      </c>
      <c r="G209" s="2" t="s">
        <v>152</v>
      </c>
      <c r="H209" s="2">
        <v>3</v>
      </c>
      <c r="I209" s="2">
        <v>15091.21</v>
      </c>
      <c r="J209" s="2">
        <v>0.1</v>
      </c>
      <c r="K209" s="2" t="s">
        <v>41</v>
      </c>
      <c r="L209" s="2" t="s">
        <v>121</v>
      </c>
    </row>
    <row r="210" spans="1:12" x14ac:dyDescent="0.2">
      <c r="A210" s="2">
        <v>100591</v>
      </c>
      <c r="B210" s="17">
        <v>45510</v>
      </c>
      <c r="C210" s="2" t="s">
        <v>332</v>
      </c>
      <c r="D210" s="2" t="s">
        <v>58</v>
      </c>
      <c r="E210" s="2" t="s">
        <v>38</v>
      </c>
      <c r="F210" s="2" t="s">
        <v>113</v>
      </c>
      <c r="G210" s="2" t="s">
        <v>165</v>
      </c>
      <c r="H210" s="2">
        <v>10</v>
      </c>
      <c r="I210" s="2">
        <v>219.14</v>
      </c>
      <c r="J210" s="2">
        <v>0</v>
      </c>
      <c r="K210" s="2" t="s">
        <v>41</v>
      </c>
      <c r="L210" s="2" t="s">
        <v>18</v>
      </c>
    </row>
    <row r="211" spans="1:12" x14ac:dyDescent="0.2">
      <c r="A211" s="2">
        <v>101068</v>
      </c>
      <c r="B211" s="18">
        <v>45370</v>
      </c>
      <c r="C211" s="2" t="s">
        <v>313</v>
      </c>
      <c r="D211" s="2" t="s">
        <v>58</v>
      </c>
      <c r="E211" s="2" t="s">
        <v>38</v>
      </c>
      <c r="F211" s="2" t="s">
        <v>45</v>
      </c>
      <c r="G211" s="2" t="s">
        <v>71</v>
      </c>
      <c r="H211" s="2">
        <v>8</v>
      </c>
      <c r="I211" s="2">
        <v>30161.360000000001</v>
      </c>
      <c r="J211" s="2">
        <v>0.2</v>
      </c>
      <c r="K211" s="2" t="s">
        <v>83</v>
      </c>
      <c r="L211" s="2" t="s">
        <v>35</v>
      </c>
    </row>
    <row r="212" spans="1:12" x14ac:dyDescent="0.2">
      <c r="A212" s="2">
        <v>101150</v>
      </c>
      <c r="B212" s="17">
        <v>45579</v>
      </c>
      <c r="C212" s="2" t="s">
        <v>333</v>
      </c>
      <c r="D212" s="2" t="s">
        <v>160</v>
      </c>
      <c r="E212" s="2" t="s">
        <v>79</v>
      </c>
      <c r="F212" s="2" t="s">
        <v>120</v>
      </c>
      <c r="G212" s="2" t="s">
        <v>145</v>
      </c>
      <c r="H212" s="2">
        <v>5</v>
      </c>
      <c r="I212" s="2"/>
      <c r="J212" s="2">
        <v>0</v>
      </c>
      <c r="K212" s="2" t="s">
        <v>66</v>
      </c>
      <c r="L212" s="2" t="s">
        <v>143</v>
      </c>
    </row>
    <row r="213" spans="1:12" x14ac:dyDescent="0.2">
      <c r="A213" s="2">
        <v>100741</v>
      </c>
      <c r="B213" s="18">
        <v>45317</v>
      </c>
      <c r="C213" s="2" t="s">
        <v>334</v>
      </c>
      <c r="D213" s="2" t="s">
        <v>27</v>
      </c>
      <c r="E213" s="2" t="s">
        <v>21</v>
      </c>
      <c r="F213" s="2" t="s">
        <v>33</v>
      </c>
      <c r="G213" s="2" t="s">
        <v>93</v>
      </c>
      <c r="H213" s="2">
        <v>3</v>
      </c>
      <c r="I213" s="2">
        <v>254.93</v>
      </c>
      <c r="J213" s="2">
        <v>0.05</v>
      </c>
      <c r="K213" s="2" t="s">
        <v>66</v>
      </c>
      <c r="L213" s="2" t="s">
        <v>87</v>
      </c>
    </row>
    <row r="214" spans="1:12" x14ac:dyDescent="0.2">
      <c r="A214" s="2">
        <v>101606</v>
      </c>
      <c r="B214" s="18">
        <v>45635</v>
      </c>
      <c r="C214" s="2"/>
      <c r="D214" s="2" t="s">
        <v>13</v>
      </c>
      <c r="E214" s="2" t="s">
        <v>119</v>
      </c>
      <c r="F214" s="2" t="s">
        <v>86</v>
      </c>
      <c r="G214" s="2" t="s">
        <v>149</v>
      </c>
      <c r="H214" s="2">
        <v>12</v>
      </c>
      <c r="I214" s="2">
        <v>43735.65</v>
      </c>
      <c r="J214" s="2">
        <v>0.25</v>
      </c>
      <c r="K214" s="2" t="s">
        <v>41</v>
      </c>
      <c r="L214" s="2" t="s">
        <v>25</v>
      </c>
    </row>
    <row r="215" spans="1:12" x14ac:dyDescent="0.2">
      <c r="A215" s="2">
        <v>101871</v>
      </c>
      <c r="B215" s="18">
        <v>45300</v>
      </c>
      <c r="C215" s="2" t="s">
        <v>335</v>
      </c>
      <c r="D215" s="2" t="s">
        <v>92</v>
      </c>
      <c r="E215" s="2" t="s">
        <v>54</v>
      </c>
      <c r="F215" s="2" t="s">
        <v>70</v>
      </c>
      <c r="G215" s="2" t="s">
        <v>111</v>
      </c>
      <c r="H215" s="2">
        <v>6</v>
      </c>
      <c r="I215" s="2">
        <v>26019.759999999998</v>
      </c>
      <c r="J215" s="2">
        <v>0.05</v>
      </c>
      <c r="K215" s="2" t="s">
        <v>41</v>
      </c>
      <c r="L215" s="2" t="s">
        <v>35</v>
      </c>
    </row>
    <row r="216" spans="1:12" x14ac:dyDescent="0.2">
      <c r="A216" s="2">
        <v>100142</v>
      </c>
      <c r="B216" s="17">
        <v>45591</v>
      </c>
      <c r="C216" s="2" t="s">
        <v>336</v>
      </c>
      <c r="D216" s="2" t="s">
        <v>20</v>
      </c>
      <c r="E216" s="2" t="s">
        <v>133</v>
      </c>
      <c r="F216" s="2" t="s">
        <v>223</v>
      </c>
      <c r="G216" s="2" t="s">
        <v>62</v>
      </c>
      <c r="H216" s="2">
        <v>5</v>
      </c>
      <c r="I216" s="2">
        <v>8678.0499999999993</v>
      </c>
      <c r="J216" s="2">
        <v>0</v>
      </c>
      <c r="K216" s="2" t="s">
        <v>24</v>
      </c>
      <c r="L216" s="2" t="s">
        <v>87</v>
      </c>
    </row>
    <row r="217" spans="1:12" x14ac:dyDescent="0.2">
      <c r="A217" s="2">
        <v>100362</v>
      </c>
      <c r="B217" s="17">
        <v>45353</v>
      </c>
      <c r="C217" s="2" t="s">
        <v>337</v>
      </c>
      <c r="D217" s="2" t="s">
        <v>58</v>
      </c>
      <c r="E217" s="2" t="s">
        <v>38</v>
      </c>
      <c r="F217" s="2" t="s">
        <v>86</v>
      </c>
      <c r="G217" s="2" t="s">
        <v>46</v>
      </c>
      <c r="H217" s="2">
        <v>7</v>
      </c>
      <c r="I217" s="2" t="s">
        <v>338</v>
      </c>
      <c r="J217" s="2">
        <v>15</v>
      </c>
      <c r="K217" s="2" t="s">
        <v>24</v>
      </c>
      <c r="L217" s="2" t="s">
        <v>25</v>
      </c>
    </row>
    <row r="218" spans="1:12" x14ac:dyDescent="0.2">
      <c r="A218" s="2">
        <v>100836</v>
      </c>
      <c r="B218" s="17">
        <v>45429</v>
      </c>
      <c r="C218" s="2" t="s">
        <v>339</v>
      </c>
      <c r="D218" s="2" t="s">
        <v>44</v>
      </c>
      <c r="E218" s="2" t="s">
        <v>32</v>
      </c>
      <c r="F218" s="2" t="s">
        <v>74</v>
      </c>
      <c r="G218" s="2" t="s">
        <v>145</v>
      </c>
      <c r="H218" s="2">
        <v>12</v>
      </c>
      <c r="I218" s="2">
        <v>941.97</v>
      </c>
      <c r="J218" s="2">
        <v>0.1</v>
      </c>
      <c r="K218" s="2" t="s">
        <v>83</v>
      </c>
      <c r="L218" s="2" t="s">
        <v>35</v>
      </c>
    </row>
    <row r="219" spans="1:12" x14ac:dyDescent="0.2">
      <c r="A219" s="2">
        <v>101881</v>
      </c>
      <c r="B219" s="17">
        <v>45353</v>
      </c>
      <c r="C219" s="2" t="s">
        <v>310</v>
      </c>
      <c r="D219" s="2" t="s">
        <v>13</v>
      </c>
      <c r="E219" s="2" t="s">
        <v>14</v>
      </c>
      <c r="F219" s="2" t="s">
        <v>70</v>
      </c>
      <c r="G219" s="2" t="s">
        <v>111</v>
      </c>
      <c r="H219" s="2">
        <v>2</v>
      </c>
      <c r="I219" s="2" t="s">
        <v>340</v>
      </c>
      <c r="J219" s="2">
        <v>0.2</v>
      </c>
      <c r="K219" s="2" t="s">
        <v>66</v>
      </c>
      <c r="L219" s="2" t="s">
        <v>35</v>
      </c>
    </row>
    <row r="220" spans="1:12" x14ac:dyDescent="0.2">
      <c r="A220" s="2">
        <v>101917</v>
      </c>
      <c r="B220" s="17">
        <v>45419</v>
      </c>
      <c r="C220" s="2" t="s">
        <v>341</v>
      </c>
      <c r="D220" s="2" t="s">
        <v>109</v>
      </c>
      <c r="E220" s="2" t="s">
        <v>21</v>
      </c>
      <c r="F220" s="2" t="s">
        <v>120</v>
      </c>
      <c r="G220" s="2" t="s">
        <v>75</v>
      </c>
      <c r="H220" s="2">
        <v>9</v>
      </c>
      <c r="I220" s="2">
        <v>3326.02</v>
      </c>
      <c r="J220" s="2">
        <v>0.2</v>
      </c>
      <c r="K220" s="2" t="s">
        <v>41</v>
      </c>
      <c r="L220" s="2" t="s">
        <v>87</v>
      </c>
    </row>
    <row r="221" spans="1:12" x14ac:dyDescent="0.2">
      <c r="A221" s="2">
        <v>101386</v>
      </c>
      <c r="B221" s="17">
        <v>45345</v>
      </c>
      <c r="C221" s="2" t="s">
        <v>342</v>
      </c>
      <c r="D221" s="2" t="s">
        <v>140</v>
      </c>
      <c r="E221" s="2" t="s">
        <v>49</v>
      </c>
      <c r="F221" s="2" t="s">
        <v>102</v>
      </c>
      <c r="G221" s="2" t="s">
        <v>156</v>
      </c>
      <c r="H221" s="2">
        <v>12</v>
      </c>
      <c r="I221" s="2">
        <v>2038.91</v>
      </c>
      <c r="J221" s="2">
        <v>0.25</v>
      </c>
      <c r="K221" s="2" t="s">
        <v>29</v>
      </c>
      <c r="L221" s="2" t="s">
        <v>121</v>
      </c>
    </row>
    <row r="222" spans="1:12" x14ac:dyDescent="0.2">
      <c r="A222" s="2">
        <v>101873</v>
      </c>
      <c r="B222" s="18">
        <v>45405</v>
      </c>
      <c r="C222" s="2" t="s">
        <v>343</v>
      </c>
      <c r="D222" s="2" t="s">
        <v>58</v>
      </c>
      <c r="E222" s="2" t="s">
        <v>38</v>
      </c>
      <c r="F222" s="2" t="s">
        <v>64</v>
      </c>
      <c r="G222" s="2" t="s">
        <v>292</v>
      </c>
      <c r="H222" s="2">
        <v>8</v>
      </c>
      <c r="I222" s="2">
        <v>322.11</v>
      </c>
      <c r="J222" s="2"/>
      <c r="K222" s="2" t="s">
        <v>41</v>
      </c>
      <c r="L222" s="2" t="s">
        <v>87</v>
      </c>
    </row>
    <row r="223" spans="1:12" x14ac:dyDescent="0.2">
      <c r="A223" s="2">
        <v>100368</v>
      </c>
      <c r="B223" s="17">
        <v>45618</v>
      </c>
      <c r="C223" s="2" t="s">
        <v>344</v>
      </c>
      <c r="D223" s="2" t="s">
        <v>27</v>
      </c>
      <c r="E223" s="2" t="s">
        <v>133</v>
      </c>
      <c r="F223" s="2" t="s">
        <v>124</v>
      </c>
      <c r="G223" s="2" t="s">
        <v>56</v>
      </c>
      <c r="H223" s="2">
        <v>8</v>
      </c>
      <c r="I223" s="2"/>
      <c r="J223" s="2">
        <v>5</v>
      </c>
      <c r="K223" s="2" t="s">
        <v>66</v>
      </c>
      <c r="L223" s="2" t="s">
        <v>42</v>
      </c>
    </row>
    <row r="224" spans="1:12" x14ac:dyDescent="0.2">
      <c r="A224" s="2">
        <v>101994</v>
      </c>
      <c r="B224" s="17">
        <v>45385</v>
      </c>
      <c r="C224" s="2" t="s">
        <v>234</v>
      </c>
      <c r="D224" s="2" t="s">
        <v>13</v>
      </c>
      <c r="E224" s="2" t="s">
        <v>14</v>
      </c>
      <c r="F224" s="2" t="s">
        <v>15</v>
      </c>
      <c r="G224" s="2" t="s">
        <v>16</v>
      </c>
      <c r="H224" s="2">
        <v>4</v>
      </c>
      <c r="I224" s="2">
        <v>3114.05</v>
      </c>
      <c r="J224" s="2">
        <v>0</v>
      </c>
      <c r="K224" s="2" t="s">
        <v>41</v>
      </c>
      <c r="L224" s="2" t="s">
        <v>121</v>
      </c>
    </row>
    <row r="225" spans="1:12" x14ac:dyDescent="0.2">
      <c r="A225" s="2">
        <v>101188</v>
      </c>
      <c r="B225" s="17">
        <v>45563</v>
      </c>
      <c r="C225" s="2" t="s">
        <v>345</v>
      </c>
      <c r="D225" s="2" t="s">
        <v>101</v>
      </c>
      <c r="E225" s="2" t="s">
        <v>38</v>
      </c>
      <c r="F225" s="2" t="s">
        <v>106</v>
      </c>
      <c r="G225" s="2" t="s">
        <v>135</v>
      </c>
      <c r="H225" s="2">
        <v>1</v>
      </c>
      <c r="I225" s="2">
        <v>699.67</v>
      </c>
      <c r="J225" s="2">
        <v>0.1</v>
      </c>
      <c r="K225" s="2" t="s">
        <v>66</v>
      </c>
      <c r="L225" s="2" t="s">
        <v>143</v>
      </c>
    </row>
    <row r="226" spans="1:12" x14ac:dyDescent="0.2">
      <c r="A226" s="2">
        <v>100831</v>
      </c>
      <c r="B226" s="18">
        <v>45306</v>
      </c>
      <c r="C226" s="2" t="s">
        <v>346</v>
      </c>
      <c r="D226" s="2" t="s">
        <v>89</v>
      </c>
      <c r="E226" s="2" t="s">
        <v>54</v>
      </c>
      <c r="F226" s="2" t="s">
        <v>86</v>
      </c>
      <c r="G226" s="2" t="s">
        <v>71</v>
      </c>
      <c r="H226" s="2">
        <v>5</v>
      </c>
      <c r="I226" s="2" t="s">
        <v>347</v>
      </c>
      <c r="J226" s="2">
        <v>0.25</v>
      </c>
      <c r="K226" s="2" t="s">
        <v>17</v>
      </c>
      <c r="L226" s="2" t="s">
        <v>143</v>
      </c>
    </row>
    <row r="227" spans="1:12" x14ac:dyDescent="0.2">
      <c r="A227" s="2">
        <v>101636</v>
      </c>
      <c r="B227" s="18">
        <v>45300</v>
      </c>
      <c r="C227" s="2" t="s">
        <v>348</v>
      </c>
      <c r="D227" s="2" t="s">
        <v>109</v>
      </c>
      <c r="E227" s="2" t="s">
        <v>133</v>
      </c>
      <c r="F227" s="2" t="s">
        <v>155</v>
      </c>
      <c r="G227" s="2" t="s">
        <v>156</v>
      </c>
      <c r="H227" s="2">
        <v>2</v>
      </c>
      <c r="I227" s="2">
        <v>3529.68</v>
      </c>
      <c r="J227" s="2">
        <v>5</v>
      </c>
      <c r="K227" s="2" t="s">
        <v>24</v>
      </c>
      <c r="L227" s="2" t="s">
        <v>18</v>
      </c>
    </row>
    <row r="228" spans="1:12" x14ac:dyDescent="0.2">
      <c r="A228" s="2">
        <v>101978</v>
      </c>
      <c r="B228" s="17">
        <v>45385</v>
      </c>
      <c r="C228" s="2" t="s">
        <v>349</v>
      </c>
      <c r="D228" s="2" t="s">
        <v>85</v>
      </c>
      <c r="E228" s="2" t="s">
        <v>119</v>
      </c>
      <c r="F228" s="2" t="s">
        <v>80</v>
      </c>
      <c r="G228" s="2" t="s">
        <v>93</v>
      </c>
      <c r="H228" s="2">
        <v>9</v>
      </c>
      <c r="I228" s="2" t="s">
        <v>350</v>
      </c>
      <c r="J228" s="2"/>
      <c r="K228" s="2" t="s">
        <v>17</v>
      </c>
      <c r="L228" s="2" t="s">
        <v>25</v>
      </c>
    </row>
    <row r="229" spans="1:12" x14ac:dyDescent="0.2">
      <c r="A229" s="2">
        <v>100352</v>
      </c>
      <c r="B229" s="17">
        <v>45468</v>
      </c>
      <c r="C229" s="2" t="s">
        <v>351</v>
      </c>
      <c r="D229" s="2" t="s">
        <v>160</v>
      </c>
      <c r="E229" s="2" t="s">
        <v>79</v>
      </c>
      <c r="F229" s="2" t="s">
        <v>33</v>
      </c>
      <c r="G229" s="2" t="s">
        <v>34</v>
      </c>
      <c r="H229" s="2">
        <v>9</v>
      </c>
      <c r="I229" s="2">
        <v>587.30999999999995</v>
      </c>
      <c r="J229" s="2">
        <v>0.1</v>
      </c>
      <c r="K229" s="2" t="s">
        <v>17</v>
      </c>
      <c r="L229" s="2" t="s">
        <v>25</v>
      </c>
    </row>
    <row r="230" spans="1:12" x14ac:dyDescent="0.2">
      <c r="A230" s="2">
        <v>100545</v>
      </c>
      <c r="B230" s="18">
        <v>45595</v>
      </c>
      <c r="C230" s="2" t="s">
        <v>352</v>
      </c>
      <c r="D230" s="2" t="s">
        <v>175</v>
      </c>
      <c r="E230" s="2" t="s">
        <v>38</v>
      </c>
      <c r="F230" s="2" t="s">
        <v>106</v>
      </c>
      <c r="G230" s="2" t="s">
        <v>137</v>
      </c>
      <c r="H230" s="2">
        <v>2</v>
      </c>
      <c r="I230" s="2">
        <v>3422.63</v>
      </c>
      <c r="J230" s="2">
        <v>0.2</v>
      </c>
      <c r="K230" s="2" t="s">
        <v>17</v>
      </c>
      <c r="L230" s="2" t="s">
        <v>143</v>
      </c>
    </row>
    <row r="231" spans="1:12" x14ac:dyDescent="0.2">
      <c r="A231" s="2">
        <v>101168</v>
      </c>
      <c r="B231" s="17">
        <v>45432</v>
      </c>
      <c r="C231" s="2" t="s">
        <v>353</v>
      </c>
      <c r="D231" s="2" t="s">
        <v>92</v>
      </c>
      <c r="E231" s="2" t="s">
        <v>54</v>
      </c>
      <c r="F231" s="2" t="s">
        <v>50</v>
      </c>
      <c r="G231" s="2" t="s">
        <v>51</v>
      </c>
      <c r="H231" s="2">
        <v>5</v>
      </c>
      <c r="I231" s="2">
        <v>4030.02</v>
      </c>
      <c r="J231" s="2">
        <v>0</v>
      </c>
      <c r="K231" s="2" t="s">
        <v>83</v>
      </c>
      <c r="L231" s="2" t="s">
        <v>42</v>
      </c>
    </row>
    <row r="232" spans="1:12" x14ac:dyDescent="0.2">
      <c r="A232" s="2">
        <v>101924</v>
      </c>
      <c r="B232" s="18">
        <v>45620</v>
      </c>
      <c r="C232" s="2" t="s">
        <v>354</v>
      </c>
      <c r="D232" s="2" t="s">
        <v>44</v>
      </c>
      <c r="E232" s="2" t="s">
        <v>54</v>
      </c>
      <c r="F232" s="2" t="s">
        <v>70</v>
      </c>
      <c r="G232" s="2" t="s">
        <v>149</v>
      </c>
      <c r="H232" s="2">
        <v>2</v>
      </c>
      <c r="I232" s="2">
        <v>35392.07</v>
      </c>
      <c r="J232" s="2">
        <v>0</v>
      </c>
      <c r="K232" s="2" t="s">
        <v>29</v>
      </c>
      <c r="L232" s="2" t="s">
        <v>87</v>
      </c>
    </row>
    <row r="233" spans="1:12" x14ac:dyDescent="0.2">
      <c r="A233" s="2">
        <v>101677</v>
      </c>
      <c r="B233" s="2" t="s">
        <v>355</v>
      </c>
      <c r="C233" s="2" t="s">
        <v>356</v>
      </c>
      <c r="D233" s="2" t="s">
        <v>58</v>
      </c>
      <c r="E233" s="2" t="s">
        <v>69</v>
      </c>
      <c r="F233" s="2" t="s">
        <v>15</v>
      </c>
      <c r="G233" s="2" t="s">
        <v>205</v>
      </c>
      <c r="H233" s="2">
        <v>9</v>
      </c>
      <c r="I233" s="2" t="s">
        <v>357</v>
      </c>
      <c r="J233" s="2">
        <v>0.15</v>
      </c>
      <c r="K233" s="2" t="s">
        <v>24</v>
      </c>
      <c r="L233" s="2" t="s">
        <v>143</v>
      </c>
    </row>
    <row r="234" spans="1:12" x14ac:dyDescent="0.2">
      <c r="A234" s="2">
        <v>101157</v>
      </c>
      <c r="B234" s="17">
        <v>45386</v>
      </c>
      <c r="C234" s="2" t="s">
        <v>358</v>
      </c>
      <c r="D234" s="2" t="s">
        <v>140</v>
      </c>
      <c r="E234" s="2" t="s">
        <v>49</v>
      </c>
      <c r="F234" s="2" t="s">
        <v>86</v>
      </c>
      <c r="G234" s="2" t="s">
        <v>71</v>
      </c>
      <c r="H234" s="2">
        <v>4</v>
      </c>
      <c r="I234" s="2">
        <v>21136.67</v>
      </c>
      <c r="J234" s="2">
        <v>0.1</v>
      </c>
      <c r="K234" s="2" t="s">
        <v>17</v>
      </c>
      <c r="L234" s="2" t="s">
        <v>18</v>
      </c>
    </row>
    <row r="235" spans="1:12" x14ac:dyDescent="0.2">
      <c r="A235" s="2">
        <v>101852</v>
      </c>
      <c r="B235" s="17">
        <v>45307</v>
      </c>
      <c r="C235" s="2" t="s">
        <v>359</v>
      </c>
      <c r="D235" s="2" t="s">
        <v>58</v>
      </c>
      <c r="E235" s="2" t="s">
        <v>69</v>
      </c>
      <c r="F235" s="2" t="s">
        <v>106</v>
      </c>
      <c r="G235" s="2" t="s">
        <v>103</v>
      </c>
      <c r="H235" s="2">
        <v>-3</v>
      </c>
      <c r="I235" s="2">
        <v>2715.82</v>
      </c>
      <c r="J235" s="2"/>
      <c r="K235" s="2" t="s">
        <v>29</v>
      </c>
      <c r="L235" s="2" t="s">
        <v>25</v>
      </c>
    </row>
    <row r="236" spans="1:12" x14ac:dyDescent="0.2">
      <c r="A236" s="2">
        <v>101668</v>
      </c>
      <c r="B236" s="18">
        <v>45354</v>
      </c>
      <c r="C236" s="2" t="s">
        <v>360</v>
      </c>
      <c r="D236" s="2" t="s">
        <v>13</v>
      </c>
      <c r="E236" s="2" t="s">
        <v>14</v>
      </c>
      <c r="F236" s="2" t="s">
        <v>102</v>
      </c>
      <c r="G236" s="2" t="s">
        <v>137</v>
      </c>
      <c r="H236" s="2">
        <v>3</v>
      </c>
      <c r="I236" s="2" t="s">
        <v>361</v>
      </c>
      <c r="J236" s="2">
        <v>25</v>
      </c>
      <c r="K236" s="2" t="s">
        <v>29</v>
      </c>
      <c r="L236" s="2" t="s">
        <v>18</v>
      </c>
    </row>
    <row r="237" spans="1:12" x14ac:dyDescent="0.2">
      <c r="A237" s="2">
        <v>100180</v>
      </c>
      <c r="B237" s="17">
        <v>45388</v>
      </c>
      <c r="C237" s="2" t="s">
        <v>362</v>
      </c>
      <c r="D237" s="2" t="s">
        <v>101</v>
      </c>
      <c r="E237" s="2" t="s">
        <v>69</v>
      </c>
      <c r="F237" s="2" t="s">
        <v>102</v>
      </c>
      <c r="G237" s="2" t="s">
        <v>135</v>
      </c>
      <c r="H237" s="2">
        <v>3</v>
      </c>
      <c r="I237" s="2" t="s">
        <v>363</v>
      </c>
      <c r="J237" s="2">
        <v>20</v>
      </c>
      <c r="K237" s="2" t="s">
        <v>17</v>
      </c>
      <c r="L237" s="2" t="s">
        <v>18</v>
      </c>
    </row>
    <row r="238" spans="1:12" x14ac:dyDescent="0.2">
      <c r="A238" s="2">
        <v>101446</v>
      </c>
      <c r="B238" s="2" t="s">
        <v>364</v>
      </c>
      <c r="C238" s="2" t="s">
        <v>267</v>
      </c>
      <c r="D238" s="2" t="s">
        <v>44</v>
      </c>
      <c r="E238" s="2" t="s">
        <v>54</v>
      </c>
      <c r="F238" s="2" t="s">
        <v>74</v>
      </c>
      <c r="G238" s="2" t="s">
        <v>145</v>
      </c>
      <c r="H238" s="2"/>
      <c r="I238" s="2">
        <v>1199.75</v>
      </c>
      <c r="J238" s="2">
        <v>0</v>
      </c>
      <c r="K238" s="2" t="s">
        <v>24</v>
      </c>
      <c r="L238" s="2" t="s">
        <v>121</v>
      </c>
    </row>
    <row r="239" spans="1:12" x14ac:dyDescent="0.2">
      <c r="A239" s="2">
        <v>101886</v>
      </c>
      <c r="B239" s="2" t="s">
        <v>365</v>
      </c>
      <c r="C239" s="2"/>
      <c r="D239" s="2" t="s">
        <v>44</v>
      </c>
      <c r="E239" s="2" t="s">
        <v>32</v>
      </c>
      <c r="F239" s="2" t="s">
        <v>70</v>
      </c>
      <c r="G239" s="2" t="s">
        <v>71</v>
      </c>
      <c r="H239" s="2">
        <v>11</v>
      </c>
      <c r="I239" s="2">
        <v>2099.31</v>
      </c>
      <c r="J239" s="2">
        <v>0.15</v>
      </c>
      <c r="K239" s="2" t="s">
        <v>29</v>
      </c>
      <c r="L239" s="2" t="s">
        <v>18</v>
      </c>
    </row>
    <row r="240" spans="1:12" x14ac:dyDescent="0.2">
      <c r="A240" s="2">
        <v>101692</v>
      </c>
      <c r="B240" s="18">
        <v>45388</v>
      </c>
      <c r="C240" s="2" t="s">
        <v>366</v>
      </c>
      <c r="D240" s="2" t="s">
        <v>140</v>
      </c>
      <c r="E240" s="2" t="s">
        <v>79</v>
      </c>
      <c r="F240" s="2" t="s">
        <v>80</v>
      </c>
      <c r="G240" s="2" t="s">
        <v>34</v>
      </c>
      <c r="H240" s="2">
        <v>10</v>
      </c>
      <c r="I240" s="2" t="s">
        <v>367</v>
      </c>
      <c r="J240" s="2">
        <v>0</v>
      </c>
      <c r="K240" s="2" t="s">
        <v>41</v>
      </c>
      <c r="L240" s="2" t="s">
        <v>18</v>
      </c>
    </row>
    <row r="241" spans="1:12" x14ac:dyDescent="0.2">
      <c r="A241" s="2">
        <v>100411</v>
      </c>
      <c r="B241" s="17">
        <v>45629</v>
      </c>
      <c r="C241" s="2" t="s">
        <v>368</v>
      </c>
      <c r="D241" s="2" t="s">
        <v>109</v>
      </c>
      <c r="E241" s="2" t="s">
        <v>21</v>
      </c>
      <c r="F241" s="2" t="s">
        <v>120</v>
      </c>
      <c r="G241" s="2" t="s">
        <v>145</v>
      </c>
      <c r="H241" s="2">
        <v>2</v>
      </c>
      <c r="I241" s="2">
        <v>3460.38</v>
      </c>
      <c r="J241" s="2">
        <v>5</v>
      </c>
      <c r="K241" s="2" t="s">
        <v>83</v>
      </c>
      <c r="L241" s="2" t="s">
        <v>25</v>
      </c>
    </row>
    <row r="242" spans="1:12" x14ac:dyDescent="0.2">
      <c r="A242" s="2">
        <v>100661</v>
      </c>
      <c r="B242" s="2" t="s">
        <v>369</v>
      </c>
      <c r="C242" s="2"/>
      <c r="D242" s="2" t="s">
        <v>181</v>
      </c>
      <c r="E242" s="2" t="s">
        <v>14</v>
      </c>
      <c r="F242" s="2" t="s">
        <v>33</v>
      </c>
      <c r="G242" s="2" t="s">
        <v>34</v>
      </c>
      <c r="H242" s="2">
        <v>5</v>
      </c>
      <c r="I242" s="2">
        <v>494.19</v>
      </c>
      <c r="J242" s="2"/>
      <c r="K242" s="2" t="s">
        <v>17</v>
      </c>
      <c r="L242" s="2" t="s">
        <v>121</v>
      </c>
    </row>
    <row r="243" spans="1:12" x14ac:dyDescent="0.2">
      <c r="A243" s="2">
        <v>100351</v>
      </c>
      <c r="B243" s="18">
        <v>45297</v>
      </c>
      <c r="C243" s="2" t="s">
        <v>370</v>
      </c>
      <c r="D243" s="2" t="s">
        <v>175</v>
      </c>
      <c r="E243" s="2" t="s">
        <v>38</v>
      </c>
      <c r="F243" s="2" t="s">
        <v>55</v>
      </c>
      <c r="G243" s="2" t="s">
        <v>56</v>
      </c>
      <c r="H243" s="2">
        <v>8</v>
      </c>
      <c r="I243" s="2">
        <v>2431.7399999999998</v>
      </c>
      <c r="J243" s="2">
        <v>0.15</v>
      </c>
      <c r="K243" s="2" t="s">
        <v>17</v>
      </c>
      <c r="L243" s="2" t="s">
        <v>25</v>
      </c>
    </row>
    <row r="244" spans="1:12" x14ac:dyDescent="0.2">
      <c r="A244" s="2">
        <v>101274</v>
      </c>
      <c r="B244" s="18">
        <v>45336</v>
      </c>
      <c r="C244" s="2" t="s">
        <v>60</v>
      </c>
      <c r="D244" s="2" t="s">
        <v>73</v>
      </c>
      <c r="E244" s="2" t="s">
        <v>49</v>
      </c>
      <c r="F244" s="2" t="s">
        <v>102</v>
      </c>
      <c r="G244" s="2" t="s">
        <v>135</v>
      </c>
      <c r="H244" s="2">
        <v>10</v>
      </c>
      <c r="I244" s="2" t="s">
        <v>371</v>
      </c>
      <c r="J244" s="2">
        <v>0.2</v>
      </c>
      <c r="K244" s="2" t="s">
        <v>24</v>
      </c>
      <c r="L244" s="2" t="s">
        <v>52</v>
      </c>
    </row>
    <row r="245" spans="1:12" x14ac:dyDescent="0.2">
      <c r="A245" s="2">
        <v>100378</v>
      </c>
      <c r="B245" s="17">
        <v>45638</v>
      </c>
      <c r="C245" s="2" t="s">
        <v>150</v>
      </c>
      <c r="D245" s="2" t="s">
        <v>20</v>
      </c>
      <c r="E245" s="2" t="s">
        <v>21</v>
      </c>
      <c r="F245" s="2" t="s">
        <v>191</v>
      </c>
      <c r="G245" s="2" t="s">
        <v>205</v>
      </c>
      <c r="H245" s="2">
        <v>1</v>
      </c>
      <c r="I245" s="2">
        <v>9815.7999999999993</v>
      </c>
      <c r="J245" s="2"/>
      <c r="K245" s="2" t="s">
        <v>24</v>
      </c>
      <c r="L245" s="2" t="s">
        <v>42</v>
      </c>
    </row>
    <row r="246" spans="1:12" x14ac:dyDescent="0.2">
      <c r="A246" s="2">
        <v>100740</v>
      </c>
      <c r="B246" s="17">
        <v>45597</v>
      </c>
      <c r="C246" s="2" t="s">
        <v>208</v>
      </c>
      <c r="D246" s="2" t="s">
        <v>85</v>
      </c>
      <c r="E246" s="2" t="s">
        <v>14</v>
      </c>
      <c r="F246" s="2" t="s">
        <v>28</v>
      </c>
      <c r="G246" s="2" t="s">
        <v>16</v>
      </c>
      <c r="H246" s="2">
        <v>3</v>
      </c>
      <c r="I246" s="2">
        <v>17191.88</v>
      </c>
      <c r="J246" s="2">
        <v>0.1</v>
      </c>
      <c r="K246" s="2" t="s">
        <v>41</v>
      </c>
      <c r="L246" s="2" t="s">
        <v>87</v>
      </c>
    </row>
    <row r="247" spans="1:12" x14ac:dyDescent="0.2">
      <c r="A247" s="2">
        <v>100451</v>
      </c>
      <c r="B247" s="17">
        <v>45577</v>
      </c>
      <c r="C247" s="2"/>
      <c r="D247" s="2" t="s">
        <v>13</v>
      </c>
      <c r="E247" s="2" t="s">
        <v>14</v>
      </c>
      <c r="F247" s="2" t="s">
        <v>70</v>
      </c>
      <c r="G247" s="2" t="s">
        <v>97</v>
      </c>
      <c r="H247" s="2">
        <v>12</v>
      </c>
      <c r="I247" s="2">
        <v>26637.63</v>
      </c>
      <c r="J247" s="2"/>
      <c r="K247" s="2" t="s">
        <v>17</v>
      </c>
      <c r="L247" s="2" t="s">
        <v>52</v>
      </c>
    </row>
    <row r="248" spans="1:12" x14ac:dyDescent="0.2">
      <c r="A248" s="2">
        <v>101719</v>
      </c>
      <c r="B248" s="17">
        <v>45362</v>
      </c>
      <c r="C248" s="2" t="s">
        <v>228</v>
      </c>
      <c r="D248" s="2" t="s">
        <v>61</v>
      </c>
      <c r="E248" s="2" t="s">
        <v>119</v>
      </c>
      <c r="F248" s="2" t="s">
        <v>120</v>
      </c>
      <c r="G248" s="2" t="s">
        <v>145</v>
      </c>
      <c r="H248" s="2">
        <v>2</v>
      </c>
      <c r="I248" s="2">
        <v>2388.69</v>
      </c>
      <c r="J248" s="2">
        <v>0</v>
      </c>
      <c r="K248" s="2" t="s">
        <v>17</v>
      </c>
      <c r="L248" s="2" t="s">
        <v>18</v>
      </c>
    </row>
    <row r="249" spans="1:12" x14ac:dyDescent="0.2">
      <c r="A249" s="2">
        <v>100745</v>
      </c>
      <c r="B249" s="18">
        <v>45617</v>
      </c>
      <c r="C249" s="2" t="s">
        <v>372</v>
      </c>
      <c r="D249" s="2" t="s">
        <v>95</v>
      </c>
      <c r="E249" s="2" t="s">
        <v>133</v>
      </c>
      <c r="F249" s="2" t="s">
        <v>102</v>
      </c>
      <c r="G249" s="2" t="s">
        <v>137</v>
      </c>
      <c r="H249" s="2">
        <v>-3</v>
      </c>
      <c r="I249" s="2">
        <v>1756.45</v>
      </c>
      <c r="J249" s="2">
        <v>0.1</v>
      </c>
      <c r="K249" s="2" t="s">
        <v>17</v>
      </c>
      <c r="L249" s="2" t="s">
        <v>25</v>
      </c>
    </row>
    <row r="250" spans="1:12" x14ac:dyDescent="0.2">
      <c r="A250" s="2">
        <v>101781</v>
      </c>
      <c r="B250" s="17">
        <v>45309</v>
      </c>
      <c r="C250" s="2" t="s">
        <v>373</v>
      </c>
      <c r="D250" s="2" t="s">
        <v>37</v>
      </c>
      <c r="E250" s="2" t="s">
        <v>38</v>
      </c>
      <c r="F250" s="2" t="s">
        <v>223</v>
      </c>
      <c r="G250" s="2" t="s">
        <v>62</v>
      </c>
      <c r="H250" s="2">
        <v>-1</v>
      </c>
      <c r="I250" s="2">
        <v>2255.87</v>
      </c>
      <c r="J250" s="2">
        <v>0</v>
      </c>
      <c r="K250" s="2" t="s">
        <v>24</v>
      </c>
      <c r="L250" s="2" t="s">
        <v>35</v>
      </c>
    </row>
    <row r="251" spans="1:12" x14ac:dyDescent="0.2">
      <c r="A251" s="2">
        <v>100072</v>
      </c>
      <c r="B251" s="17">
        <v>45526</v>
      </c>
      <c r="C251" s="2" t="s">
        <v>374</v>
      </c>
      <c r="D251" s="2" t="s">
        <v>140</v>
      </c>
      <c r="E251" s="2" t="s">
        <v>49</v>
      </c>
      <c r="F251" s="2" t="s">
        <v>15</v>
      </c>
      <c r="G251" s="2" t="s">
        <v>16</v>
      </c>
      <c r="H251" s="2">
        <v>5</v>
      </c>
      <c r="I251" s="2">
        <v>23625.200000000001</v>
      </c>
      <c r="J251" s="2">
        <v>0.05</v>
      </c>
      <c r="K251" s="2" t="s">
        <v>66</v>
      </c>
      <c r="L251" s="2" t="s">
        <v>42</v>
      </c>
    </row>
    <row r="252" spans="1:12" x14ac:dyDescent="0.2">
      <c r="A252" s="2">
        <v>101277</v>
      </c>
      <c r="B252" s="17">
        <v>45484</v>
      </c>
      <c r="C252" s="2" t="s">
        <v>190</v>
      </c>
      <c r="D252" s="2" t="s">
        <v>129</v>
      </c>
      <c r="E252" s="2" t="s">
        <v>49</v>
      </c>
      <c r="F252" s="2" t="s">
        <v>55</v>
      </c>
      <c r="G252" s="2" t="s">
        <v>56</v>
      </c>
      <c r="H252" s="2">
        <v>2</v>
      </c>
      <c r="I252" s="2">
        <v>7816.87</v>
      </c>
      <c r="J252" s="2">
        <v>0.05</v>
      </c>
      <c r="K252" s="2" t="s">
        <v>17</v>
      </c>
      <c r="L252" s="2" t="s">
        <v>87</v>
      </c>
    </row>
    <row r="253" spans="1:12" x14ac:dyDescent="0.2">
      <c r="A253" s="2">
        <v>101276</v>
      </c>
      <c r="B253" s="2" t="s">
        <v>375</v>
      </c>
      <c r="C253" s="2" t="s">
        <v>376</v>
      </c>
      <c r="D253" s="2" t="s">
        <v>61</v>
      </c>
      <c r="E253" s="2" t="s">
        <v>14</v>
      </c>
      <c r="F253" s="2" t="s">
        <v>33</v>
      </c>
      <c r="G253" s="2" t="s">
        <v>81</v>
      </c>
      <c r="H253" s="2">
        <v>1</v>
      </c>
      <c r="I253" s="2">
        <v>260.35000000000002</v>
      </c>
      <c r="J253" s="2">
        <v>0.1</v>
      </c>
      <c r="K253" s="2" t="s">
        <v>24</v>
      </c>
      <c r="L253" s="2" t="s">
        <v>52</v>
      </c>
    </row>
    <row r="254" spans="1:12" x14ac:dyDescent="0.2">
      <c r="A254" s="2">
        <v>100588</v>
      </c>
      <c r="B254" s="17">
        <v>45387</v>
      </c>
      <c r="C254" s="2" t="s">
        <v>377</v>
      </c>
      <c r="D254" s="2" t="s">
        <v>20</v>
      </c>
      <c r="E254" s="2" t="s">
        <v>133</v>
      </c>
      <c r="F254" s="2" t="s">
        <v>223</v>
      </c>
      <c r="G254" s="2" t="s">
        <v>207</v>
      </c>
      <c r="H254" s="2">
        <v>9</v>
      </c>
      <c r="I254" s="2">
        <v>4472.49</v>
      </c>
      <c r="J254" s="2">
        <v>0.25</v>
      </c>
      <c r="K254" s="2" t="s">
        <v>41</v>
      </c>
      <c r="L254" s="2" t="s">
        <v>25</v>
      </c>
    </row>
    <row r="255" spans="1:12" x14ac:dyDescent="0.2">
      <c r="A255" s="2">
        <v>101158</v>
      </c>
      <c r="B255" s="17">
        <v>45552</v>
      </c>
      <c r="C255" s="2" t="s">
        <v>378</v>
      </c>
      <c r="D255" s="2" t="s">
        <v>44</v>
      </c>
      <c r="E255" s="2" t="s">
        <v>32</v>
      </c>
      <c r="F255" s="2" t="s">
        <v>74</v>
      </c>
      <c r="G255" s="2" t="s">
        <v>23</v>
      </c>
      <c r="H255" s="2">
        <v>11</v>
      </c>
      <c r="I255" s="2">
        <v>1876.87</v>
      </c>
      <c r="J255" s="2">
        <v>5</v>
      </c>
      <c r="K255" s="2" t="s">
        <v>66</v>
      </c>
      <c r="L255" s="2" t="s">
        <v>35</v>
      </c>
    </row>
    <row r="256" spans="1:12" x14ac:dyDescent="0.2">
      <c r="A256" s="2">
        <v>101535</v>
      </c>
      <c r="B256" s="17">
        <v>45517</v>
      </c>
      <c r="C256" s="2" t="s">
        <v>321</v>
      </c>
      <c r="D256" s="2" t="s">
        <v>61</v>
      </c>
      <c r="E256" s="2" t="s">
        <v>14</v>
      </c>
      <c r="F256" s="2" t="s">
        <v>96</v>
      </c>
      <c r="G256" s="2" t="s">
        <v>153</v>
      </c>
      <c r="H256" s="2">
        <v>3</v>
      </c>
      <c r="I256" s="2">
        <v>16133.81</v>
      </c>
      <c r="J256" s="2">
        <v>0</v>
      </c>
      <c r="K256" s="2" t="s">
        <v>41</v>
      </c>
      <c r="L256" s="2" t="s">
        <v>121</v>
      </c>
    </row>
    <row r="257" spans="1:12" x14ac:dyDescent="0.2">
      <c r="A257" s="2">
        <v>101970</v>
      </c>
      <c r="B257" s="17">
        <v>45511</v>
      </c>
      <c r="C257" s="2" t="s">
        <v>112</v>
      </c>
      <c r="D257" s="2" t="s">
        <v>31</v>
      </c>
      <c r="E257" s="2" t="s">
        <v>32</v>
      </c>
      <c r="F257" s="2" t="s">
        <v>113</v>
      </c>
      <c r="G257" s="2" t="s">
        <v>40</v>
      </c>
      <c r="H257" s="2">
        <v>4</v>
      </c>
      <c r="I257" s="2">
        <v>499.74</v>
      </c>
      <c r="J257" s="2">
        <v>0</v>
      </c>
      <c r="K257" s="2" t="s">
        <v>41</v>
      </c>
      <c r="L257" s="2" t="s">
        <v>18</v>
      </c>
    </row>
    <row r="258" spans="1:12" x14ac:dyDescent="0.2">
      <c r="A258" s="2">
        <v>101375</v>
      </c>
      <c r="B258" s="18">
        <v>45486</v>
      </c>
      <c r="C258" s="2" t="s">
        <v>379</v>
      </c>
      <c r="D258" s="2" t="s">
        <v>109</v>
      </c>
      <c r="E258" s="2" t="s">
        <v>21</v>
      </c>
      <c r="F258" s="2" t="s">
        <v>64</v>
      </c>
      <c r="G258" s="2" t="s">
        <v>165</v>
      </c>
      <c r="H258" s="2">
        <v>2</v>
      </c>
      <c r="I258" s="2">
        <v>361.94</v>
      </c>
      <c r="J258" s="2">
        <v>0</v>
      </c>
      <c r="K258" s="2" t="s">
        <v>66</v>
      </c>
      <c r="L258" s="2" t="s">
        <v>42</v>
      </c>
    </row>
    <row r="259" spans="1:12" x14ac:dyDescent="0.2">
      <c r="A259" s="2">
        <v>101443</v>
      </c>
      <c r="B259" s="18">
        <v>45461</v>
      </c>
      <c r="C259" s="2" t="s">
        <v>380</v>
      </c>
      <c r="D259" s="2" t="s">
        <v>20</v>
      </c>
      <c r="E259" s="2" t="s">
        <v>21</v>
      </c>
      <c r="F259" s="2" t="s">
        <v>50</v>
      </c>
      <c r="G259" s="2" t="s">
        <v>56</v>
      </c>
      <c r="H259" s="2">
        <v>6</v>
      </c>
      <c r="I259" s="2">
        <v>2540.54</v>
      </c>
      <c r="J259" s="2"/>
      <c r="K259" s="2" t="s">
        <v>24</v>
      </c>
      <c r="L259" s="2" t="s">
        <v>87</v>
      </c>
    </row>
    <row r="260" spans="1:12" x14ac:dyDescent="0.2">
      <c r="A260" s="2">
        <v>101597</v>
      </c>
      <c r="B260" s="18">
        <v>45448</v>
      </c>
      <c r="C260" s="2" t="s">
        <v>381</v>
      </c>
      <c r="D260" s="2" t="s">
        <v>44</v>
      </c>
      <c r="E260" s="2" t="s">
        <v>54</v>
      </c>
      <c r="F260" s="2" t="s">
        <v>33</v>
      </c>
      <c r="G260" s="2" t="s">
        <v>34</v>
      </c>
      <c r="H260" s="2">
        <v>2</v>
      </c>
      <c r="I260" s="2" t="s">
        <v>382</v>
      </c>
      <c r="J260" s="2">
        <v>0</v>
      </c>
      <c r="K260" s="2" t="s">
        <v>66</v>
      </c>
      <c r="L260" s="2" t="s">
        <v>42</v>
      </c>
    </row>
    <row r="261" spans="1:12" x14ac:dyDescent="0.2">
      <c r="A261" s="2">
        <v>101163</v>
      </c>
      <c r="B261" s="18">
        <v>45357</v>
      </c>
      <c r="C261" s="2" t="s">
        <v>383</v>
      </c>
      <c r="D261" s="2" t="s">
        <v>37</v>
      </c>
      <c r="E261" s="2" t="s">
        <v>69</v>
      </c>
      <c r="F261" s="2" t="s">
        <v>124</v>
      </c>
      <c r="G261" s="2" t="s">
        <v>51</v>
      </c>
      <c r="H261" s="2">
        <v>5</v>
      </c>
      <c r="I261" s="2">
        <v>9346.5499999999993</v>
      </c>
      <c r="J261" s="2">
        <v>25</v>
      </c>
      <c r="K261" s="2" t="s">
        <v>66</v>
      </c>
      <c r="L261" s="2" t="s">
        <v>42</v>
      </c>
    </row>
    <row r="262" spans="1:12" x14ac:dyDescent="0.2">
      <c r="A262" s="2">
        <v>101083</v>
      </c>
      <c r="B262" s="18">
        <v>45300</v>
      </c>
      <c r="C262" s="2" t="s">
        <v>226</v>
      </c>
      <c r="D262" s="2" t="s">
        <v>101</v>
      </c>
      <c r="E262" s="2" t="s">
        <v>69</v>
      </c>
      <c r="F262" s="2" t="s">
        <v>33</v>
      </c>
      <c r="G262" s="2" t="s">
        <v>34</v>
      </c>
      <c r="H262" s="2">
        <v>5</v>
      </c>
      <c r="I262" s="2">
        <v>211.84</v>
      </c>
      <c r="J262" s="2">
        <v>0.05</v>
      </c>
      <c r="K262" s="2" t="s">
        <v>83</v>
      </c>
      <c r="L262" s="2" t="s">
        <v>42</v>
      </c>
    </row>
    <row r="263" spans="1:12" x14ac:dyDescent="0.2">
      <c r="A263" s="2">
        <v>100796</v>
      </c>
      <c r="B263" s="18">
        <v>45547</v>
      </c>
      <c r="C263" s="2" t="s">
        <v>384</v>
      </c>
      <c r="D263" s="2" t="s">
        <v>58</v>
      </c>
      <c r="E263" s="2" t="s">
        <v>38</v>
      </c>
      <c r="F263" s="2" t="s">
        <v>39</v>
      </c>
      <c r="G263" s="2" t="s">
        <v>40</v>
      </c>
      <c r="H263" s="2">
        <v>7</v>
      </c>
      <c r="I263" s="2">
        <v>676.55</v>
      </c>
      <c r="J263" s="2">
        <v>15</v>
      </c>
      <c r="K263" s="2" t="s">
        <v>66</v>
      </c>
      <c r="L263" s="2" t="s">
        <v>35</v>
      </c>
    </row>
    <row r="264" spans="1:12" x14ac:dyDescent="0.2">
      <c r="A264" s="2">
        <v>100766</v>
      </c>
      <c r="B264" s="17">
        <v>45312</v>
      </c>
      <c r="C264" s="2" t="s">
        <v>385</v>
      </c>
      <c r="D264" s="2" t="s">
        <v>95</v>
      </c>
      <c r="E264" s="2" t="s">
        <v>133</v>
      </c>
      <c r="F264" s="2" t="s">
        <v>155</v>
      </c>
      <c r="G264" s="2" t="s">
        <v>137</v>
      </c>
      <c r="H264" s="2">
        <v>9</v>
      </c>
      <c r="I264" s="2">
        <v>1507.72</v>
      </c>
      <c r="J264" s="2">
        <v>0.1</v>
      </c>
      <c r="K264" s="2" t="s">
        <v>41</v>
      </c>
      <c r="L264" s="2" t="s">
        <v>25</v>
      </c>
    </row>
    <row r="265" spans="1:12" x14ac:dyDescent="0.2">
      <c r="A265" s="2">
        <v>100986</v>
      </c>
      <c r="B265" s="17">
        <v>45490</v>
      </c>
      <c r="C265" s="2" t="s">
        <v>335</v>
      </c>
      <c r="D265" s="2" t="s">
        <v>140</v>
      </c>
      <c r="E265" s="2" t="s">
        <v>79</v>
      </c>
      <c r="F265" s="2" t="s">
        <v>39</v>
      </c>
      <c r="G265" s="2" t="s">
        <v>242</v>
      </c>
      <c r="H265" s="2">
        <v>8</v>
      </c>
      <c r="I265" s="2">
        <v>747.34</v>
      </c>
      <c r="J265" s="2">
        <v>0.25</v>
      </c>
      <c r="K265" s="2" t="s">
        <v>41</v>
      </c>
      <c r="L265" s="2" t="s">
        <v>25</v>
      </c>
    </row>
    <row r="266" spans="1:12" x14ac:dyDescent="0.2">
      <c r="A266" s="2">
        <v>100117</v>
      </c>
      <c r="B266" s="17">
        <v>45501</v>
      </c>
      <c r="C266" s="2" t="s">
        <v>386</v>
      </c>
      <c r="D266" s="2" t="s">
        <v>48</v>
      </c>
      <c r="E266" s="2" t="s">
        <v>79</v>
      </c>
      <c r="F266" s="2" t="s">
        <v>102</v>
      </c>
      <c r="G266" s="2" t="s">
        <v>156</v>
      </c>
      <c r="H266" s="2">
        <v>8</v>
      </c>
      <c r="I266" s="2">
        <v>3226.85</v>
      </c>
      <c r="J266" s="2"/>
      <c r="K266" s="2" t="s">
        <v>29</v>
      </c>
      <c r="L266" s="2" t="s">
        <v>25</v>
      </c>
    </row>
    <row r="267" spans="1:12" x14ac:dyDescent="0.2">
      <c r="A267" s="2">
        <v>101691</v>
      </c>
      <c r="B267" s="17">
        <v>45594</v>
      </c>
      <c r="C267" s="2" t="s">
        <v>272</v>
      </c>
      <c r="D267" s="2" t="s">
        <v>89</v>
      </c>
      <c r="E267" s="2" t="s">
        <v>32</v>
      </c>
      <c r="F267" s="2" t="s">
        <v>106</v>
      </c>
      <c r="G267" s="2" t="s">
        <v>103</v>
      </c>
      <c r="H267" s="2">
        <v>3</v>
      </c>
      <c r="I267" s="2">
        <v>3706.83</v>
      </c>
      <c r="J267" s="2">
        <v>0</v>
      </c>
      <c r="K267" s="2" t="s">
        <v>66</v>
      </c>
      <c r="L267" s="2" t="s">
        <v>143</v>
      </c>
    </row>
    <row r="268" spans="1:12" x14ac:dyDescent="0.2">
      <c r="A268" s="2">
        <v>100413</v>
      </c>
      <c r="B268" s="18">
        <v>45357</v>
      </c>
      <c r="C268" s="2" t="s">
        <v>387</v>
      </c>
      <c r="D268" s="2" t="s">
        <v>181</v>
      </c>
      <c r="E268" s="2" t="s">
        <v>119</v>
      </c>
      <c r="F268" s="2" t="s">
        <v>191</v>
      </c>
      <c r="G268" s="2" t="s">
        <v>152</v>
      </c>
      <c r="H268" s="2">
        <v>10</v>
      </c>
      <c r="I268" s="2">
        <v>8692.4599999999991</v>
      </c>
      <c r="J268" s="2">
        <v>0</v>
      </c>
      <c r="K268" s="2" t="s">
        <v>66</v>
      </c>
      <c r="L268" s="2" t="s">
        <v>42</v>
      </c>
    </row>
    <row r="269" spans="1:12" x14ac:dyDescent="0.2">
      <c r="A269" s="2">
        <v>100005</v>
      </c>
      <c r="B269" s="18">
        <v>45362</v>
      </c>
      <c r="C269" s="2" t="s">
        <v>130</v>
      </c>
      <c r="D269" s="2" t="s">
        <v>109</v>
      </c>
      <c r="E269" s="2" t="s">
        <v>133</v>
      </c>
      <c r="F269" s="2" t="s">
        <v>80</v>
      </c>
      <c r="G269" s="2" t="s">
        <v>158</v>
      </c>
      <c r="H269" s="2">
        <v>5</v>
      </c>
      <c r="I269" s="2">
        <v>180.98</v>
      </c>
      <c r="J269" s="2">
        <v>0.2</v>
      </c>
      <c r="K269" s="2" t="s">
        <v>17</v>
      </c>
      <c r="L269" s="2" t="s">
        <v>121</v>
      </c>
    </row>
    <row r="270" spans="1:12" x14ac:dyDescent="0.2">
      <c r="A270" s="2">
        <v>100309</v>
      </c>
      <c r="B270" s="17">
        <v>45588</v>
      </c>
      <c r="C270" s="2" t="s">
        <v>388</v>
      </c>
      <c r="D270" s="2" t="s">
        <v>13</v>
      </c>
      <c r="E270" s="2" t="s">
        <v>119</v>
      </c>
      <c r="F270" s="2" t="s">
        <v>80</v>
      </c>
      <c r="G270" s="2" t="s">
        <v>34</v>
      </c>
      <c r="H270" s="2">
        <v>10</v>
      </c>
      <c r="I270" s="2">
        <v>81.739999999999995</v>
      </c>
      <c r="J270" s="2"/>
      <c r="K270" s="2" t="s">
        <v>17</v>
      </c>
      <c r="L270" s="2" t="s">
        <v>143</v>
      </c>
    </row>
    <row r="271" spans="1:12" x14ac:dyDescent="0.2">
      <c r="A271" s="2">
        <v>100047</v>
      </c>
      <c r="B271" s="17">
        <v>45363</v>
      </c>
      <c r="C271" s="2" t="s">
        <v>273</v>
      </c>
      <c r="D271" s="2" t="s">
        <v>160</v>
      </c>
      <c r="E271" s="2" t="s">
        <v>49</v>
      </c>
      <c r="F271" s="2" t="s">
        <v>45</v>
      </c>
      <c r="G271" s="2" t="s">
        <v>97</v>
      </c>
      <c r="H271" s="2">
        <v>4</v>
      </c>
      <c r="I271" s="2">
        <v>33914.99</v>
      </c>
      <c r="J271" s="2">
        <v>0.05</v>
      </c>
      <c r="K271" s="2" t="s">
        <v>83</v>
      </c>
      <c r="L271" s="2" t="s">
        <v>35</v>
      </c>
    </row>
    <row r="272" spans="1:12" x14ac:dyDescent="0.2">
      <c r="A272" s="2">
        <v>101154</v>
      </c>
      <c r="B272" s="17">
        <v>45486</v>
      </c>
      <c r="C272" s="2" t="s">
        <v>389</v>
      </c>
      <c r="D272" s="2" t="s">
        <v>89</v>
      </c>
      <c r="E272" s="2" t="s">
        <v>54</v>
      </c>
      <c r="F272" s="2" t="s">
        <v>55</v>
      </c>
      <c r="G272" s="2" t="s">
        <v>56</v>
      </c>
      <c r="H272" s="2">
        <v>2</v>
      </c>
      <c r="I272" s="2">
        <v>7617.68</v>
      </c>
      <c r="J272" s="2">
        <v>0.1</v>
      </c>
      <c r="K272" s="2" t="s">
        <v>29</v>
      </c>
      <c r="L272" s="2" t="s">
        <v>121</v>
      </c>
    </row>
    <row r="273" spans="1:12" x14ac:dyDescent="0.2">
      <c r="A273" s="2">
        <v>100639</v>
      </c>
      <c r="B273" s="18">
        <v>45541</v>
      </c>
      <c r="C273" s="2" t="s">
        <v>390</v>
      </c>
      <c r="D273" s="2" t="s">
        <v>13</v>
      </c>
      <c r="E273" s="2" t="s">
        <v>14</v>
      </c>
      <c r="F273" s="2" t="s">
        <v>33</v>
      </c>
      <c r="G273" s="2" t="s">
        <v>93</v>
      </c>
      <c r="H273" s="2">
        <v>6</v>
      </c>
      <c r="I273" s="2">
        <v>357.79</v>
      </c>
      <c r="J273" s="2">
        <v>0</v>
      </c>
      <c r="K273" s="2" t="s">
        <v>41</v>
      </c>
      <c r="L273" s="2" t="s">
        <v>87</v>
      </c>
    </row>
    <row r="274" spans="1:12" x14ac:dyDescent="0.2">
      <c r="A274" s="2">
        <v>101206</v>
      </c>
      <c r="B274" s="2" t="s">
        <v>365</v>
      </c>
      <c r="C274" s="2" t="s">
        <v>391</v>
      </c>
      <c r="D274" s="2" t="s">
        <v>37</v>
      </c>
      <c r="E274" s="2" t="s">
        <v>69</v>
      </c>
      <c r="F274" s="2" t="s">
        <v>102</v>
      </c>
      <c r="G274" s="2" t="s">
        <v>156</v>
      </c>
      <c r="H274" s="2">
        <v>12</v>
      </c>
      <c r="I274" s="2" t="s">
        <v>392</v>
      </c>
      <c r="J274" s="2">
        <v>0.05</v>
      </c>
      <c r="K274" s="2" t="s">
        <v>29</v>
      </c>
      <c r="L274" s="2" t="s">
        <v>143</v>
      </c>
    </row>
    <row r="275" spans="1:12" x14ac:dyDescent="0.2">
      <c r="A275" s="2">
        <v>101400</v>
      </c>
      <c r="B275" s="2" t="s">
        <v>393</v>
      </c>
      <c r="C275" s="2" t="s">
        <v>304</v>
      </c>
      <c r="D275" s="2" t="s">
        <v>73</v>
      </c>
      <c r="E275" s="2" t="s">
        <v>49</v>
      </c>
      <c r="F275" s="2" t="s">
        <v>155</v>
      </c>
      <c r="G275" s="2" t="s">
        <v>156</v>
      </c>
      <c r="H275" s="2">
        <v>1</v>
      </c>
      <c r="I275" s="2" t="s">
        <v>394</v>
      </c>
      <c r="J275" s="2">
        <v>5</v>
      </c>
      <c r="K275" s="2" t="s">
        <v>66</v>
      </c>
      <c r="L275" s="2" t="s">
        <v>121</v>
      </c>
    </row>
    <row r="276" spans="1:12" x14ac:dyDescent="0.2">
      <c r="A276" s="2">
        <v>101398</v>
      </c>
      <c r="B276" s="2" t="s">
        <v>395</v>
      </c>
      <c r="C276" s="2" t="s">
        <v>396</v>
      </c>
      <c r="D276" s="2" t="s">
        <v>101</v>
      </c>
      <c r="E276" s="2" t="s">
        <v>38</v>
      </c>
      <c r="F276" s="2" t="s">
        <v>106</v>
      </c>
      <c r="G276" s="2" t="s">
        <v>156</v>
      </c>
      <c r="H276" s="2">
        <v>10</v>
      </c>
      <c r="I276" s="2">
        <v>2989.96</v>
      </c>
      <c r="J276" s="2">
        <v>0.05</v>
      </c>
      <c r="K276" s="2" t="s">
        <v>83</v>
      </c>
      <c r="L276" s="2" t="s">
        <v>18</v>
      </c>
    </row>
    <row r="277" spans="1:12" x14ac:dyDescent="0.2">
      <c r="A277" s="2">
        <v>101814</v>
      </c>
      <c r="B277" s="17">
        <v>45600</v>
      </c>
      <c r="C277" s="2" t="s">
        <v>302</v>
      </c>
      <c r="D277" s="2" t="s">
        <v>48</v>
      </c>
      <c r="E277" s="2" t="s">
        <v>49</v>
      </c>
      <c r="F277" s="2" t="s">
        <v>15</v>
      </c>
      <c r="G277" s="2" t="s">
        <v>16</v>
      </c>
      <c r="H277" s="2">
        <v>5</v>
      </c>
      <c r="I277" s="2">
        <v>20533.27</v>
      </c>
      <c r="J277" s="2">
        <v>0</v>
      </c>
      <c r="K277" s="2" t="s">
        <v>29</v>
      </c>
      <c r="L277" s="2" t="s">
        <v>35</v>
      </c>
    </row>
    <row r="278" spans="1:12" x14ac:dyDescent="0.2">
      <c r="A278" s="2">
        <v>101629</v>
      </c>
      <c r="B278" s="18">
        <v>45527</v>
      </c>
      <c r="C278" s="2" t="s">
        <v>354</v>
      </c>
      <c r="D278" s="2" t="s">
        <v>85</v>
      </c>
      <c r="E278" s="2" t="s">
        <v>119</v>
      </c>
      <c r="F278" s="2" t="s">
        <v>28</v>
      </c>
      <c r="G278" s="2" t="s">
        <v>152</v>
      </c>
      <c r="H278" s="2">
        <v>10</v>
      </c>
      <c r="I278" s="2">
        <v>20513.57</v>
      </c>
      <c r="J278" s="2">
        <v>0.05</v>
      </c>
      <c r="K278" s="2" t="s">
        <v>29</v>
      </c>
      <c r="L278" s="2" t="s">
        <v>143</v>
      </c>
    </row>
    <row r="279" spans="1:12" x14ac:dyDescent="0.2">
      <c r="A279" s="2">
        <v>101107</v>
      </c>
      <c r="B279" s="18">
        <v>45338</v>
      </c>
      <c r="C279" s="2" t="s">
        <v>63</v>
      </c>
      <c r="D279" s="2" t="s">
        <v>129</v>
      </c>
      <c r="E279" s="2" t="s">
        <v>79</v>
      </c>
      <c r="F279" s="2" t="s">
        <v>28</v>
      </c>
      <c r="G279" s="2" t="s">
        <v>116</v>
      </c>
      <c r="H279" s="2">
        <v>3</v>
      </c>
      <c r="I279" s="2">
        <v>2025.06</v>
      </c>
      <c r="J279" s="2">
        <v>0</v>
      </c>
      <c r="K279" s="2" t="s">
        <v>83</v>
      </c>
      <c r="L279" s="2" t="s">
        <v>52</v>
      </c>
    </row>
    <row r="280" spans="1:12" x14ac:dyDescent="0.2">
      <c r="A280" s="2">
        <v>101940</v>
      </c>
      <c r="B280" s="17">
        <v>45300</v>
      </c>
      <c r="C280" s="2" t="s">
        <v>397</v>
      </c>
      <c r="D280" s="2" t="s">
        <v>181</v>
      </c>
      <c r="E280" s="2" t="s">
        <v>14</v>
      </c>
      <c r="F280" s="2" t="s">
        <v>191</v>
      </c>
      <c r="G280" s="2" t="s">
        <v>152</v>
      </c>
      <c r="H280" s="2">
        <v>6</v>
      </c>
      <c r="I280" s="2">
        <v>24818.39</v>
      </c>
      <c r="J280" s="2"/>
      <c r="K280" s="2" t="s">
        <v>29</v>
      </c>
      <c r="L280" s="2" t="s">
        <v>25</v>
      </c>
    </row>
    <row r="281" spans="1:12" x14ac:dyDescent="0.2">
      <c r="A281" s="2">
        <v>101021</v>
      </c>
      <c r="B281" s="18">
        <v>45471</v>
      </c>
      <c r="C281" s="2" t="s">
        <v>398</v>
      </c>
      <c r="D281" s="2" t="s">
        <v>89</v>
      </c>
      <c r="E281" s="2" t="s">
        <v>32</v>
      </c>
      <c r="F281" s="2" t="s">
        <v>106</v>
      </c>
      <c r="G281" s="2" t="s">
        <v>156</v>
      </c>
      <c r="H281" s="2">
        <v>7</v>
      </c>
      <c r="I281" s="2" t="s">
        <v>399</v>
      </c>
      <c r="J281" s="2">
        <v>0</v>
      </c>
      <c r="K281" s="2" t="s">
        <v>41</v>
      </c>
      <c r="L281" s="2" t="s">
        <v>42</v>
      </c>
    </row>
    <row r="282" spans="1:12" x14ac:dyDescent="0.2">
      <c r="A282" s="2">
        <v>100493</v>
      </c>
      <c r="B282" s="18">
        <v>45524</v>
      </c>
      <c r="C282" s="2" t="s">
        <v>400</v>
      </c>
      <c r="D282" s="2" t="s">
        <v>101</v>
      </c>
      <c r="E282" s="2" t="s">
        <v>69</v>
      </c>
      <c r="F282" s="2" t="s">
        <v>39</v>
      </c>
      <c r="G282" s="2" t="s">
        <v>40</v>
      </c>
      <c r="H282" s="2">
        <v>10</v>
      </c>
      <c r="I282" s="2">
        <v>853.48</v>
      </c>
      <c r="J282" s="2">
        <v>0</v>
      </c>
      <c r="K282" s="2" t="s">
        <v>24</v>
      </c>
      <c r="L282" s="2" t="s">
        <v>121</v>
      </c>
    </row>
    <row r="283" spans="1:12" x14ac:dyDescent="0.2">
      <c r="A283" s="2">
        <v>100195</v>
      </c>
      <c r="B283" s="17">
        <v>45551</v>
      </c>
      <c r="C283" s="2" t="s">
        <v>401</v>
      </c>
      <c r="D283" s="2" t="s">
        <v>61</v>
      </c>
      <c r="E283" s="2" t="s">
        <v>119</v>
      </c>
      <c r="F283" s="2" t="s">
        <v>33</v>
      </c>
      <c r="G283" s="2" t="s">
        <v>81</v>
      </c>
      <c r="H283" s="2">
        <v>5</v>
      </c>
      <c r="I283" s="2">
        <v>519.47</v>
      </c>
      <c r="J283" s="2">
        <v>0</v>
      </c>
      <c r="K283" s="2" t="s">
        <v>17</v>
      </c>
      <c r="L283" s="2" t="s">
        <v>143</v>
      </c>
    </row>
    <row r="284" spans="1:12" x14ac:dyDescent="0.2">
      <c r="A284" s="2">
        <v>100329</v>
      </c>
      <c r="B284" s="17">
        <v>45406</v>
      </c>
      <c r="C284" s="2" t="s">
        <v>402</v>
      </c>
      <c r="D284" s="2" t="s">
        <v>92</v>
      </c>
      <c r="E284" s="2" t="s">
        <v>54</v>
      </c>
      <c r="F284" s="2" t="s">
        <v>28</v>
      </c>
      <c r="G284" s="2" t="s">
        <v>16</v>
      </c>
      <c r="H284" s="2">
        <v>7</v>
      </c>
      <c r="I284" s="2">
        <v>21015.68</v>
      </c>
      <c r="J284" s="2">
        <v>0.2</v>
      </c>
      <c r="K284" s="2" t="s">
        <v>41</v>
      </c>
      <c r="L284" s="2" t="s">
        <v>35</v>
      </c>
    </row>
    <row r="285" spans="1:12" x14ac:dyDescent="0.2">
      <c r="A285" s="2">
        <v>101793</v>
      </c>
      <c r="B285" s="17">
        <v>45326</v>
      </c>
      <c r="C285" s="2"/>
      <c r="D285" s="2" t="s">
        <v>31</v>
      </c>
      <c r="E285" s="2" t="s">
        <v>54</v>
      </c>
      <c r="F285" s="2" t="s">
        <v>70</v>
      </c>
      <c r="G285" s="2" t="s">
        <v>46</v>
      </c>
      <c r="H285" s="2">
        <v>7</v>
      </c>
      <c r="I285" s="2">
        <v>32613.66</v>
      </c>
      <c r="J285" s="2">
        <v>0.1</v>
      </c>
      <c r="K285" s="2" t="s">
        <v>83</v>
      </c>
      <c r="L285" s="2" t="s">
        <v>52</v>
      </c>
    </row>
    <row r="286" spans="1:12" x14ac:dyDescent="0.2">
      <c r="A286" s="2">
        <v>101517</v>
      </c>
      <c r="B286" s="17">
        <v>45564</v>
      </c>
      <c r="C286" s="2" t="s">
        <v>403</v>
      </c>
      <c r="D286" s="2" t="s">
        <v>85</v>
      </c>
      <c r="E286" s="2" t="s">
        <v>119</v>
      </c>
      <c r="F286" s="2" t="s">
        <v>191</v>
      </c>
      <c r="G286" s="2" t="s">
        <v>59</v>
      </c>
      <c r="H286" s="2">
        <v>2</v>
      </c>
      <c r="I286" s="2">
        <v>2832.19</v>
      </c>
      <c r="J286" s="2">
        <v>0.05</v>
      </c>
      <c r="K286" s="2" t="s">
        <v>41</v>
      </c>
      <c r="L286" s="2" t="s">
        <v>35</v>
      </c>
    </row>
    <row r="287" spans="1:12" x14ac:dyDescent="0.2">
      <c r="A287" s="2">
        <v>101648</v>
      </c>
      <c r="B287" s="18">
        <v>45629</v>
      </c>
      <c r="C287" s="2" t="s">
        <v>170</v>
      </c>
      <c r="D287" s="2" t="s">
        <v>31</v>
      </c>
      <c r="E287" s="2" t="s">
        <v>32</v>
      </c>
      <c r="F287" s="2" t="s">
        <v>50</v>
      </c>
      <c r="G287" s="2" t="s">
        <v>207</v>
      </c>
      <c r="H287" s="2">
        <v>4</v>
      </c>
      <c r="I287" s="2"/>
      <c r="J287" s="2">
        <v>0</v>
      </c>
      <c r="K287" s="2" t="s">
        <v>24</v>
      </c>
      <c r="L287" s="2" t="s">
        <v>25</v>
      </c>
    </row>
    <row r="288" spans="1:12" x14ac:dyDescent="0.2">
      <c r="A288" s="2">
        <v>101147</v>
      </c>
      <c r="B288" s="17">
        <v>45636</v>
      </c>
      <c r="C288" s="2" t="s">
        <v>404</v>
      </c>
      <c r="D288" s="2" t="s">
        <v>109</v>
      </c>
      <c r="E288" s="2" t="s">
        <v>133</v>
      </c>
      <c r="F288" s="2" t="s">
        <v>102</v>
      </c>
      <c r="G288" s="2" t="s">
        <v>137</v>
      </c>
      <c r="H288" s="2">
        <v>12</v>
      </c>
      <c r="I288" s="2">
        <v>4473.8999999999996</v>
      </c>
      <c r="J288" s="2">
        <v>25</v>
      </c>
      <c r="K288" s="2" t="s">
        <v>66</v>
      </c>
      <c r="L288" s="2" t="s">
        <v>87</v>
      </c>
    </row>
    <row r="289" spans="1:12" x14ac:dyDescent="0.2">
      <c r="A289" s="2">
        <v>100501</v>
      </c>
      <c r="B289" s="18">
        <v>45544</v>
      </c>
      <c r="C289" s="2" t="s">
        <v>220</v>
      </c>
      <c r="D289" s="2" t="s">
        <v>92</v>
      </c>
      <c r="E289" s="2" t="s">
        <v>32</v>
      </c>
      <c r="F289" s="2" t="s">
        <v>15</v>
      </c>
      <c r="G289" s="2" t="s">
        <v>205</v>
      </c>
      <c r="H289" s="2">
        <v>8</v>
      </c>
      <c r="I289" s="2">
        <v>5927.84</v>
      </c>
      <c r="J289" s="2">
        <v>0</v>
      </c>
      <c r="K289" s="2" t="s">
        <v>41</v>
      </c>
      <c r="L289" s="2" t="s">
        <v>35</v>
      </c>
    </row>
    <row r="290" spans="1:12" x14ac:dyDescent="0.2">
      <c r="A290" s="2">
        <v>101813</v>
      </c>
      <c r="B290" s="18">
        <v>45399</v>
      </c>
      <c r="C290" s="2" t="s">
        <v>259</v>
      </c>
      <c r="D290" s="2" t="s">
        <v>44</v>
      </c>
      <c r="E290" s="2" t="s">
        <v>32</v>
      </c>
      <c r="F290" s="2" t="s">
        <v>120</v>
      </c>
      <c r="G290" s="2" t="s">
        <v>145</v>
      </c>
      <c r="H290" s="2">
        <v>5</v>
      </c>
      <c r="I290" s="2">
        <v>607.87</v>
      </c>
      <c r="J290" s="2">
        <v>0.05</v>
      </c>
      <c r="K290" s="2" t="s">
        <v>29</v>
      </c>
      <c r="L290" s="2" t="s">
        <v>25</v>
      </c>
    </row>
    <row r="291" spans="1:12" x14ac:dyDescent="0.2">
      <c r="A291" s="2">
        <v>101134</v>
      </c>
      <c r="B291" s="17">
        <v>45572</v>
      </c>
      <c r="C291" s="2" t="s">
        <v>323</v>
      </c>
      <c r="D291" s="2" t="s">
        <v>160</v>
      </c>
      <c r="E291" s="2" t="s">
        <v>79</v>
      </c>
      <c r="F291" s="2" t="s">
        <v>155</v>
      </c>
      <c r="G291" s="2" t="s">
        <v>137</v>
      </c>
      <c r="H291" s="2">
        <v>6</v>
      </c>
      <c r="I291" s="2">
        <v>681.35</v>
      </c>
      <c r="J291" s="2">
        <v>0.25</v>
      </c>
      <c r="K291" s="2" t="s">
        <v>17</v>
      </c>
      <c r="L291" s="2" t="s">
        <v>87</v>
      </c>
    </row>
    <row r="292" spans="1:12" x14ac:dyDescent="0.2">
      <c r="A292" s="2">
        <v>100886</v>
      </c>
      <c r="B292" s="18">
        <v>45448</v>
      </c>
      <c r="C292" s="2" t="s">
        <v>405</v>
      </c>
      <c r="D292" s="2" t="s">
        <v>181</v>
      </c>
      <c r="E292" s="2" t="s">
        <v>119</v>
      </c>
      <c r="F292" s="2" t="s">
        <v>64</v>
      </c>
      <c r="G292" s="2" t="s">
        <v>165</v>
      </c>
      <c r="H292" s="2">
        <v>1</v>
      </c>
      <c r="I292" s="2">
        <v>157.5</v>
      </c>
      <c r="J292" s="2">
        <v>0.15</v>
      </c>
      <c r="K292" s="2" t="s">
        <v>17</v>
      </c>
      <c r="L292" s="2" t="s">
        <v>18</v>
      </c>
    </row>
    <row r="293" spans="1:12" x14ac:dyDescent="0.2">
      <c r="A293" s="2">
        <v>101325</v>
      </c>
      <c r="B293" s="18">
        <v>45390</v>
      </c>
      <c r="C293" s="2"/>
      <c r="D293" s="2" t="s">
        <v>181</v>
      </c>
      <c r="E293" s="2" t="s">
        <v>14</v>
      </c>
      <c r="F293" s="2" t="s">
        <v>223</v>
      </c>
      <c r="G293" s="2" t="s">
        <v>51</v>
      </c>
      <c r="H293" s="2">
        <v>4</v>
      </c>
      <c r="I293" s="2">
        <v>1016.16</v>
      </c>
      <c r="J293" s="2">
        <v>0.05</v>
      </c>
      <c r="K293" s="2" t="s">
        <v>17</v>
      </c>
      <c r="L293" s="2" t="s">
        <v>18</v>
      </c>
    </row>
    <row r="294" spans="1:12" x14ac:dyDescent="0.2">
      <c r="A294" s="2">
        <v>101183</v>
      </c>
      <c r="B294" s="18">
        <v>45392</v>
      </c>
      <c r="C294" s="2" t="s">
        <v>406</v>
      </c>
      <c r="D294" s="2" t="s">
        <v>181</v>
      </c>
      <c r="E294" s="2" t="s">
        <v>119</v>
      </c>
      <c r="F294" s="2" t="s">
        <v>120</v>
      </c>
      <c r="G294" s="2" t="s">
        <v>141</v>
      </c>
      <c r="H294" s="2">
        <v>10</v>
      </c>
      <c r="I294" s="2" t="s">
        <v>407</v>
      </c>
      <c r="J294" s="2">
        <v>0.15</v>
      </c>
      <c r="K294" s="2" t="s">
        <v>29</v>
      </c>
      <c r="L294" s="2" t="s">
        <v>143</v>
      </c>
    </row>
    <row r="295" spans="1:12" x14ac:dyDescent="0.2">
      <c r="A295" s="2">
        <v>101071</v>
      </c>
      <c r="B295" s="17">
        <v>45603</v>
      </c>
      <c r="C295" s="2" t="s">
        <v>332</v>
      </c>
      <c r="D295" s="2" t="s">
        <v>89</v>
      </c>
      <c r="E295" s="2" t="s">
        <v>32</v>
      </c>
      <c r="F295" s="2" t="s">
        <v>124</v>
      </c>
      <c r="G295" s="2" t="s">
        <v>99</v>
      </c>
      <c r="H295" s="2">
        <v>12</v>
      </c>
      <c r="I295" s="2">
        <v>11849.54</v>
      </c>
      <c r="J295" s="2">
        <v>0</v>
      </c>
      <c r="K295" s="2" t="s">
        <v>29</v>
      </c>
      <c r="L295" s="2" t="s">
        <v>18</v>
      </c>
    </row>
    <row r="296" spans="1:12" x14ac:dyDescent="0.2">
      <c r="A296" s="2">
        <v>101620</v>
      </c>
      <c r="B296" s="18">
        <v>45466</v>
      </c>
      <c r="C296" s="2" t="s">
        <v>408</v>
      </c>
      <c r="D296" s="2" t="s">
        <v>44</v>
      </c>
      <c r="E296" s="2" t="s">
        <v>32</v>
      </c>
      <c r="F296" s="2" t="s">
        <v>102</v>
      </c>
      <c r="G296" s="2" t="s">
        <v>135</v>
      </c>
      <c r="H296" s="2">
        <v>7</v>
      </c>
      <c r="I296" s="2">
        <v>1579.25</v>
      </c>
      <c r="J296" s="2">
        <v>0</v>
      </c>
      <c r="K296" s="2" t="s">
        <v>83</v>
      </c>
      <c r="L296" s="2" t="s">
        <v>87</v>
      </c>
    </row>
    <row r="297" spans="1:12" x14ac:dyDescent="0.2">
      <c r="A297" s="2">
        <v>100110</v>
      </c>
      <c r="B297" s="17">
        <v>45379</v>
      </c>
      <c r="C297" s="2" t="s">
        <v>321</v>
      </c>
      <c r="D297" s="2" t="s">
        <v>92</v>
      </c>
      <c r="E297" s="2" t="s">
        <v>32</v>
      </c>
      <c r="F297" s="2" t="s">
        <v>120</v>
      </c>
      <c r="G297" s="2" t="s">
        <v>23</v>
      </c>
      <c r="H297" s="2">
        <v>2</v>
      </c>
      <c r="I297" s="2">
        <v>2426.58</v>
      </c>
      <c r="J297" s="2"/>
      <c r="K297" s="2" t="s">
        <v>41</v>
      </c>
      <c r="L297" s="2" t="s">
        <v>143</v>
      </c>
    </row>
    <row r="298" spans="1:12" x14ac:dyDescent="0.2">
      <c r="A298" s="2">
        <v>100817</v>
      </c>
      <c r="B298" s="18">
        <v>45606</v>
      </c>
      <c r="C298" s="2" t="s">
        <v>409</v>
      </c>
      <c r="D298" s="2" t="s">
        <v>160</v>
      </c>
      <c r="E298" s="2" t="s">
        <v>79</v>
      </c>
      <c r="F298" s="2" t="s">
        <v>124</v>
      </c>
      <c r="G298" s="2" t="s">
        <v>207</v>
      </c>
      <c r="H298" s="2">
        <v>9</v>
      </c>
      <c r="I298" s="2">
        <v>7902.15</v>
      </c>
      <c r="J298" s="2">
        <v>0.05</v>
      </c>
      <c r="K298" s="2" t="s">
        <v>66</v>
      </c>
      <c r="L298" s="2" t="s">
        <v>35</v>
      </c>
    </row>
    <row r="299" spans="1:12" x14ac:dyDescent="0.2">
      <c r="A299" s="2">
        <v>101855</v>
      </c>
      <c r="B299" s="17">
        <v>45483</v>
      </c>
      <c r="C299" s="2" t="s">
        <v>410</v>
      </c>
      <c r="D299" s="2" t="s">
        <v>31</v>
      </c>
      <c r="E299" s="2" t="s">
        <v>54</v>
      </c>
      <c r="F299" s="2" t="s">
        <v>28</v>
      </c>
      <c r="G299" s="2" t="s">
        <v>59</v>
      </c>
      <c r="H299" s="2">
        <v>5</v>
      </c>
      <c r="I299" s="2">
        <v>3470.76</v>
      </c>
      <c r="J299" s="2">
        <v>15</v>
      </c>
      <c r="K299" s="2" t="s">
        <v>29</v>
      </c>
      <c r="L299" s="2" t="s">
        <v>121</v>
      </c>
    </row>
    <row r="300" spans="1:12" x14ac:dyDescent="0.2">
      <c r="A300" s="2">
        <v>100877</v>
      </c>
      <c r="B300" s="18">
        <v>45358</v>
      </c>
      <c r="C300" s="2" t="s">
        <v>411</v>
      </c>
      <c r="D300" s="2" t="s">
        <v>95</v>
      </c>
      <c r="E300" s="2" t="s">
        <v>21</v>
      </c>
      <c r="F300" s="2" t="s">
        <v>80</v>
      </c>
      <c r="G300" s="2" t="s">
        <v>93</v>
      </c>
      <c r="H300" s="2">
        <v>2</v>
      </c>
      <c r="I300" s="2">
        <v>234.73</v>
      </c>
      <c r="J300" s="2">
        <v>0</v>
      </c>
      <c r="K300" s="2" t="s">
        <v>83</v>
      </c>
      <c r="L300" s="2" t="s">
        <v>25</v>
      </c>
    </row>
    <row r="301" spans="1:12" x14ac:dyDescent="0.2">
      <c r="A301" s="2">
        <v>101986</v>
      </c>
      <c r="B301" s="18">
        <v>45433</v>
      </c>
      <c r="C301" s="2" t="s">
        <v>412</v>
      </c>
      <c r="D301" s="2" t="s">
        <v>109</v>
      </c>
      <c r="E301" s="2" t="s">
        <v>21</v>
      </c>
      <c r="F301" s="2" t="s">
        <v>191</v>
      </c>
      <c r="G301" s="2" t="s">
        <v>205</v>
      </c>
      <c r="H301" s="2">
        <v>3</v>
      </c>
      <c r="I301" s="2">
        <v>24558.799999999999</v>
      </c>
      <c r="J301" s="2">
        <v>0</v>
      </c>
      <c r="K301" s="2" t="s">
        <v>24</v>
      </c>
      <c r="L301" s="2" t="s">
        <v>52</v>
      </c>
    </row>
    <row r="302" spans="1:12" x14ac:dyDescent="0.2">
      <c r="A302" s="2">
        <v>100562</v>
      </c>
      <c r="B302" s="18">
        <v>45522</v>
      </c>
      <c r="C302" s="2" t="s">
        <v>413</v>
      </c>
      <c r="D302" s="2" t="s">
        <v>175</v>
      </c>
      <c r="E302" s="2" t="s">
        <v>69</v>
      </c>
      <c r="F302" s="2" t="s">
        <v>80</v>
      </c>
      <c r="G302" s="2" t="s">
        <v>34</v>
      </c>
      <c r="H302" s="2">
        <v>1</v>
      </c>
      <c r="I302" s="2">
        <v>307.10000000000002</v>
      </c>
      <c r="J302" s="2">
        <v>0</v>
      </c>
      <c r="K302" s="2" t="s">
        <v>83</v>
      </c>
      <c r="L302" s="2" t="s">
        <v>87</v>
      </c>
    </row>
    <row r="303" spans="1:12" x14ac:dyDescent="0.2">
      <c r="A303" s="2">
        <v>100354</v>
      </c>
      <c r="B303" s="17">
        <v>45625</v>
      </c>
      <c r="C303" s="2" t="s">
        <v>414</v>
      </c>
      <c r="D303" s="2" t="s">
        <v>140</v>
      </c>
      <c r="E303" s="2" t="s">
        <v>49</v>
      </c>
      <c r="F303" s="2" t="s">
        <v>191</v>
      </c>
      <c r="G303" s="2" t="s">
        <v>116</v>
      </c>
      <c r="H303" s="2">
        <v>6</v>
      </c>
      <c r="I303" s="2">
        <v>24699.96</v>
      </c>
      <c r="J303" s="2"/>
      <c r="K303" s="2" t="s">
        <v>83</v>
      </c>
      <c r="L303" s="2" t="s">
        <v>42</v>
      </c>
    </row>
    <row r="304" spans="1:12" x14ac:dyDescent="0.2">
      <c r="A304" s="2">
        <v>101264</v>
      </c>
      <c r="B304" s="18">
        <v>45654</v>
      </c>
      <c r="C304" s="2" t="s">
        <v>174</v>
      </c>
      <c r="D304" s="2" t="s">
        <v>20</v>
      </c>
      <c r="E304" s="2" t="s">
        <v>21</v>
      </c>
      <c r="F304" s="2" t="s">
        <v>120</v>
      </c>
      <c r="G304" s="2" t="s">
        <v>75</v>
      </c>
      <c r="H304" s="2">
        <v>5</v>
      </c>
      <c r="I304" s="2">
        <v>2184</v>
      </c>
      <c r="J304" s="2">
        <v>0.15</v>
      </c>
      <c r="K304" s="2" t="s">
        <v>17</v>
      </c>
      <c r="L304" s="2" t="s">
        <v>52</v>
      </c>
    </row>
    <row r="305" spans="1:12" x14ac:dyDescent="0.2">
      <c r="A305" s="2">
        <v>100096</v>
      </c>
      <c r="B305" s="17">
        <v>45323</v>
      </c>
      <c r="C305" s="2" t="s">
        <v>346</v>
      </c>
      <c r="D305" s="2" t="s">
        <v>44</v>
      </c>
      <c r="E305" s="2" t="s">
        <v>32</v>
      </c>
      <c r="F305" s="2" t="s">
        <v>86</v>
      </c>
      <c r="G305" s="2" t="s">
        <v>71</v>
      </c>
      <c r="H305" s="2">
        <v>5</v>
      </c>
      <c r="I305" s="2">
        <v>11745.17</v>
      </c>
      <c r="J305" s="2">
        <v>0.1</v>
      </c>
      <c r="K305" s="2" t="s">
        <v>29</v>
      </c>
      <c r="L305" s="2" t="s">
        <v>52</v>
      </c>
    </row>
    <row r="306" spans="1:12" x14ac:dyDescent="0.2">
      <c r="A306" s="2">
        <v>100631</v>
      </c>
      <c r="B306" s="17">
        <v>45310</v>
      </c>
      <c r="C306" s="2" t="s">
        <v>341</v>
      </c>
      <c r="D306" s="2" t="s">
        <v>101</v>
      </c>
      <c r="E306" s="2" t="s">
        <v>69</v>
      </c>
      <c r="F306" s="2" t="s">
        <v>223</v>
      </c>
      <c r="G306" s="2" t="s">
        <v>207</v>
      </c>
      <c r="H306" s="2">
        <v>4</v>
      </c>
      <c r="I306" s="2">
        <v>9346.98</v>
      </c>
      <c r="J306" s="2">
        <v>25</v>
      </c>
      <c r="K306" s="2" t="s">
        <v>24</v>
      </c>
      <c r="L306" s="2" t="s">
        <v>121</v>
      </c>
    </row>
    <row r="307" spans="1:12" x14ac:dyDescent="0.2">
      <c r="A307" s="2">
        <v>100424</v>
      </c>
      <c r="B307" s="17">
        <v>45500</v>
      </c>
      <c r="C307" s="2" t="s">
        <v>415</v>
      </c>
      <c r="D307" s="2" t="s">
        <v>20</v>
      </c>
      <c r="E307" s="2" t="s">
        <v>21</v>
      </c>
      <c r="F307" s="2" t="s">
        <v>64</v>
      </c>
      <c r="G307" s="2" t="s">
        <v>165</v>
      </c>
      <c r="H307" s="2">
        <v>10</v>
      </c>
      <c r="I307" s="2"/>
      <c r="J307" s="2">
        <v>0</v>
      </c>
      <c r="K307" s="2" t="s">
        <v>83</v>
      </c>
      <c r="L307" s="2" t="s">
        <v>121</v>
      </c>
    </row>
    <row r="308" spans="1:12" x14ac:dyDescent="0.2">
      <c r="A308" s="2">
        <v>100020</v>
      </c>
      <c r="B308" s="18">
        <v>45632</v>
      </c>
      <c r="C308" s="2" t="s">
        <v>416</v>
      </c>
      <c r="D308" s="2" t="s">
        <v>31</v>
      </c>
      <c r="E308" s="2" t="s">
        <v>54</v>
      </c>
      <c r="F308" s="2" t="s">
        <v>106</v>
      </c>
      <c r="G308" s="2" t="s">
        <v>135</v>
      </c>
      <c r="H308" s="2">
        <v>9</v>
      </c>
      <c r="I308" s="2">
        <v>677.55</v>
      </c>
      <c r="J308" s="2"/>
      <c r="K308" s="2" t="s">
        <v>83</v>
      </c>
      <c r="L308" s="2" t="s">
        <v>52</v>
      </c>
    </row>
    <row r="309" spans="1:12" x14ac:dyDescent="0.2">
      <c r="A309" s="2">
        <v>101742</v>
      </c>
      <c r="B309" s="18">
        <v>45542</v>
      </c>
      <c r="C309" s="2" t="s">
        <v>417</v>
      </c>
      <c r="D309" s="2" t="s">
        <v>129</v>
      </c>
      <c r="E309" s="2" t="s">
        <v>49</v>
      </c>
      <c r="F309" s="2" t="s">
        <v>28</v>
      </c>
      <c r="G309" s="2" t="s">
        <v>59</v>
      </c>
      <c r="H309" s="2">
        <v>8</v>
      </c>
      <c r="I309" s="2">
        <v>19016.96</v>
      </c>
      <c r="J309" s="2">
        <v>20</v>
      </c>
      <c r="K309" s="2" t="s">
        <v>83</v>
      </c>
      <c r="L309" s="2" t="s">
        <v>35</v>
      </c>
    </row>
    <row r="310" spans="1:12" x14ac:dyDescent="0.2">
      <c r="A310" s="2">
        <v>101051</v>
      </c>
      <c r="B310" s="18">
        <v>45449</v>
      </c>
      <c r="C310" s="2" t="s">
        <v>418</v>
      </c>
      <c r="D310" s="2" t="s">
        <v>31</v>
      </c>
      <c r="E310" s="2" t="s">
        <v>32</v>
      </c>
      <c r="F310" s="2" t="s">
        <v>39</v>
      </c>
      <c r="G310" s="2" t="s">
        <v>165</v>
      </c>
      <c r="H310" s="2">
        <v>4</v>
      </c>
      <c r="I310" s="2">
        <v>870.91</v>
      </c>
      <c r="J310" s="2">
        <v>0</v>
      </c>
      <c r="K310" s="2" t="s">
        <v>41</v>
      </c>
      <c r="L310" s="2" t="s">
        <v>42</v>
      </c>
    </row>
    <row r="311" spans="1:12" x14ac:dyDescent="0.2">
      <c r="A311" s="2">
        <v>100736</v>
      </c>
      <c r="B311" s="18">
        <v>45413</v>
      </c>
      <c r="C311" s="2" t="s">
        <v>164</v>
      </c>
      <c r="D311" s="2" t="s">
        <v>95</v>
      </c>
      <c r="E311" s="2" t="s">
        <v>21</v>
      </c>
      <c r="F311" s="2" t="s">
        <v>191</v>
      </c>
      <c r="G311" s="2" t="s">
        <v>152</v>
      </c>
      <c r="H311" s="2">
        <v>10</v>
      </c>
      <c r="I311" s="2" t="s">
        <v>419</v>
      </c>
      <c r="J311" s="2"/>
      <c r="K311" s="2" t="s">
        <v>66</v>
      </c>
      <c r="L311" s="2" t="s">
        <v>42</v>
      </c>
    </row>
    <row r="312" spans="1:12" x14ac:dyDescent="0.2">
      <c r="A312" s="2">
        <v>100326</v>
      </c>
      <c r="B312" s="18">
        <v>45412</v>
      </c>
      <c r="C312" s="2" t="s">
        <v>420</v>
      </c>
      <c r="D312" s="2" t="s">
        <v>181</v>
      </c>
      <c r="E312" s="2" t="s">
        <v>14</v>
      </c>
      <c r="F312" s="2" t="s">
        <v>80</v>
      </c>
      <c r="G312" s="2" t="s">
        <v>34</v>
      </c>
      <c r="H312" s="2">
        <v>1</v>
      </c>
      <c r="I312" s="2">
        <v>334.9</v>
      </c>
      <c r="J312" s="2">
        <v>0.1</v>
      </c>
      <c r="K312" s="2" t="s">
        <v>29</v>
      </c>
      <c r="L312" s="2" t="s">
        <v>25</v>
      </c>
    </row>
    <row r="313" spans="1:12" x14ac:dyDescent="0.2">
      <c r="A313" s="2">
        <v>101280</v>
      </c>
      <c r="B313" s="17">
        <v>45506</v>
      </c>
      <c r="C313" s="2" t="s">
        <v>421</v>
      </c>
      <c r="D313" s="2" t="s">
        <v>131</v>
      </c>
      <c r="E313" s="2" t="s">
        <v>133</v>
      </c>
      <c r="F313" s="2" t="s">
        <v>33</v>
      </c>
      <c r="G313" s="2" t="s">
        <v>34</v>
      </c>
      <c r="H313" s="2">
        <v>10</v>
      </c>
      <c r="I313" s="2">
        <v>308.70999999999998</v>
      </c>
      <c r="J313" s="2">
        <v>0.1</v>
      </c>
      <c r="K313" s="2" t="s">
        <v>41</v>
      </c>
      <c r="L313" s="2" t="s">
        <v>25</v>
      </c>
    </row>
    <row r="314" spans="1:12" x14ac:dyDescent="0.2">
      <c r="A314" s="2">
        <v>101828</v>
      </c>
      <c r="B314" s="17">
        <v>45613</v>
      </c>
      <c r="C314" s="2" t="s">
        <v>422</v>
      </c>
      <c r="D314" s="2" t="s">
        <v>73</v>
      </c>
      <c r="E314" s="2" t="s">
        <v>79</v>
      </c>
      <c r="F314" s="2" t="s">
        <v>50</v>
      </c>
      <c r="G314" s="2" t="s">
        <v>62</v>
      </c>
      <c r="H314" s="2">
        <v>5</v>
      </c>
      <c r="I314" s="2">
        <v>5161.05</v>
      </c>
      <c r="J314" s="2">
        <v>0</v>
      </c>
      <c r="K314" s="2" t="s">
        <v>83</v>
      </c>
      <c r="L314" s="2" t="s">
        <v>42</v>
      </c>
    </row>
    <row r="315" spans="1:12" x14ac:dyDescent="0.2">
      <c r="A315" s="2">
        <v>101209</v>
      </c>
      <c r="B315" s="18">
        <v>45561</v>
      </c>
      <c r="C315" s="2" t="s">
        <v>299</v>
      </c>
      <c r="D315" s="2" t="s">
        <v>89</v>
      </c>
      <c r="E315" s="2" t="s">
        <v>54</v>
      </c>
      <c r="F315" s="2" t="s">
        <v>33</v>
      </c>
      <c r="G315" s="2" t="s">
        <v>93</v>
      </c>
      <c r="H315" s="2">
        <v>9</v>
      </c>
      <c r="I315" s="2">
        <v>302.87</v>
      </c>
      <c r="J315" s="2">
        <v>0.2</v>
      </c>
      <c r="K315" s="2" t="s">
        <v>29</v>
      </c>
      <c r="L315" s="2" t="s">
        <v>121</v>
      </c>
    </row>
    <row r="316" spans="1:12" x14ac:dyDescent="0.2">
      <c r="A316" s="2">
        <v>100455</v>
      </c>
      <c r="B316" s="18">
        <v>45331</v>
      </c>
      <c r="C316" s="2"/>
      <c r="D316" s="2" t="s">
        <v>92</v>
      </c>
      <c r="E316" s="2" t="s">
        <v>32</v>
      </c>
      <c r="F316" s="2" t="s">
        <v>55</v>
      </c>
      <c r="G316" s="2" t="s">
        <v>62</v>
      </c>
      <c r="H316" s="2">
        <v>3</v>
      </c>
      <c r="I316" s="2">
        <v>4376.41</v>
      </c>
      <c r="J316" s="2">
        <v>20</v>
      </c>
      <c r="K316" s="2" t="s">
        <v>66</v>
      </c>
      <c r="L316" s="2" t="s">
        <v>87</v>
      </c>
    </row>
    <row r="317" spans="1:12" x14ac:dyDescent="0.2">
      <c r="A317" s="2">
        <v>101825</v>
      </c>
      <c r="B317" s="17">
        <v>45500</v>
      </c>
      <c r="C317" s="2" t="s">
        <v>281</v>
      </c>
      <c r="D317" s="2" t="s">
        <v>160</v>
      </c>
      <c r="E317" s="2" t="s">
        <v>49</v>
      </c>
      <c r="F317" s="2" t="s">
        <v>28</v>
      </c>
      <c r="G317" s="2" t="s">
        <v>116</v>
      </c>
      <c r="H317" s="2">
        <v>12</v>
      </c>
      <c r="I317" s="2">
        <v>5617.54</v>
      </c>
      <c r="J317" s="2">
        <v>0</v>
      </c>
      <c r="K317" s="2" t="s">
        <v>24</v>
      </c>
      <c r="L317" s="2" t="s">
        <v>143</v>
      </c>
    </row>
    <row r="318" spans="1:12" x14ac:dyDescent="0.2">
      <c r="A318" s="2">
        <v>100223</v>
      </c>
      <c r="B318" s="17">
        <v>45413</v>
      </c>
      <c r="C318" s="2"/>
      <c r="D318" s="2" t="s">
        <v>181</v>
      </c>
      <c r="E318" s="2" t="s">
        <v>14</v>
      </c>
      <c r="F318" s="2" t="s">
        <v>80</v>
      </c>
      <c r="G318" s="2" t="s">
        <v>158</v>
      </c>
      <c r="H318" s="2">
        <v>1</v>
      </c>
      <c r="I318" s="2">
        <v>212.77</v>
      </c>
      <c r="J318" s="2">
        <v>10</v>
      </c>
      <c r="K318" s="2" t="s">
        <v>24</v>
      </c>
      <c r="L318" s="2" t="s">
        <v>52</v>
      </c>
    </row>
    <row r="319" spans="1:12" x14ac:dyDescent="0.2">
      <c r="A319" s="2">
        <v>101754</v>
      </c>
      <c r="B319" s="18">
        <v>45317</v>
      </c>
      <c r="C319" s="2" t="s">
        <v>423</v>
      </c>
      <c r="D319" s="2" t="s">
        <v>37</v>
      </c>
      <c r="E319" s="2" t="s">
        <v>69</v>
      </c>
      <c r="F319" s="2" t="s">
        <v>223</v>
      </c>
      <c r="G319" s="2" t="s">
        <v>56</v>
      </c>
      <c r="H319" s="2">
        <v>1</v>
      </c>
      <c r="I319" s="2">
        <v>4876.33</v>
      </c>
      <c r="J319" s="2">
        <v>0.15</v>
      </c>
      <c r="K319" s="2" t="s">
        <v>29</v>
      </c>
      <c r="L319" s="2" t="s">
        <v>87</v>
      </c>
    </row>
    <row r="320" spans="1:12" x14ac:dyDescent="0.2">
      <c r="A320" s="2">
        <v>100738</v>
      </c>
      <c r="B320" s="17">
        <v>45630</v>
      </c>
      <c r="C320" s="2" t="s">
        <v>424</v>
      </c>
      <c r="D320" s="2" t="s">
        <v>48</v>
      </c>
      <c r="E320" s="2" t="s">
        <v>79</v>
      </c>
      <c r="F320" s="2" t="s">
        <v>80</v>
      </c>
      <c r="G320" s="2" t="s">
        <v>158</v>
      </c>
      <c r="H320" s="2">
        <v>12</v>
      </c>
      <c r="I320" s="2">
        <v>128.08000000000001</v>
      </c>
      <c r="J320" s="2">
        <v>5</v>
      </c>
      <c r="K320" s="2" t="s">
        <v>29</v>
      </c>
      <c r="L320" s="2" t="s">
        <v>42</v>
      </c>
    </row>
    <row r="321" spans="1:12" x14ac:dyDescent="0.2">
      <c r="A321" s="2">
        <v>101123</v>
      </c>
      <c r="B321" s="2" t="s">
        <v>425</v>
      </c>
      <c r="C321" s="2" t="s">
        <v>426</v>
      </c>
      <c r="D321" s="2" t="s">
        <v>48</v>
      </c>
      <c r="E321" s="2" t="s">
        <v>49</v>
      </c>
      <c r="F321" s="2" t="s">
        <v>80</v>
      </c>
      <c r="G321" s="2" t="s">
        <v>158</v>
      </c>
      <c r="H321" s="2">
        <v>8</v>
      </c>
      <c r="I321" s="2"/>
      <c r="J321" s="2">
        <v>0.2</v>
      </c>
      <c r="K321" s="2" t="s">
        <v>83</v>
      </c>
      <c r="L321" s="2" t="s">
        <v>52</v>
      </c>
    </row>
    <row r="322" spans="1:12" x14ac:dyDescent="0.2">
      <c r="A322" s="2">
        <v>101835</v>
      </c>
      <c r="B322" s="18">
        <v>45627</v>
      </c>
      <c r="C322" s="2" t="s">
        <v>427</v>
      </c>
      <c r="D322" s="2" t="s">
        <v>109</v>
      </c>
      <c r="E322" s="2" t="s">
        <v>21</v>
      </c>
      <c r="F322" s="2" t="s">
        <v>39</v>
      </c>
      <c r="G322" s="2" t="s">
        <v>242</v>
      </c>
      <c r="H322" s="2">
        <v>1</v>
      </c>
      <c r="I322" s="2" t="s">
        <v>428</v>
      </c>
      <c r="J322" s="2">
        <v>0</v>
      </c>
      <c r="K322" s="2" t="s">
        <v>17</v>
      </c>
      <c r="L322" s="2" t="s">
        <v>52</v>
      </c>
    </row>
    <row r="323" spans="1:12" x14ac:dyDescent="0.2">
      <c r="A323" s="2">
        <v>100112</v>
      </c>
      <c r="B323" s="18">
        <v>45616</v>
      </c>
      <c r="C323" s="2" t="s">
        <v>429</v>
      </c>
      <c r="D323" s="2" t="s">
        <v>85</v>
      </c>
      <c r="E323" s="2" t="s">
        <v>14</v>
      </c>
      <c r="F323" s="2" t="s">
        <v>124</v>
      </c>
      <c r="G323" s="2" t="s">
        <v>207</v>
      </c>
      <c r="H323" s="2">
        <v>7</v>
      </c>
      <c r="I323" s="2">
        <v>6458.8</v>
      </c>
      <c r="J323" s="2">
        <v>0.2</v>
      </c>
      <c r="K323" s="2" t="s">
        <v>24</v>
      </c>
      <c r="L323" s="2" t="s">
        <v>25</v>
      </c>
    </row>
    <row r="324" spans="1:12" x14ac:dyDescent="0.2">
      <c r="A324" s="2">
        <v>101566</v>
      </c>
      <c r="B324" s="17">
        <v>45475</v>
      </c>
      <c r="C324" s="2" t="s">
        <v>291</v>
      </c>
      <c r="D324" s="2" t="s">
        <v>95</v>
      </c>
      <c r="E324" s="2" t="s">
        <v>21</v>
      </c>
      <c r="F324" s="2" t="s">
        <v>28</v>
      </c>
      <c r="G324" s="2" t="s">
        <v>16</v>
      </c>
      <c r="H324" s="2">
        <v>1</v>
      </c>
      <c r="I324" s="2">
        <v>17143.12</v>
      </c>
      <c r="J324" s="2">
        <v>0</v>
      </c>
      <c r="K324" s="2" t="s">
        <v>41</v>
      </c>
      <c r="L324" s="2" t="s">
        <v>35</v>
      </c>
    </row>
    <row r="325" spans="1:12" x14ac:dyDescent="0.2">
      <c r="A325" s="2">
        <v>100442</v>
      </c>
      <c r="B325" s="18">
        <v>45573</v>
      </c>
      <c r="C325" s="2" t="s">
        <v>430</v>
      </c>
      <c r="D325" s="2" t="s">
        <v>175</v>
      </c>
      <c r="E325" s="2" t="s">
        <v>69</v>
      </c>
      <c r="F325" s="2" t="s">
        <v>50</v>
      </c>
      <c r="G325" s="2" t="s">
        <v>56</v>
      </c>
      <c r="H325" s="2">
        <v>11</v>
      </c>
      <c r="I325" s="2">
        <v>11883.85</v>
      </c>
      <c r="J325" s="2">
        <v>0.15</v>
      </c>
      <c r="K325" s="2" t="s">
        <v>83</v>
      </c>
      <c r="L325" s="2" t="s">
        <v>143</v>
      </c>
    </row>
    <row r="326" spans="1:12" x14ac:dyDescent="0.2">
      <c r="A326" s="2">
        <v>100621</v>
      </c>
      <c r="B326" s="2" t="s">
        <v>431</v>
      </c>
      <c r="C326" s="2" t="s">
        <v>432</v>
      </c>
      <c r="D326" s="2" t="s">
        <v>95</v>
      </c>
      <c r="E326" s="2" t="s">
        <v>21</v>
      </c>
      <c r="F326" s="2" t="s">
        <v>124</v>
      </c>
      <c r="G326" s="2" t="s">
        <v>207</v>
      </c>
      <c r="H326" s="2">
        <v>2</v>
      </c>
      <c r="I326" s="2">
        <v>8108.42</v>
      </c>
      <c r="J326" s="2">
        <v>0.2</v>
      </c>
      <c r="K326" s="2" t="s">
        <v>17</v>
      </c>
      <c r="L326" s="2" t="s">
        <v>25</v>
      </c>
    </row>
    <row r="327" spans="1:12" x14ac:dyDescent="0.2">
      <c r="A327" s="2">
        <v>101138</v>
      </c>
      <c r="B327" s="18">
        <v>45422</v>
      </c>
      <c r="C327" s="2" t="s">
        <v>433</v>
      </c>
      <c r="D327" s="2" t="s">
        <v>85</v>
      </c>
      <c r="E327" s="2" t="s">
        <v>119</v>
      </c>
      <c r="F327" s="2" t="s">
        <v>28</v>
      </c>
      <c r="G327" s="2" t="s">
        <v>152</v>
      </c>
      <c r="H327" s="2">
        <v>9</v>
      </c>
      <c r="I327" s="2">
        <v>6426.19</v>
      </c>
      <c r="J327" s="2">
        <v>5</v>
      </c>
      <c r="K327" s="2" t="s">
        <v>17</v>
      </c>
      <c r="L327" s="2" t="s">
        <v>52</v>
      </c>
    </row>
    <row r="328" spans="1:12" x14ac:dyDescent="0.2">
      <c r="A328" s="2">
        <v>100314</v>
      </c>
      <c r="B328" s="17">
        <v>45630</v>
      </c>
      <c r="C328" s="2" t="s">
        <v>434</v>
      </c>
      <c r="D328" s="2" t="s">
        <v>73</v>
      </c>
      <c r="E328" s="2" t="s">
        <v>49</v>
      </c>
      <c r="F328" s="2" t="s">
        <v>102</v>
      </c>
      <c r="G328" s="2" t="s">
        <v>135</v>
      </c>
      <c r="H328" s="2">
        <v>2</v>
      </c>
      <c r="I328" s="2">
        <v>1110.95</v>
      </c>
      <c r="J328" s="2">
        <v>0.25</v>
      </c>
      <c r="K328" s="2" t="s">
        <v>66</v>
      </c>
      <c r="L328" s="2" t="s">
        <v>143</v>
      </c>
    </row>
    <row r="329" spans="1:12" x14ac:dyDescent="0.2">
      <c r="A329" s="2">
        <v>100288</v>
      </c>
      <c r="B329" s="17">
        <v>45604</v>
      </c>
      <c r="C329" s="2" t="s">
        <v>320</v>
      </c>
      <c r="D329" s="2" t="s">
        <v>92</v>
      </c>
      <c r="E329" s="2" t="s">
        <v>54</v>
      </c>
      <c r="F329" s="2" t="s">
        <v>15</v>
      </c>
      <c r="G329" s="2" t="s">
        <v>59</v>
      </c>
      <c r="H329" s="2">
        <v>4</v>
      </c>
      <c r="I329" s="2">
        <v>7238.99</v>
      </c>
      <c r="J329" s="2"/>
      <c r="K329" s="2" t="s">
        <v>17</v>
      </c>
      <c r="L329" s="2" t="s">
        <v>35</v>
      </c>
    </row>
    <row r="330" spans="1:12" x14ac:dyDescent="0.2">
      <c r="A330" s="2">
        <v>101698</v>
      </c>
      <c r="B330" s="17">
        <v>45570</v>
      </c>
      <c r="C330" s="2" t="s">
        <v>435</v>
      </c>
      <c r="D330" s="2" t="s">
        <v>13</v>
      </c>
      <c r="E330" s="2" t="s">
        <v>119</v>
      </c>
      <c r="F330" s="2" t="s">
        <v>155</v>
      </c>
      <c r="G330" s="2" t="s">
        <v>156</v>
      </c>
      <c r="H330" s="2">
        <v>3</v>
      </c>
      <c r="I330" s="2" t="s">
        <v>436</v>
      </c>
      <c r="J330" s="2">
        <v>0</v>
      </c>
      <c r="K330" s="2" t="s">
        <v>24</v>
      </c>
      <c r="L330" s="2" t="s">
        <v>18</v>
      </c>
    </row>
    <row r="331" spans="1:12" x14ac:dyDescent="0.2">
      <c r="A331" s="2">
        <v>100566</v>
      </c>
      <c r="B331" s="18">
        <v>45584</v>
      </c>
      <c r="C331" s="2" t="s">
        <v>437</v>
      </c>
      <c r="D331" s="2" t="s">
        <v>61</v>
      </c>
      <c r="E331" s="2" t="s">
        <v>14</v>
      </c>
      <c r="F331" s="2" t="s">
        <v>80</v>
      </c>
      <c r="G331" s="2" t="s">
        <v>93</v>
      </c>
      <c r="H331" s="2">
        <v>12</v>
      </c>
      <c r="I331" s="2">
        <v>258.42</v>
      </c>
      <c r="J331" s="2">
        <v>0.2</v>
      </c>
      <c r="K331" s="2" t="s">
        <v>17</v>
      </c>
      <c r="L331" s="2" t="s">
        <v>143</v>
      </c>
    </row>
    <row r="332" spans="1:12" x14ac:dyDescent="0.2">
      <c r="A332" s="2">
        <v>100861</v>
      </c>
      <c r="B332" s="18">
        <v>45528</v>
      </c>
      <c r="C332" s="2" t="s">
        <v>150</v>
      </c>
      <c r="D332" s="2" t="s">
        <v>85</v>
      </c>
      <c r="E332" s="2" t="s">
        <v>14</v>
      </c>
      <c r="F332" s="2" t="s">
        <v>45</v>
      </c>
      <c r="G332" s="2" t="s">
        <v>71</v>
      </c>
      <c r="H332" s="2">
        <v>10</v>
      </c>
      <c r="I332" s="2"/>
      <c r="J332" s="2">
        <v>0</v>
      </c>
      <c r="K332" s="2" t="s">
        <v>17</v>
      </c>
      <c r="L332" s="2" t="s">
        <v>18</v>
      </c>
    </row>
    <row r="333" spans="1:12" x14ac:dyDescent="0.2">
      <c r="A333" s="2">
        <v>100518</v>
      </c>
      <c r="B333" s="18">
        <v>45424</v>
      </c>
      <c r="C333" s="2" t="s">
        <v>325</v>
      </c>
      <c r="D333" s="2" t="s">
        <v>160</v>
      </c>
      <c r="E333" s="2" t="s">
        <v>79</v>
      </c>
      <c r="F333" s="2" t="s">
        <v>74</v>
      </c>
      <c r="G333" s="2" t="s">
        <v>145</v>
      </c>
      <c r="H333" s="2">
        <v>2</v>
      </c>
      <c r="I333" s="2" t="s">
        <v>438</v>
      </c>
      <c r="J333" s="2">
        <v>0.15</v>
      </c>
      <c r="K333" s="2" t="s">
        <v>17</v>
      </c>
      <c r="L333" s="2" t="s">
        <v>143</v>
      </c>
    </row>
    <row r="334" spans="1:12" x14ac:dyDescent="0.2">
      <c r="A334" s="2">
        <v>100952</v>
      </c>
      <c r="B334" s="18">
        <v>45516</v>
      </c>
      <c r="C334" s="2" t="s">
        <v>439</v>
      </c>
      <c r="D334" s="2" t="s">
        <v>48</v>
      </c>
      <c r="E334" s="2" t="s">
        <v>79</v>
      </c>
      <c r="F334" s="2" t="s">
        <v>74</v>
      </c>
      <c r="G334" s="2" t="s">
        <v>145</v>
      </c>
      <c r="H334" s="2">
        <v>8</v>
      </c>
      <c r="I334" s="2">
        <v>687.51</v>
      </c>
      <c r="J334" s="2">
        <v>0.05</v>
      </c>
      <c r="K334" s="2" t="s">
        <v>24</v>
      </c>
      <c r="L334" s="2" t="s">
        <v>87</v>
      </c>
    </row>
    <row r="335" spans="1:12" x14ac:dyDescent="0.2">
      <c r="A335" s="2">
        <v>101727</v>
      </c>
      <c r="B335" s="18">
        <v>45353</v>
      </c>
      <c r="C335" s="2" t="s">
        <v>98</v>
      </c>
      <c r="D335" s="2" t="s">
        <v>27</v>
      </c>
      <c r="E335" s="2" t="s">
        <v>21</v>
      </c>
      <c r="F335" s="2" t="s">
        <v>223</v>
      </c>
      <c r="G335" s="2" t="s">
        <v>207</v>
      </c>
      <c r="H335" s="2">
        <v>11</v>
      </c>
      <c r="I335" s="2"/>
      <c r="J335" s="2">
        <v>0.05</v>
      </c>
      <c r="K335" s="2" t="s">
        <v>83</v>
      </c>
      <c r="L335" s="2" t="s">
        <v>18</v>
      </c>
    </row>
    <row r="336" spans="1:12" x14ac:dyDescent="0.2">
      <c r="A336" s="2">
        <v>101510</v>
      </c>
      <c r="B336" s="18">
        <v>45656</v>
      </c>
      <c r="C336" s="2" t="s">
        <v>440</v>
      </c>
      <c r="D336" s="2" t="s">
        <v>58</v>
      </c>
      <c r="E336" s="2" t="s">
        <v>69</v>
      </c>
      <c r="F336" s="2" t="s">
        <v>155</v>
      </c>
      <c r="G336" s="2" t="s">
        <v>135</v>
      </c>
      <c r="H336" s="2">
        <v>4</v>
      </c>
      <c r="I336" s="2">
        <v>4156.67</v>
      </c>
      <c r="J336" s="2">
        <v>0</v>
      </c>
      <c r="K336" s="2" t="s">
        <v>83</v>
      </c>
      <c r="L336" s="2" t="s">
        <v>25</v>
      </c>
    </row>
    <row r="337" spans="1:12" x14ac:dyDescent="0.2">
      <c r="A337" s="2">
        <v>100682</v>
      </c>
      <c r="B337" s="2" t="s">
        <v>441</v>
      </c>
      <c r="C337" s="2" t="s">
        <v>241</v>
      </c>
      <c r="D337" s="2" t="s">
        <v>109</v>
      </c>
      <c r="E337" s="2" t="s">
        <v>133</v>
      </c>
      <c r="F337" s="2" t="s">
        <v>191</v>
      </c>
      <c r="G337" s="2" t="s">
        <v>116</v>
      </c>
      <c r="H337" s="2">
        <v>-3</v>
      </c>
      <c r="I337" s="2">
        <v>3372.48</v>
      </c>
      <c r="J337" s="2">
        <v>0.15</v>
      </c>
      <c r="K337" s="2" t="s">
        <v>24</v>
      </c>
      <c r="L337" s="2" t="s">
        <v>121</v>
      </c>
    </row>
    <row r="338" spans="1:12" x14ac:dyDescent="0.2">
      <c r="A338" s="2">
        <v>101332</v>
      </c>
      <c r="B338" s="18">
        <v>45396</v>
      </c>
      <c r="C338" s="2" t="s">
        <v>442</v>
      </c>
      <c r="D338" s="2" t="s">
        <v>44</v>
      </c>
      <c r="E338" s="2" t="s">
        <v>54</v>
      </c>
      <c r="F338" s="2" t="s">
        <v>28</v>
      </c>
      <c r="G338" s="2" t="s">
        <v>16</v>
      </c>
      <c r="H338" s="2">
        <v>10</v>
      </c>
      <c r="I338" s="2">
        <v>20175.72</v>
      </c>
      <c r="J338" s="2">
        <v>0.1</v>
      </c>
      <c r="K338" s="2" t="s">
        <v>24</v>
      </c>
      <c r="L338" s="2" t="s">
        <v>18</v>
      </c>
    </row>
    <row r="339" spans="1:12" x14ac:dyDescent="0.2">
      <c r="A339" s="2">
        <v>100340</v>
      </c>
      <c r="B339" s="18">
        <v>45316</v>
      </c>
      <c r="C339" s="2" t="s">
        <v>443</v>
      </c>
      <c r="D339" s="2" t="s">
        <v>31</v>
      </c>
      <c r="E339" s="2" t="s">
        <v>54</v>
      </c>
      <c r="F339" s="2" t="s">
        <v>113</v>
      </c>
      <c r="G339" s="2" t="s">
        <v>114</v>
      </c>
      <c r="H339" s="2">
        <v>3</v>
      </c>
      <c r="I339" s="2">
        <v>821.13</v>
      </c>
      <c r="J339" s="2">
        <v>0.05</v>
      </c>
      <c r="K339" s="2" t="s">
        <v>24</v>
      </c>
      <c r="L339" s="2" t="s">
        <v>87</v>
      </c>
    </row>
    <row r="340" spans="1:12" x14ac:dyDescent="0.2">
      <c r="A340" s="2">
        <v>100359</v>
      </c>
      <c r="B340" s="18">
        <v>45465</v>
      </c>
      <c r="C340" s="2" t="s">
        <v>444</v>
      </c>
      <c r="D340" s="2" t="s">
        <v>92</v>
      </c>
      <c r="E340" s="2" t="s">
        <v>32</v>
      </c>
      <c r="F340" s="2" t="s">
        <v>102</v>
      </c>
      <c r="G340" s="2" t="s">
        <v>103</v>
      </c>
      <c r="H340" s="2">
        <v>12</v>
      </c>
      <c r="I340" s="2">
        <v>3546.72</v>
      </c>
      <c r="J340" s="2">
        <v>0.2</v>
      </c>
      <c r="K340" s="2" t="s">
        <v>17</v>
      </c>
      <c r="L340" s="2" t="s">
        <v>143</v>
      </c>
    </row>
    <row r="341" spans="1:12" x14ac:dyDescent="0.2">
      <c r="A341" s="2">
        <v>101943</v>
      </c>
      <c r="B341" s="2" t="s">
        <v>275</v>
      </c>
      <c r="C341" s="2"/>
      <c r="D341" s="2" t="s">
        <v>92</v>
      </c>
      <c r="E341" s="2" t="s">
        <v>54</v>
      </c>
      <c r="F341" s="2" t="s">
        <v>39</v>
      </c>
      <c r="G341" s="2" t="s">
        <v>165</v>
      </c>
      <c r="H341" s="2">
        <v>8</v>
      </c>
      <c r="I341" s="2">
        <v>157.93</v>
      </c>
      <c r="J341" s="2">
        <v>15</v>
      </c>
      <c r="K341" s="2" t="s">
        <v>17</v>
      </c>
      <c r="L341" s="2" t="s">
        <v>25</v>
      </c>
    </row>
    <row r="342" spans="1:12" x14ac:dyDescent="0.2">
      <c r="A342" s="2">
        <v>100612</v>
      </c>
      <c r="B342" s="17">
        <v>45460</v>
      </c>
      <c r="C342" s="2" t="s">
        <v>445</v>
      </c>
      <c r="D342" s="2" t="s">
        <v>58</v>
      </c>
      <c r="E342" s="2" t="s">
        <v>69</v>
      </c>
      <c r="F342" s="2" t="s">
        <v>102</v>
      </c>
      <c r="G342" s="2" t="s">
        <v>137</v>
      </c>
      <c r="H342" s="2">
        <v>7</v>
      </c>
      <c r="I342" s="2">
        <v>4260.79</v>
      </c>
      <c r="J342" s="2"/>
      <c r="K342" s="2" t="s">
        <v>83</v>
      </c>
      <c r="L342" s="2" t="s">
        <v>18</v>
      </c>
    </row>
    <row r="343" spans="1:12" x14ac:dyDescent="0.2">
      <c r="A343" s="2">
        <v>100018</v>
      </c>
      <c r="B343" s="17">
        <v>45487</v>
      </c>
      <c r="C343" s="2" t="s">
        <v>446</v>
      </c>
      <c r="D343" s="2" t="s">
        <v>95</v>
      </c>
      <c r="E343" s="2" t="s">
        <v>21</v>
      </c>
      <c r="F343" s="2" t="s">
        <v>64</v>
      </c>
      <c r="G343" s="2" t="s">
        <v>242</v>
      </c>
      <c r="H343" s="2">
        <v>11</v>
      </c>
      <c r="I343" s="2">
        <v>676.08</v>
      </c>
      <c r="J343" s="2">
        <v>10</v>
      </c>
      <c r="K343" s="2" t="s">
        <v>24</v>
      </c>
      <c r="L343" s="2" t="s">
        <v>18</v>
      </c>
    </row>
    <row r="344" spans="1:12" x14ac:dyDescent="0.2">
      <c r="A344" s="2">
        <v>101464</v>
      </c>
      <c r="B344" s="18">
        <v>45489</v>
      </c>
      <c r="C344" s="2" t="s">
        <v>447</v>
      </c>
      <c r="D344" s="2" t="s">
        <v>129</v>
      </c>
      <c r="E344" s="2" t="s">
        <v>49</v>
      </c>
      <c r="F344" s="2" t="s">
        <v>113</v>
      </c>
      <c r="G344" s="2" t="s">
        <v>165</v>
      </c>
      <c r="H344" s="2">
        <v>4</v>
      </c>
      <c r="I344" s="2" t="s">
        <v>448</v>
      </c>
      <c r="J344" s="2">
        <v>0</v>
      </c>
      <c r="K344" s="2" t="s">
        <v>29</v>
      </c>
      <c r="L344" s="2" t="s">
        <v>121</v>
      </c>
    </row>
    <row r="345" spans="1:12" x14ac:dyDescent="0.2">
      <c r="A345" s="2">
        <v>101114</v>
      </c>
      <c r="B345" s="17">
        <v>45496</v>
      </c>
      <c r="C345" s="2" t="s">
        <v>449</v>
      </c>
      <c r="D345" s="2" t="s">
        <v>58</v>
      </c>
      <c r="E345" s="2" t="s">
        <v>38</v>
      </c>
      <c r="F345" s="2" t="s">
        <v>39</v>
      </c>
      <c r="G345" s="2" t="s">
        <v>242</v>
      </c>
      <c r="H345" s="2">
        <v>4</v>
      </c>
      <c r="I345" s="2">
        <v>479.7</v>
      </c>
      <c r="J345" s="2">
        <v>0</v>
      </c>
      <c r="K345" s="2" t="s">
        <v>17</v>
      </c>
      <c r="L345" s="2" t="s">
        <v>87</v>
      </c>
    </row>
    <row r="346" spans="1:12" x14ac:dyDescent="0.2">
      <c r="A346" s="2">
        <v>100375</v>
      </c>
      <c r="B346" s="18">
        <v>45551</v>
      </c>
      <c r="C346" s="2" t="s">
        <v>450</v>
      </c>
      <c r="D346" s="2" t="s">
        <v>181</v>
      </c>
      <c r="E346" s="2" t="s">
        <v>14</v>
      </c>
      <c r="F346" s="2" t="s">
        <v>120</v>
      </c>
      <c r="G346" s="2" t="s">
        <v>145</v>
      </c>
      <c r="H346" s="2">
        <v>6</v>
      </c>
      <c r="I346" s="2">
        <v>2804.04</v>
      </c>
      <c r="J346" s="2"/>
      <c r="K346" s="2" t="s">
        <v>17</v>
      </c>
      <c r="L346" s="2" t="s">
        <v>42</v>
      </c>
    </row>
    <row r="347" spans="1:12" x14ac:dyDescent="0.2">
      <c r="A347" s="2">
        <v>101575</v>
      </c>
      <c r="B347" s="18">
        <v>45484</v>
      </c>
      <c r="C347" s="2" t="s">
        <v>246</v>
      </c>
      <c r="D347" s="2" t="s">
        <v>89</v>
      </c>
      <c r="E347" s="2" t="s">
        <v>32</v>
      </c>
      <c r="F347" s="2" t="s">
        <v>191</v>
      </c>
      <c r="G347" s="2" t="s">
        <v>59</v>
      </c>
      <c r="H347" s="2">
        <v>3</v>
      </c>
      <c r="I347" s="2"/>
      <c r="J347" s="2">
        <v>0.1</v>
      </c>
      <c r="K347" s="2" t="s">
        <v>24</v>
      </c>
      <c r="L347" s="2" t="s">
        <v>121</v>
      </c>
    </row>
    <row r="348" spans="1:12" x14ac:dyDescent="0.2">
      <c r="A348" s="2">
        <v>100620</v>
      </c>
      <c r="B348" s="18">
        <v>45475</v>
      </c>
      <c r="C348" s="2" t="s">
        <v>164</v>
      </c>
      <c r="D348" s="2" t="s">
        <v>85</v>
      </c>
      <c r="E348" s="2" t="s">
        <v>14</v>
      </c>
      <c r="F348" s="2" t="s">
        <v>28</v>
      </c>
      <c r="G348" s="2" t="s">
        <v>16</v>
      </c>
      <c r="H348" s="2">
        <v>11</v>
      </c>
      <c r="I348" s="2">
        <v>23764.16</v>
      </c>
      <c r="J348" s="2">
        <v>0</v>
      </c>
      <c r="K348" s="2" t="s">
        <v>29</v>
      </c>
      <c r="L348" s="2" t="s">
        <v>121</v>
      </c>
    </row>
    <row r="349" spans="1:12" x14ac:dyDescent="0.2">
      <c r="A349" s="2">
        <v>101816</v>
      </c>
      <c r="B349" s="18">
        <v>45546</v>
      </c>
      <c r="C349" s="2" t="s">
        <v>451</v>
      </c>
      <c r="D349" s="2" t="s">
        <v>37</v>
      </c>
      <c r="E349" s="2" t="s">
        <v>69</v>
      </c>
      <c r="F349" s="2" t="s">
        <v>64</v>
      </c>
      <c r="G349" s="2" t="s">
        <v>40</v>
      </c>
      <c r="H349" s="2">
        <v>1</v>
      </c>
      <c r="I349" s="2">
        <v>510.22</v>
      </c>
      <c r="J349" s="2">
        <v>0.1</v>
      </c>
      <c r="K349" s="2" t="s">
        <v>41</v>
      </c>
      <c r="L349" s="2" t="s">
        <v>35</v>
      </c>
    </row>
    <row r="350" spans="1:12" x14ac:dyDescent="0.2">
      <c r="A350" s="2">
        <v>101307</v>
      </c>
      <c r="B350" s="18">
        <v>45629</v>
      </c>
      <c r="C350" s="2" t="s">
        <v>452</v>
      </c>
      <c r="D350" s="2" t="s">
        <v>140</v>
      </c>
      <c r="E350" s="2" t="s">
        <v>79</v>
      </c>
      <c r="F350" s="2" t="s">
        <v>45</v>
      </c>
      <c r="G350" s="2" t="s">
        <v>153</v>
      </c>
      <c r="H350" s="2">
        <v>5</v>
      </c>
      <c r="I350" s="2">
        <v>29490.03</v>
      </c>
      <c r="J350" s="2">
        <v>0</v>
      </c>
      <c r="K350" s="2" t="s">
        <v>83</v>
      </c>
      <c r="L350" s="2" t="s">
        <v>35</v>
      </c>
    </row>
    <row r="351" spans="1:12" x14ac:dyDescent="0.2">
      <c r="A351" s="2">
        <v>101644</v>
      </c>
      <c r="B351" s="18">
        <v>45408</v>
      </c>
      <c r="C351" s="2" t="s">
        <v>453</v>
      </c>
      <c r="D351" s="2" t="s">
        <v>109</v>
      </c>
      <c r="E351" s="2" t="s">
        <v>21</v>
      </c>
      <c r="F351" s="2" t="s">
        <v>86</v>
      </c>
      <c r="G351" s="2" t="s">
        <v>153</v>
      </c>
      <c r="H351" s="2">
        <v>10</v>
      </c>
      <c r="I351" s="2">
        <v>37484.879999999997</v>
      </c>
      <c r="J351" s="2">
        <v>15</v>
      </c>
      <c r="K351" s="2" t="s">
        <v>41</v>
      </c>
      <c r="L351" s="2" t="s">
        <v>35</v>
      </c>
    </row>
    <row r="352" spans="1:12" x14ac:dyDescent="0.2">
      <c r="A352" s="2">
        <v>101882</v>
      </c>
      <c r="B352" s="17">
        <v>45406</v>
      </c>
      <c r="C352" s="2" t="s">
        <v>454</v>
      </c>
      <c r="D352" s="2" t="s">
        <v>73</v>
      </c>
      <c r="E352" s="2" t="s">
        <v>49</v>
      </c>
      <c r="F352" s="2" t="s">
        <v>223</v>
      </c>
      <c r="G352" s="2" t="s">
        <v>56</v>
      </c>
      <c r="H352" s="2">
        <v>3</v>
      </c>
      <c r="I352" s="2">
        <v>5892.73</v>
      </c>
      <c r="J352" s="2">
        <v>0</v>
      </c>
      <c r="K352" s="2" t="s">
        <v>24</v>
      </c>
      <c r="L352" s="2" t="s">
        <v>42</v>
      </c>
    </row>
    <row r="353" spans="1:12" x14ac:dyDescent="0.2">
      <c r="A353" s="2">
        <v>100055</v>
      </c>
      <c r="B353" s="18">
        <v>45503</v>
      </c>
      <c r="C353" s="2" t="s">
        <v>455</v>
      </c>
      <c r="D353" s="2" t="s">
        <v>44</v>
      </c>
      <c r="E353" s="2" t="s">
        <v>54</v>
      </c>
      <c r="F353" s="2" t="s">
        <v>102</v>
      </c>
      <c r="G353" s="2" t="s">
        <v>103</v>
      </c>
      <c r="H353" s="2">
        <v>11</v>
      </c>
      <c r="I353" s="2">
        <v>896.71</v>
      </c>
      <c r="J353" s="2">
        <v>0.05</v>
      </c>
      <c r="K353" s="2" t="s">
        <v>83</v>
      </c>
      <c r="L353" s="2" t="s">
        <v>25</v>
      </c>
    </row>
    <row r="354" spans="1:12" x14ac:dyDescent="0.2">
      <c r="A354" s="2">
        <v>100264</v>
      </c>
      <c r="B354" s="18">
        <v>45647</v>
      </c>
      <c r="C354" s="2" t="s">
        <v>397</v>
      </c>
      <c r="D354" s="2" t="s">
        <v>129</v>
      </c>
      <c r="E354" s="2" t="s">
        <v>79</v>
      </c>
      <c r="F354" s="2" t="s">
        <v>223</v>
      </c>
      <c r="G354" s="2" t="s">
        <v>51</v>
      </c>
      <c r="H354" s="2">
        <v>4</v>
      </c>
      <c r="I354" s="2">
        <v>6016.82</v>
      </c>
      <c r="J354" s="2">
        <v>20</v>
      </c>
      <c r="K354" s="2" t="s">
        <v>29</v>
      </c>
      <c r="L354" s="2" t="s">
        <v>42</v>
      </c>
    </row>
    <row r="355" spans="1:12" x14ac:dyDescent="0.2">
      <c r="A355" s="2">
        <v>100102</v>
      </c>
      <c r="B355" s="2" t="s">
        <v>456</v>
      </c>
      <c r="C355" s="2" t="s">
        <v>146</v>
      </c>
      <c r="D355" s="2" t="s">
        <v>27</v>
      </c>
      <c r="E355" s="2" t="s">
        <v>133</v>
      </c>
      <c r="F355" s="2" t="s">
        <v>64</v>
      </c>
      <c r="G355" s="2" t="s">
        <v>292</v>
      </c>
      <c r="H355" s="2">
        <v>9</v>
      </c>
      <c r="I355" s="2">
        <v>234.68</v>
      </c>
      <c r="J355" s="2">
        <v>0.15</v>
      </c>
      <c r="K355" s="2" t="s">
        <v>24</v>
      </c>
      <c r="L355" s="2" t="s">
        <v>52</v>
      </c>
    </row>
    <row r="356" spans="1:12" x14ac:dyDescent="0.2">
      <c r="A356" s="2">
        <v>100276</v>
      </c>
      <c r="B356" s="17">
        <v>45654</v>
      </c>
      <c r="C356" s="2" t="s">
        <v>457</v>
      </c>
      <c r="D356" s="2" t="s">
        <v>44</v>
      </c>
      <c r="E356" s="2" t="s">
        <v>32</v>
      </c>
      <c r="F356" s="2" t="s">
        <v>80</v>
      </c>
      <c r="G356" s="2" t="s">
        <v>81</v>
      </c>
      <c r="H356" s="2">
        <v>2</v>
      </c>
      <c r="I356" s="2" t="s">
        <v>458</v>
      </c>
      <c r="J356" s="2">
        <v>0.05</v>
      </c>
      <c r="K356" s="2" t="s">
        <v>29</v>
      </c>
      <c r="L356" s="2" t="s">
        <v>121</v>
      </c>
    </row>
    <row r="357" spans="1:12" x14ac:dyDescent="0.2">
      <c r="A357" s="2">
        <v>100287</v>
      </c>
      <c r="B357" s="18">
        <v>45540</v>
      </c>
      <c r="C357" s="2" t="s">
        <v>164</v>
      </c>
      <c r="D357" s="2" t="s">
        <v>175</v>
      </c>
      <c r="E357" s="2" t="s">
        <v>69</v>
      </c>
      <c r="F357" s="2" t="s">
        <v>74</v>
      </c>
      <c r="G357" s="2" t="s">
        <v>145</v>
      </c>
      <c r="H357" s="2">
        <v>12</v>
      </c>
      <c r="I357" s="2"/>
      <c r="J357" s="2">
        <v>0</v>
      </c>
      <c r="K357" s="2" t="s">
        <v>66</v>
      </c>
      <c r="L357" s="2" t="s">
        <v>18</v>
      </c>
    </row>
    <row r="358" spans="1:12" x14ac:dyDescent="0.2">
      <c r="A358" s="2">
        <v>101765</v>
      </c>
      <c r="B358" s="18">
        <v>45469</v>
      </c>
      <c r="C358" s="2" t="s">
        <v>459</v>
      </c>
      <c r="D358" s="2" t="s">
        <v>181</v>
      </c>
      <c r="E358" s="2" t="s">
        <v>119</v>
      </c>
      <c r="F358" s="2" t="s">
        <v>70</v>
      </c>
      <c r="G358" s="2" t="s">
        <v>46</v>
      </c>
      <c r="H358" s="2">
        <v>5</v>
      </c>
      <c r="I358" s="2">
        <v>4042.8</v>
      </c>
      <c r="J358" s="2">
        <v>0</v>
      </c>
      <c r="K358" s="2" t="s">
        <v>41</v>
      </c>
      <c r="L358" s="2" t="s">
        <v>87</v>
      </c>
    </row>
    <row r="359" spans="1:12" x14ac:dyDescent="0.2">
      <c r="A359" s="2">
        <v>100250</v>
      </c>
      <c r="B359" s="17">
        <v>45656</v>
      </c>
      <c r="C359" s="2" t="s">
        <v>229</v>
      </c>
      <c r="D359" s="2" t="s">
        <v>13</v>
      </c>
      <c r="E359" s="2" t="s">
        <v>14</v>
      </c>
      <c r="F359" s="2" t="s">
        <v>155</v>
      </c>
      <c r="G359" s="2" t="s">
        <v>137</v>
      </c>
      <c r="H359" s="2">
        <v>11</v>
      </c>
      <c r="I359" s="2">
        <v>3573.04</v>
      </c>
      <c r="J359" s="2">
        <v>0</v>
      </c>
      <c r="K359" s="2" t="s">
        <v>24</v>
      </c>
      <c r="L359" s="2" t="s">
        <v>52</v>
      </c>
    </row>
    <row r="360" spans="1:12" x14ac:dyDescent="0.2">
      <c r="A360" s="2">
        <v>101472</v>
      </c>
      <c r="B360" s="17">
        <v>45398</v>
      </c>
      <c r="C360" s="2" t="s">
        <v>460</v>
      </c>
      <c r="D360" s="2" t="s">
        <v>58</v>
      </c>
      <c r="E360" s="2" t="s">
        <v>69</v>
      </c>
      <c r="F360" s="2" t="s">
        <v>22</v>
      </c>
      <c r="G360" s="2" t="s">
        <v>75</v>
      </c>
      <c r="H360" s="2">
        <v>12</v>
      </c>
      <c r="I360" s="2">
        <v>1806.72</v>
      </c>
      <c r="J360" s="2">
        <v>5</v>
      </c>
      <c r="K360" s="2" t="s">
        <v>29</v>
      </c>
      <c r="L360" s="2" t="s">
        <v>87</v>
      </c>
    </row>
    <row r="361" spans="1:12" x14ac:dyDescent="0.2">
      <c r="A361" s="2">
        <v>101427</v>
      </c>
      <c r="B361" s="18">
        <v>45372</v>
      </c>
      <c r="C361" s="2" t="s">
        <v>362</v>
      </c>
      <c r="D361" s="2" t="s">
        <v>181</v>
      </c>
      <c r="E361" s="2" t="s">
        <v>119</v>
      </c>
      <c r="F361" s="2" t="s">
        <v>70</v>
      </c>
      <c r="G361" s="2" t="s">
        <v>46</v>
      </c>
      <c r="H361" s="2">
        <v>4</v>
      </c>
      <c r="I361" s="2">
        <v>33173.040000000001</v>
      </c>
      <c r="J361" s="2">
        <v>0</v>
      </c>
      <c r="K361" s="2" t="s">
        <v>41</v>
      </c>
      <c r="L361" s="2" t="s">
        <v>143</v>
      </c>
    </row>
    <row r="362" spans="1:12" x14ac:dyDescent="0.2">
      <c r="A362" s="2">
        <v>101761</v>
      </c>
      <c r="B362" s="2" t="s">
        <v>461</v>
      </c>
      <c r="C362" s="2" t="s">
        <v>462</v>
      </c>
      <c r="D362" s="2" t="s">
        <v>27</v>
      </c>
      <c r="E362" s="2" t="s">
        <v>133</v>
      </c>
      <c r="F362" s="2" t="s">
        <v>96</v>
      </c>
      <c r="G362" s="2" t="s">
        <v>111</v>
      </c>
      <c r="H362" s="2">
        <v>3</v>
      </c>
      <c r="I362" s="2">
        <v>14466.16</v>
      </c>
      <c r="J362" s="2">
        <v>0.2</v>
      </c>
      <c r="K362" s="2" t="s">
        <v>66</v>
      </c>
      <c r="L362" s="2" t="s">
        <v>42</v>
      </c>
    </row>
    <row r="363" spans="1:12" x14ac:dyDescent="0.2">
      <c r="A363" s="2">
        <v>100579</v>
      </c>
      <c r="B363" s="2" t="s">
        <v>182</v>
      </c>
      <c r="C363" s="2" t="s">
        <v>463</v>
      </c>
      <c r="D363" s="2" t="s">
        <v>73</v>
      </c>
      <c r="E363" s="2" t="s">
        <v>49</v>
      </c>
      <c r="F363" s="2" t="s">
        <v>28</v>
      </c>
      <c r="G363" s="2" t="s">
        <v>152</v>
      </c>
      <c r="H363" s="2">
        <v>9</v>
      </c>
      <c r="I363" s="2">
        <v>7966.69</v>
      </c>
      <c r="J363" s="2">
        <v>0</v>
      </c>
      <c r="K363" s="2" t="s">
        <v>24</v>
      </c>
      <c r="L363" s="2" t="s">
        <v>121</v>
      </c>
    </row>
    <row r="364" spans="1:12" x14ac:dyDescent="0.2">
      <c r="A364" s="2">
        <v>100345</v>
      </c>
      <c r="B364" s="17">
        <v>45301</v>
      </c>
      <c r="C364" s="2" t="s">
        <v>43</v>
      </c>
      <c r="D364" s="2" t="s">
        <v>140</v>
      </c>
      <c r="E364" s="2" t="s">
        <v>49</v>
      </c>
      <c r="F364" s="2" t="s">
        <v>113</v>
      </c>
      <c r="G364" s="2" t="s">
        <v>292</v>
      </c>
      <c r="H364" s="2">
        <v>8</v>
      </c>
      <c r="I364" s="2">
        <v>556.46</v>
      </c>
      <c r="J364" s="2"/>
      <c r="K364" s="2" t="s">
        <v>29</v>
      </c>
      <c r="L364" s="2" t="s">
        <v>25</v>
      </c>
    </row>
    <row r="365" spans="1:12" x14ac:dyDescent="0.2">
      <c r="A365" s="2">
        <v>100654</v>
      </c>
      <c r="B365" s="18">
        <v>45354</v>
      </c>
      <c r="C365" s="2" t="s">
        <v>464</v>
      </c>
      <c r="D365" s="2" t="s">
        <v>85</v>
      </c>
      <c r="E365" s="2" t="s">
        <v>119</v>
      </c>
      <c r="F365" s="2" t="s">
        <v>28</v>
      </c>
      <c r="G365" s="2" t="s">
        <v>116</v>
      </c>
      <c r="H365" s="2">
        <v>5</v>
      </c>
      <c r="I365" s="2"/>
      <c r="J365" s="2">
        <v>0.1</v>
      </c>
      <c r="K365" s="2" t="s">
        <v>29</v>
      </c>
      <c r="L365" s="2" t="s">
        <v>121</v>
      </c>
    </row>
    <row r="366" spans="1:12" x14ac:dyDescent="0.2">
      <c r="A366" s="2">
        <v>101524</v>
      </c>
      <c r="B366" s="17">
        <v>45307</v>
      </c>
      <c r="C366" s="2" t="s">
        <v>465</v>
      </c>
      <c r="D366" s="2" t="s">
        <v>48</v>
      </c>
      <c r="E366" s="2" t="s">
        <v>79</v>
      </c>
      <c r="F366" s="2" t="s">
        <v>80</v>
      </c>
      <c r="G366" s="2" t="s">
        <v>34</v>
      </c>
      <c r="H366" s="2">
        <v>4</v>
      </c>
      <c r="I366" s="2">
        <v>176.29</v>
      </c>
      <c r="J366" s="2">
        <v>10</v>
      </c>
      <c r="K366" s="2" t="s">
        <v>83</v>
      </c>
      <c r="L366" s="2" t="s">
        <v>143</v>
      </c>
    </row>
    <row r="367" spans="1:12" x14ac:dyDescent="0.2">
      <c r="A367" s="2">
        <v>100443</v>
      </c>
      <c r="B367" s="17">
        <v>45644</v>
      </c>
      <c r="C367" s="2" t="s">
        <v>72</v>
      </c>
      <c r="D367" s="2" t="s">
        <v>129</v>
      </c>
      <c r="E367" s="2" t="s">
        <v>79</v>
      </c>
      <c r="F367" s="2" t="s">
        <v>80</v>
      </c>
      <c r="G367" s="2" t="s">
        <v>158</v>
      </c>
      <c r="H367" s="2">
        <v>11</v>
      </c>
      <c r="I367" s="2" t="s">
        <v>466</v>
      </c>
      <c r="J367" s="2">
        <v>0</v>
      </c>
      <c r="K367" s="2" t="s">
        <v>66</v>
      </c>
      <c r="L367" s="2" t="s">
        <v>42</v>
      </c>
    </row>
    <row r="368" spans="1:12" x14ac:dyDescent="0.2">
      <c r="A368" s="2">
        <v>101784</v>
      </c>
      <c r="B368" s="17">
        <v>45512</v>
      </c>
      <c r="C368" s="2" t="s">
        <v>240</v>
      </c>
      <c r="D368" s="2" t="s">
        <v>73</v>
      </c>
      <c r="E368" s="2" t="s">
        <v>49</v>
      </c>
      <c r="F368" s="2" t="s">
        <v>155</v>
      </c>
      <c r="G368" s="2" t="s">
        <v>137</v>
      </c>
      <c r="H368" s="2">
        <v>4</v>
      </c>
      <c r="I368" s="2">
        <v>3414.79</v>
      </c>
      <c r="J368" s="2">
        <v>0.2</v>
      </c>
      <c r="K368" s="2" t="s">
        <v>66</v>
      </c>
      <c r="L368" s="2" t="s">
        <v>18</v>
      </c>
    </row>
    <row r="369" spans="1:12" x14ac:dyDescent="0.2">
      <c r="A369" s="2">
        <v>100061</v>
      </c>
      <c r="B369" s="2" t="s">
        <v>467</v>
      </c>
      <c r="C369" s="2" t="s">
        <v>468</v>
      </c>
      <c r="D369" s="2" t="s">
        <v>160</v>
      </c>
      <c r="E369" s="2" t="s">
        <v>79</v>
      </c>
      <c r="F369" s="2" t="s">
        <v>64</v>
      </c>
      <c r="G369" s="2" t="s">
        <v>40</v>
      </c>
      <c r="H369" s="2">
        <v>10</v>
      </c>
      <c r="I369" s="2">
        <v>832.99</v>
      </c>
      <c r="J369" s="2"/>
      <c r="K369" s="2" t="s">
        <v>83</v>
      </c>
      <c r="L369" s="2" t="s">
        <v>87</v>
      </c>
    </row>
    <row r="370" spans="1:12" x14ac:dyDescent="0.2">
      <c r="A370" s="2">
        <v>101233</v>
      </c>
      <c r="B370" s="18">
        <v>45316</v>
      </c>
      <c r="C370" s="2" t="s">
        <v>442</v>
      </c>
      <c r="D370" s="2" t="s">
        <v>181</v>
      </c>
      <c r="E370" s="2" t="s">
        <v>119</v>
      </c>
      <c r="F370" s="2" t="s">
        <v>28</v>
      </c>
      <c r="G370" s="2" t="s">
        <v>59</v>
      </c>
      <c r="H370" s="2">
        <v>6</v>
      </c>
      <c r="I370" s="2">
        <v>16672.88</v>
      </c>
      <c r="J370" s="2">
        <v>20</v>
      </c>
      <c r="K370" s="2" t="s">
        <v>83</v>
      </c>
      <c r="L370" s="2" t="s">
        <v>25</v>
      </c>
    </row>
    <row r="371" spans="1:12" x14ac:dyDescent="0.2">
      <c r="A371" s="2">
        <v>101434</v>
      </c>
      <c r="B371" s="17">
        <v>45293</v>
      </c>
      <c r="C371" s="2" t="s">
        <v>180</v>
      </c>
      <c r="D371" s="2" t="s">
        <v>175</v>
      </c>
      <c r="E371" s="2" t="s">
        <v>69</v>
      </c>
      <c r="F371" s="2" t="s">
        <v>191</v>
      </c>
      <c r="G371" s="2" t="s">
        <v>59</v>
      </c>
      <c r="H371" s="2">
        <v>10</v>
      </c>
      <c r="I371" s="2"/>
      <c r="J371" s="2">
        <v>0.1</v>
      </c>
      <c r="K371" s="2" t="s">
        <v>29</v>
      </c>
      <c r="L371" s="2" t="s">
        <v>25</v>
      </c>
    </row>
    <row r="372" spans="1:12" x14ac:dyDescent="0.2">
      <c r="A372" s="2">
        <v>100528</v>
      </c>
      <c r="B372" s="18">
        <v>45633</v>
      </c>
      <c r="C372" s="2" t="s">
        <v>336</v>
      </c>
      <c r="D372" s="2" t="s">
        <v>129</v>
      </c>
      <c r="E372" s="2" t="s">
        <v>49</v>
      </c>
      <c r="F372" s="2" t="s">
        <v>15</v>
      </c>
      <c r="G372" s="2" t="s">
        <v>59</v>
      </c>
      <c r="H372" s="2">
        <v>5</v>
      </c>
      <c r="I372" s="2">
        <v>8298.52</v>
      </c>
      <c r="J372" s="2">
        <v>0</v>
      </c>
      <c r="K372" s="2" t="s">
        <v>17</v>
      </c>
      <c r="L372" s="2" t="s">
        <v>143</v>
      </c>
    </row>
    <row r="373" spans="1:12" x14ac:dyDescent="0.2">
      <c r="A373" s="2">
        <v>100364</v>
      </c>
      <c r="B373" s="17">
        <v>45322</v>
      </c>
      <c r="C373" s="2" t="s">
        <v>352</v>
      </c>
      <c r="D373" s="2" t="s">
        <v>20</v>
      </c>
      <c r="E373" s="2" t="s">
        <v>21</v>
      </c>
      <c r="F373" s="2" t="s">
        <v>124</v>
      </c>
      <c r="G373" s="2" t="s">
        <v>51</v>
      </c>
      <c r="H373" s="2">
        <v>-2</v>
      </c>
      <c r="I373" s="2">
        <v>11474</v>
      </c>
      <c r="J373" s="2">
        <v>0.1</v>
      </c>
      <c r="K373" s="2" t="s">
        <v>83</v>
      </c>
      <c r="L373" s="2" t="s">
        <v>42</v>
      </c>
    </row>
    <row r="374" spans="1:12" x14ac:dyDescent="0.2">
      <c r="A374" s="2">
        <v>101700</v>
      </c>
      <c r="B374" s="18">
        <v>45458</v>
      </c>
      <c r="C374" s="2"/>
      <c r="D374" s="2" t="s">
        <v>58</v>
      </c>
      <c r="E374" s="2" t="s">
        <v>38</v>
      </c>
      <c r="F374" s="2" t="s">
        <v>22</v>
      </c>
      <c r="G374" s="2" t="s">
        <v>23</v>
      </c>
      <c r="H374" s="2">
        <v>3</v>
      </c>
      <c r="I374" s="2">
        <v>2848.29</v>
      </c>
      <c r="J374" s="2">
        <v>0.2</v>
      </c>
      <c r="K374" s="2" t="s">
        <v>83</v>
      </c>
      <c r="L374" s="2" t="s">
        <v>42</v>
      </c>
    </row>
    <row r="375" spans="1:12" x14ac:dyDescent="0.2">
      <c r="A375" s="2">
        <v>100211</v>
      </c>
      <c r="B375" s="17">
        <v>45346</v>
      </c>
      <c r="C375" s="2" t="s">
        <v>132</v>
      </c>
      <c r="D375" s="2" t="s">
        <v>85</v>
      </c>
      <c r="E375" s="2" t="s">
        <v>119</v>
      </c>
      <c r="F375" s="2" t="s">
        <v>33</v>
      </c>
      <c r="G375" s="2" t="s">
        <v>93</v>
      </c>
      <c r="H375" s="2">
        <v>5</v>
      </c>
      <c r="I375" s="2">
        <v>450.15</v>
      </c>
      <c r="J375" s="2">
        <v>0.05</v>
      </c>
      <c r="K375" s="2" t="s">
        <v>66</v>
      </c>
      <c r="L375" s="2" t="s">
        <v>143</v>
      </c>
    </row>
    <row r="376" spans="1:12" x14ac:dyDescent="0.2">
      <c r="A376" s="2">
        <v>100282</v>
      </c>
      <c r="B376" s="2" t="s">
        <v>469</v>
      </c>
      <c r="C376" s="2" t="s">
        <v>376</v>
      </c>
      <c r="D376" s="2" t="s">
        <v>73</v>
      </c>
      <c r="E376" s="2" t="s">
        <v>49</v>
      </c>
      <c r="F376" s="2" t="s">
        <v>33</v>
      </c>
      <c r="G376" s="2" t="s">
        <v>158</v>
      </c>
      <c r="H376" s="2"/>
      <c r="I376" s="2" t="s">
        <v>470</v>
      </c>
      <c r="J376" s="2">
        <v>0</v>
      </c>
      <c r="K376" s="2" t="s">
        <v>41</v>
      </c>
      <c r="L376" s="2" t="s">
        <v>35</v>
      </c>
    </row>
    <row r="377" spans="1:12" x14ac:dyDescent="0.2">
      <c r="A377" s="2">
        <v>101439</v>
      </c>
      <c r="B377" s="18">
        <v>45643</v>
      </c>
      <c r="C377" s="2" t="s">
        <v>471</v>
      </c>
      <c r="D377" s="2" t="s">
        <v>37</v>
      </c>
      <c r="E377" s="2" t="s">
        <v>69</v>
      </c>
      <c r="F377" s="2" t="s">
        <v>96</v>
      </c>
      <c r="G377" s="2" t="s">
        <v>46</v>
      </c>
      <c r="H377" s="2">
        <v>4</v>
      </c>
      <c r="I377" s="2">
        <v>21448.49</v>
      </c>
      <c r="J377" s="2">
        <v>0.2</v>
      </c>
      <c r="K377" s="2" t="s">
        <v>24</v>
      </c>
      <c r="L377" s="2" t="s">
        <v>143</v>
      </c>
    </row>
    <row r="378" spans="1:12" x14ac:dyDescent="0.2">
      <c r="A378" s="2">
        <v>101241</v>
      </c>
      <c r="B378" s="17">
        <v>45398</v>
      </c>
      <c r="C378" s="2"/>
      <c r="D378" s="2" t="s">
        <v>160</v>
      </c>
      <c r="E378" s="2" t="s">
        <v>49</v>
      </c>
      <c r="F378" s="2" t="s">
        <v>50</v>
      </c>
      <c r="G378" s="2" t="s">
        <v>99</v>
      </c>
      <c r="H378" s="2">
        <v>5</v>
      </c>
      <c r="I378" s="2">
        <v>2832.69</v>
      </c>
      <c r="J378" s="2">
        <v>0.2</v>
      </c>
      <c r="K378" s="2" t="s">
        <v>83</v>
      </c>
      <c r="L378" s="2" t="s">
        <v>25</v>
      </c>
    </row>
    <row r="379" spans="1:12" x14ac:dyDescent="0.2">
      <c r="A379" s="2">
        <v>101079</v>
      </c>
      <c r="B379" s="17">
        <v>45326</v>
      </c>
      <c r="C379" s="2" t="s">
        <v>472</v>
      </c>
      <c r="D379" s="2" t="s">
        <v>129</v>
      </c>
      <c r="E379" s="2" t="s">
        <v>49</v>
      </c>
      <c r="F379" s="2" t="s">
        <v>33</v>
      </c>
      <c r="G379" s="2" t="s">
        <v>81</v>
      </c>
      <c r="H379" s="2">
        <v>8</v>
      </c>
      <c r="I379" s="2">
        <v>445.64</v>
      </c>
      <c r="J379" s="2">
        <v>0</v>
      </c>
      <c r="K379" s="2" t="s">
        <v>17</v>
      </c>
      <c r="L379" s="2" t="s">
        <v>143</v>
      </c>
    </row>
    <row r="380" spans="1:12" x14ac:dyDescent="0.2">
      <c r="A380" s="2">
        <v>101990</v>
      </c>
      <c r="B380" s="18">
        <v>45376</v>
      </c>
      <c r="C380" s="2" t="s">
        <v>473</v>
      </c>
      <c r="D380" s="2" t="s">
        <v>140</v>
      </c>
      <c r="E380" s="2" t="s">
        <v>49</v>
      </c>
      <c r="F380" s="2" t="s">
        <v>113</v>
      </c>
      <c r="G380" s="2" t="s">
        <v>165</v>
      </c>
      <c r="H380" s="2">
        <v>1</v>
      </c>
      <c r="I380" s="2">
        <v>459.87</v>
      </c>
      <c r="J380" s="2">
        <v>10</v>
      </c>
      <c r="K380" s="2" t="s">
        <v>17</v>
      </c>
      <c r="L380" s="2" t="s">
        <v>121</v>
      </c>
    </row>
    <row r="381" spans="1:12" x14ac:dyDescent="0.2">
      <c r="A381" s="2">
        <v>101250</v>
      </c>
      <c r="B381" s="17">
        <v>45569</v>
      </c>
      <c r="C381" s="2" t="s">
        <v>474</v>
      </c>
      <c r="D381" s="2" t="s">
        <v>37</v>
      </c>
      <c r="E381" s="2" t="s">
        <v>69</v>
      </c>
      <c r="F381" s="2" t="s">
        <v>55</v>
      </c>
      <c r="G381" s="2" t="s">
        <v>62</v>
      </c>
      <c r="H381" s="2">
        <v>12</v>
      </c>
      <c r="I381" s="2">
        <v>10868.14</v>
      </c>
      <c r="J381" s="2">
        <v>0.2</v>
      </c>
      <c r="K381" s="2" t="s">
        <v>41</v>
      </c>
      <c r="L381" s="2" t="s">
        <v>42</v>
      </c>
    </row>
    <row r="382" spans="1:12" x14ac:dyDescent="0.2">
      <c r="A382" s="2">
        <v>101003</v>
      </c>
      <c r="B382" s="17">
        <v>45408</v>
      </c>
      <c r="C382" s="2" t="s">
        <v>368</v>
      </c>
      <c r="D382" s="2" t="s">
        <v>175</v>
      </c>
      <c r="E382" s="2" t="s">
        <v>38</v>
      </c>
      <c r="F382" s="2" t="s">
        <v>70</v>
      </c>
      <c r="G382" s="2" t="s">
        <v>46</v>
      </c>
      <c r="H382" s="2">
        <v>9</v>
      </c>
      <c r="I382" s="2">
        <v>25777.86</v>
      </c>
      <c r="J382" s="2"/>
      <c r="K382" s="2" t="s">
        <v>29</v>
      </c>
      <c r="L382" s="2" t="s">
        <v>87</v>
      </c>
    </row>
    <row r="383" spans="1:12" x14ac:dyDescent="0.2">
      <c r="A383" s="2">
        <v>100701</v>
      </c>
      <c r="B383" s="17">
        <v>45591</v>
      </c>
      <c r="C383" s="2" t="s">
        <v>475</v>
      </c>
      <c r="D383" s="2" t="s">
        <v>140</v>
      </c>
      <c r="E383" s="2" t="s">
        <v>79</v>
      </c>
      <c r="F383" s="2" t="s">
        <v>80</v>
      </c>
      <c r="G383" s="2" t="s">
        <v>34</v>
      </c>
      <c r="H383" s="2">
        <v>6</v>
      </c>
      <c r="I383" s="2">
        <v>285.56</v>
      </c>
      <c r="J383" s="2">
        <v>0</v>
      </c>
      <c r="K383" s="2" t="s">
        <v>66</v>
      </c>
      <c r="L383" s="2" t="s">
        <v>143</v>
      </c>
    </row>
    <row r="384" spans="1:12" x14ac:dyDescent="0.2">
      <c r="A384" s="2">
        <v>100718</v>
      </c>
      <c r="B384" s="17">
        <v>45371</v>
      </c>
      <c r="C384" s="2" t="s">
        <v>313</v>
      </c>
      <c r="D384" s="2" t="s">
        <v>20</v>
      </c>
      <c r="E384" s="2" t="s">
        <v>133</v>
      </c>
      <c r="F384" s="2" t="s">
        <v>64</v>
      </c>
      <c r="G384" s="2" t="s">
        <v>40</v>
      </c>
      <c r="H384" s="2">
        <v>5</v>
      </c>
      <c r="I384" s="2">
        <v>223.48</v>
      </c>
      <c r="J384" s="2"/>
      <c r="K384" s="2" t="s">
        <v>83</v>
      </c>
      <c r="L384" s="2" t="s">
        <v>121</v>
      </c>
    </row>
    <row r="385" spans="1:12" x14ac:dyDescent="0.2">
      <c r="A385" s="2">
        <v>100325</v>
      </c>
      <c r="B385" s="17">
        <v>45602</v>
      </c>
      <c r="C385" s="2" t="s">
        <v>476</v>
      </c>
      <c r="D385" s="2" t="s">
        <v>129</v>
      </c>
      <c r="E385" s="2" t="s">
        <v>49</v>
      </c>
      <c r="F385" s="2" t="s">
        <v>39</v>
      </c>
      <c r="G385" s="2" t="s">
        <v>242</v>
      </c>
      <c r="H385" s="2">
        <v>6</v>
      </c>
      <c r="I385" s="2">
        <v>868.82</v>
      </c>
      <c r="J385" s="2">
        <v>10</v>
      </c>
      <c r="K385" s="2" t="s">
        <v>17</v>
      </c>
      <c r="L385" s="2" t="s">
        <v>52</v>
      </c>
    </row>
    <row r="386" spans="1:12" x14ac:dyDescent="0.2">
      <c r="A386" s="2">
        <v>100529</v>
      </c>
      <c r="B386" s="17">
        <v>45653</v>
      </c>
      <c r="C386" s="2" t="s">
        <v>293</v>
      </c>
      <c r="D386" s="2" t="s">
        <v>61</v>
      </c>
      <c r="E386" s="2" t="s">
        <v>119</v>
      </c>
      <c r="F386" s="2" t="s">
        <v>70</v>
      </c>
      <c r="G386" s="2" t="s">
        <v>149</v>
      </c>
      <c r="H386" s="2">
        <v>7</v>
      </c>
      <c r="I386" s="2">
        <v>17575.009999999998</v>
      </c>
      <c r="J386" s="2">
        <v>25</v>
      </c>
      <c r="K386" s="2" t="s">
        <v>17</v>
      </c>
      <c r="L386" s="2" t="s">
        <v>52</v>
      </c>
    </row>
    <row r="387" spans="1:12" x14ac:dyDescent="0.2">
      <c r="A387" s="2">
        <v>101718</v>
      </c>
      <c r="B387" s="2" t="s">
        <v>477</v>
      </c>
      <c r="C387" s="2" t="s">
        <v>100</v>
      </c>
      <c r="D387" s="2" t="s">
        <v>129</v>
      </c>
      <c r="E387" s="2" t="s">
        <v>79</v>
      </c>
      <c r="F387" s="2" t="s">
        <v>74</v>
      </c>
      <c r="G387" s="2" t="s">
        <v>75</v>
      </c>
      <c r="H387" s="2">
        <v>11</v>
      </c>
      <c r="I387" s="2">
        <v>1343.78</v>
      </c>
      <c r="J387" s="2">
        <v>25</v>
      </c>
      <c r="K387" s="2" t="s">
        <v>66</v>
      </c>
      <c r="L387" s="2" t="s">
        <v>42</v>
      </c>
    </row>
    <row r="388" spans="1:12" x14ac:dyDescent="0.2">
      <c r="A388" s="2">
        <v>100029</v>
      </c>
      <c r="B388" s="17">
        <v>45581</v>
      </c>
      <c r="C388" s="2" t="s">
        <v>478</v>
      </c>
      <c r="D388" s="2" t="s">
        <v>181</v>
      </c>
      <c r="E388" s="2" t="s">
        <v>14</v>
      </c>
      <c r="F388" s="2" t="s">
        <v>33</v>
      </c>
      <c r="G388" s="2" t="s">
        <v>34</v>
      </c>
      <c r="H388" s="2">
        <v>12</v>
      </c>
      <c r="I388" s="2">
        <v>367.5</v>
      </c>
      <c r="J388" s="2">
        <v>0</v>
      </c>
      <c r="K388" s="2" t="s">
        <v>66</v>
      </c>
      <c r="L388" s="2" t="s">
        <v>18</v>
      </c>
    </row>
    <row r="389" spans="1:12" x14ac:dyDescent="0.2">
      <c r="A389" s="2">
        <v>100849</v>
      </c>
      <c r="B389" s="17">
        <v>45296</v>
      </c>
      <c r="C389" s="2" t="s">
        <v>299</v>
      </c>
      <c r="D389" s="2" t="s">
        <v>89</v>
      </c>
      <c r="E389" s="2" t="s">
        <v>32</v>
      </c>
      <c r="F389" s="2" t="s">
        <v>22</v>
      </c>
      <c r="G389" s="2" t="s">
        <v>141</v>
      </c>
      <c r="H389" s="2">
        <v>2</v>
      </c>
      <c r="I389" s="2">
        <v>2888.84</v>
      </c>
      <c r="J389" s="2">
        <v>0</v>
      </c>
      <c r="K389" s="2" t="s">
        <v>83</v>
      </c>
      <c r="L389" s="2" t="s">
        <v>35</v>
      </c>
    </row>
    <row r="390" spans="1:12" x14ac:dyDescent="0.2">
      <c r="A390" s="2">
        <v>101599</v>
      </c>
      <c r="B390" s="18">
        <v>45650</v>
      </c>
      <c r="C390" s="2" t="s">
        <v>479</v>
      </c>
      <c r="D390" s="2" t="s">
        <v>175</v>
      </c>
      <c r="E390" s="2" t="s">
        <v>69</v>
      </c>
      <c r="F390" s="2" t="s">
        <v>64</v>
      </c>
      <c r="G390" s="2" t="s">
        <v>242</v>
      </c>
      <c r="H390" s="2">
        <v>12</v>
      </c>
      <c r="I390" s="2">
        <v>131.51</v>
      </c>
      <c r="J390" s="2">
        <v>0</v>
      </c>
      <c r="K390" s="2" t="s">
        <v>17</v>
      </c>
      <c r="L390" s="2" t="s">
        <v>42</v>
      </c>
    </row>
    <row r="391" spans="1:12" x14ac:dyDescent="0.2">
      <c r="A391" s="2">
        <v>100360</v>
      </c>
      <c r="B391" s="2" t="s">
        <v>477</v>
      </c>
      <c r="C391" s="2" t="s">
        <v>480</v>
      </c>
      <c r="D391" s="2" t="s">
        <v>85</v>
      </c>
      <c r="E391" s="2" t="s">
        <v>119</v>
      </c>
      <c r="F391" s="2" t="s">
        <v>33</v>
      </c>
      <c r="G391" s="2" t="s">
        <v>158</v>
      </c>
      <c r="H391" s="2">
        <v>10</v>
      </c>
      <c r="I391" s="2">
        <v>574.45000000000005</v>
      </c>
      <c r="J391" s="2">
        <v>0</v>
      </c>
      <c r="K391" s="2" t="s">
        <v>29</v>
      </c>
      <c r="L391" s="2" t="s">
        <v>35</v>
      </c>
    </row>
    <row r="392" spans="1:12" x14ac:dyDescent="0.2">
      <c r="A392" s="2">
        <v>101034</v>
      </c>
      <c r="B392" s="18">
        <v>45385</v>
      </c>
      <c r="C392" s="2" t="s">
        <v>221</v>
      </c>
      <c r="D392" s="2" t="s">
        <v>89</v>
      </c>
      <c r="E392" s="2" t="s">
        <v>32</v>
      </c>
      <c r="F392" s="2" t="s">
        <v>33</v>
      </c>
      <c r="G392" s="2" t="s">
        <v>81</v>
      </c>
      <c r="H392" s="2">
        <v>6</v>
      </c>
      <c r="I392" s="2">
        <v>203.93</v>
      </c>
      <c r="J392" s="2">
        <v>20</v>
      </c>
      <c r="K392" s="2" t="s">
        <v>29</v>
      </c>
      <c r="L392" s="2" t="s">
        <v>25</v>
      </c>
    </row>
    <row r="393" spans="1:12" x14ac:dyDescent="0.2">
      <c r="A393" s="2">
        <v>101809</v>
      </c>
      <c r="B393" s="17">
        <v>45346</v>
      </c>
      <c r="C393" s="2" t="s">
        <v>341</v>
      </c>
      <c r="D393" s="2" t="s">
        <v>37</v>
      </c>
      <c r="E393" s="2" t="s">
        <v>69</v>
      </c>
      <c r="F393" s="2" t="s">
        <v>96</v>
      </c>
      <c r="G393" s="2" t="s">
        <v>46</v>
      </c>
      <c r="H393" s="2">
        <v>1</v>
      </c>
      <c r="I393" s="2">
        <v>21798.16</v>
      </c>
      <c r="J393" s="2">
        <v>0.25</v>
      </c>
      <c r="K393" s="2" t="s">
        <v>29</v>
      </c>
      <c r="L393" s="2" t="s">
        <v>143</v>
      </c>
    </row>
    <row r="394" spans="1:12" x14ac:dyDescent="0.2">
      <c r="A394" s="2">
        <v>100225</v>
      </c>
      <c r="B394" s="18">
        <v>45313</v>
      </c>
      <c r="C394" s="2" t="s">
        <v>481</v>
      </c>
      <c r="D394" s="2" t="s">
        <v>92</v>
      </c>
      <c r="E394" s="2" t="s">
        <v>32</v>
      </c>
      <c r="F394" s="2" t="s">
        <v>191</v>
      </c>
      <c r="G394" s="2" t="s">
        <v>152</v>
      </c>
      <c r="H394" s="2">
        <v>11</v>
      </c>
      <c r="I394" s="2">
        <v>13986.2</v>
      </c>
      <c r="J394" s="2">
        <v>0</v>
      </c>
      <c r="K394" s="2" t="s">
        <v>17</v>
      </c>
      <c r="L394" s="2" t="s">
        <v>18</v>
      </c>
    </row>
    <row r="395" spans="1:12" x14ac:dyDescent="0.2">
      <c r="A395" s="2">
        <v>101243</v>
      </c>
      <c r="B395" s="18">
        <v>45333</v>
      </c>
      <c r="C395" s="2" t="s">
        <v>482</v>
      </c>
      <c r="D395" s="2" t="s">
        <v>109</v>
      </c>
      <c r="E395" s="2" t="s">
        <v>21</v>
      </c>
      <c r="F395" s="2" t="s">
        <v>113</v>
      </c>
      <c r="G395" s="2" t="s">
        <v>292</v>
      </c>
      <c r="H395" s="2">
        <v>5</v>
      </c>
      <c r="I395" s="2" t="s">
        <v>483</v>
      </c>
      <c r="J395" s="2">
        <v>0</v>
      </c>
      <c r="K395" s="2" t="s">
        <v>24</v>
      </c>
      <c r="L395" s="2" t="s">
        <v>87</v>
      </c>
    </row>
    <row r="396" spans="1:12" x14ac:dyDescent="0.2">
      <c r="A396" s="2">
        <v>100431</v>
      </c>
      <c r="B396" s="17">
        <v>45370</v>
      </c>
      <c r="C396" s="2"/>
      <c r="D396" s="2" t="s">
        <v>48</v>
      </c>
      <c r="E396" s="2" t="s">
        <v>49</v>
      </c>
      <c r="F396" s="2" t="s">
        <v>74</v>
      </c>
      <c r="G396" s="2" t="s">
        <v>141</v>
      </c>
      <c r="H396" s="2">
        <v>7</v>
      </c>
      <c r="I396" s="2">
        <v>732.21</v>
      </c>
      <c r="J396" s="2">
        <v>25</v>
      </c>
      <c r="K396" s="2" t="s">
        <v>83</v>
      </c>
      <c r="L396" s="2" t="s">
        <v>42</v>
      </c>
    </row>
    <row r="397" spans="1:12" x14ac:dyDescent="0.2">
      <c r="A397" s="2">
        <v>101196</v>
      </c>
      <c r="B397" s="17">
        <v>45628</v>
      </c>
      <c r="C397" s="2" t="s">
        <v>443</v>
      </c>
      <c r="D397" s="2" t="s">
        <v>140</v>
      </c>
      <c r="E397" s="2" t="s">
        <v>49</v>
      </c>
      <c r="F397" s="2" t="s">
        <v>191</v>
      </c>
      <c r="G397" s="2" t="s">
        <v>205</v>
      </c>
      <c r="H397" s="2">
        <v>7</v>
      </c>
      <c r="I397" s="2">
        <v>17945.759999999998</v>
      </c>
      <c r="J397" s="2"/>
      <c r="K397" s="2" t="s">
        <v>83</v>
      </c>
      <c r="L397" s="2" t="s">
        <v>121</v>
      </c>
    </row>
    <row r="398" spans="1:12" x14ac:dyDescent="0.2">
      <c r="A398" s="2">
        <v>101525</v>
      </c>
      <c r="B398" s="18">
        <v>45364</v>
      </c>
      <c r="C398" s="2" t="s">
        <v>484</v>
      </c>
      <c r="D398" s="2" t="s">
        <v>92</v>
      </c>
      <c r="E398" s="2" t="s">
        <v>54</v>
      </c>
      <c r="F398" s="2" t="s">
        <v>74</v>
      </c>
      <c r="G398" s="2" t="s">
        <v>75</v>
      </c>
      <c r="H398" s="2">
        <v>11</v>
      </c>
      <c r="I398" s="2">
        <v>1739.82</v>
      </c>
      <c r="J398" s="2">
        <v>0</v>
      </c>
      <c r="K398" s="2" t="s">
        <v>29</v>
      </c>
      <c r="L398" s="2" t="s">
        <v>143</v>
      </c>
    </row>
    <row r="399" spans="1:12" x14ac:dyDescent="0.2">
      <c r="A399" s="2">
        <v>101424</v>
      </c>
      <c r="B399" s="2" t="s">
        <v>485</v>
      </c>
      <c r="C399" s="2" t="s">
        <v>159</v>
      </c>
      <c r="D399" s="2" t="s">
        <v>109</v>
      </c>
      <c r="E399" s="2" t="s">
        <v>21</v>
      </c>
      <c r="F399" s="2" t="s">
        <v>80</v>
      </c>
      <c r="G399" s="2" t="s">
        <v>93</v>
      </c>
      <c r="H399" s="2">
        <v>10</v>
      </c>
      <c r="I399" s="2">
        <v>33.770000000000003</v>
      </c>
      <c r="J399" s="2">
        <v>5</v>
      </c>
      <c r="K399" s="2" t="s">
        <v>24</v>
      </c>
      <c r="L399" s="2" t="s">
        <v>143</v>
      </c>
    </row>
    <row r="400" spans="1:12" x14ac:dyDescent="0.2">
      <c r="A400" s="2">
        <v>100859</v>
      </c>
      <c r="B400" s="2" t="s">
        <v>486</v>
      </c>
      <c r="C400" s="2" t="s">
        <v>487</v>
      </c>
      <c r="D400" s="2" t="s">
        <v>31</v>
      </c>
      <c r="E400" s="2" t="s">
        <v>54</v>
      </c>
      <c r="F400" s="2" t="s">
        <v>223</v>
      </c>
      <c r="G400" s="2" t="s">
        <v>51</v>
      </c>
      <c r="H400" s="2">
        <v>10</v>
      </c>
      <c r="I400" s="2">
        <v>5733.18</v>
      </c>
      <c r="J400" s="2">
        <v>0.1</v>
      </c>
      <c r="K400" s="2" t="s">
        <v>17</v>
      </c>
      <c r="L400" s="2" t="s">
        <v>25</v>
      </c>
    </row>
    <row r="401" spans="1:12" x14ac:dyDescent="0.2">
      <c r="A401" s="2">
        <v>100929</v>
      </c>
      <c r="B401" s="17">
        <v>45620</v>
      </c>
      <c r="C401" s="2" t="s">
        <v>488</v>
      </c>
      <c r="D401" s="2" t="s">
        <v>73</v>
      </c>
      <c r="E401" s="2" t="s">
        <v>79</v>
      </c>
      <c r="F401" s="2" t="s">
        <v>33</v>
      </c>
      <c r="G401" s="2" t="s">
        <v>158</v>
      </c>
      <c r="H401" s="2">
        <v>5</v>
      </c>
      <c r="I401" s="2"/>
      <c r="J401" s="2">
        <v>0.05</v>
      </c>
      <c r="K401" s="2" t="s">
        <v>41</v>
      </c>
      <c r="L401" s="2" t="s">
        <v>18</v>
      </c>
    </row>
    <row r="402" spans="1:12" x14ac:dyDescent="0.2">
      <c r="A402" s="2">
        <v>101496</v>
      </c>
      <c r="B402" s="2" t="s">
        <v>489</v>
      </c>
      <c r="C402" s="2" t="s">
        <v>490</v>
      </c>
      <c r="D402" s="2" t="s">
        <v>175</v>
      </c>
      <c r="E402" s="2" t="s">
        <v>38</v>
      </c>
      <c r="F402" s="2" t="s">
        <v>96</v>
      </c>
      <c r="G402" s="2" t="s">
        <v>71</v>
      </c>
      <c r="H402" s="2">
        <v>4</v>
      </c>
      <c r="I402" s="2">
        <v>43911.13</v>
      </c>
      <c r="J402" s="2">
        <v>0.2</v>
      </c>
      <c r="K402" s="2" t="s">
        <v>41</v>
      </c>
      <c r="L402" s="2" t="s">
        <v>143</v>
      </c>
    </row>
    <row r="403" spans="1:12" x14ac:dyDescent="0.2">
      <c r="A403" s="2">
        <v>100480</v>
      </c>
      <c r="B403" s="2" t="s">
        <v>491</v>
      </c>
      <c r="C403" s="2"/>
      <c r="D403" s="2" t="s">
        <v>140</v>
      </c>
      <c r="E403" s="2" t="s">
        <v>49</v>
      </c>
      <c r="F403" s="2" t="s">
        <v>28</v>
      </c>
      <c r="G403" s="2" t="s">
        <v>59</v>
      </c>
      <c r="H403" s="2">
        <v>1</v>
      </c>
      <c r="I403" s="2"/>
      <c r="J403" s="2">
        <v>0</v>
      </c>
      <c r="K403" s="2" t="s">
        <v>66</v>
      </c>
      <c r="L403" s="2" t="s">
        <v>143</v>
      </c>
    </row>
    <row r="404" spans="1:12" x14ac:dyDescent="0.2">
      <c r="A404" s="2">
        <v>100902</v>
      </c>
      <c r="B404" s="17">
        <v>45559</v>
      </c>
      <c r="C404" s="2" t="s">
        <v>492</v>
      </c>
      <c r="D404" s="2" t="s">
        <v>27</v>
      </c>
      <c r="E404" s="2" t="s">
        <v>21</v>
      </c>
      <c r="F404" s="2" t="s">
        <v>22</v>
      </c>
      <c r="G404" s="2" t="s">
        <v>232</v>
      </c>
      <c r="H404" s="2">
        <v>10</v>
      </c>
      <c r="I404" s="2">
        <v>2171.88</v>
      </c>
      <c r="J404" s="2">
        <v>0.25</v>
      </c>
      <c r="K404" s="2" t="s">
        <v>24</v>
      </c>
      <c r="L404" s="2" t="s">
        <v>42</v>
      </c>
    </row>
    <row r="405" spans="1:12" x14ac:dyDescent="0.2">
      <c r="A405" s="2">
        <v>100752</v>
      </c>
      <c r="B405" s="18">
        <v>45355</v>
      </c>
      <c r="C405" s="2" t="s">
        <v>245</v>
      </c>
      <c r="D405" s="2" t="s">
        <v>131</v>
      </c>
      <c r="E405" s="2" t="s">
        <v>133</v>
      </c>
      <c r="F405" s="2" t="s">
        <v>155</v>
      </c>
      <c r="G405" s="2" t="s">
        <v>137</v>
      </c>
      <c r="H405" s="2">
        <v>2</v>
      </c>
      <c r="I405" s="2">
        <v>2078.88</v>
      </c>
      <c r="J405" s="2">
        <v>0.25</v>
      </c>
      <c r="K405" s="2" t="s">
        <v>41</v>
      </c>
      <c r="L405" s="2" t="s">
        <v>42</v>
      </c>
    </row>
    <row r="406" spans="1:12" x14ac:dyDescent="0.2">
      <c r="A406" s="2">
        <v>100557</v>
      </c>
      <c r="B406" s="17">
        <v>45629</v>
      </c>
      <c r="C406" s="2" t="s">
        <v>493</v>
      </c>
      <c r="D406" s="2" t="s">
        <v>89</v>
      </c>
      <c r="E406" s="2" t="s">
        <v>54</v>
      </c>
      <c r="F406" s="2" t="s">
        <v>155</v>
      </c>
      <c r="G406" s="2" t="s">
        <v>137</v>
      </c>
      <c r="H406" s="2">
        <v>10</v>
      </c>
      <c r="I406" s="2">
        <v>1156.0999999999999</v>
      </c>
      <c r="J406" s="2">
        <v>0.05</v>
      </c>
      <c r="K406" s="2" t="s">
        <v>41</v>
      </c>
      <c r="L406" s="2" t="s">
        <v>52</v>
      </c>
    </row>
    <row r="407" spans="1:12" x14ac:dyDescent="0.2">
      <c r="A407" s="2">
        <v>100896</v>
      </c>
      <c r="B407" s="17">
        <v>45498</v>
      </c>
      <c r="C407" s="2" t="s">
        <v>287</v>
      </c>
      <c r="D407" s="2" t="s">
        <v>129</v>
      </c>
      <c r="E407" s="2" t="s">
        <v>79</v>
      </c>
      <c r="F407" s="2" t="s">
        <v>102</v>
      </c>
      <c r="G407" s="2" t="s">
        <v>156</v>
      </c>
      <c r="H407" s="2">
        <v>11</v>
      </c>
      <c r="I407" s="2">
        <v>3324.35</v>
      </c>
      <c r="J407" s="2">
        <v>0.1</v>
      </c>
      <c r="K407" s="2" t="s">
        <v>17</v>
      </c>
      <c r="L407" s="2" t="s">
        <v>42</v>
      </c>
    </row>
    <row r="408" spans="1:12" x14ac:dyDescent="0.2">
      <c r="A408" s="2">
        <v>100152</v>
      </c>
      <c r="B408" s="17">
        <v>45544</v>
      </c>
      <c r="C408" s="2" t="s">
        <v>478</v>
      </c>
      <c r="D408" s="2" t="s">
        <v>58</v>
      </c>
      <c r="E408" s="2" t="s">
        <v>38</v>
      </c>
      <c r="F408" s="2" t="s">
        <v>22</v>
      </c>
      <c r="G408" s="2" t="s">
        <v>232</v>
      </c>
      <c r="H408" s="2">
        <v>-2</v>
      </c>
      <c r="I408" s="2">
        <v>2548.85</v>
      </c>
      <c r="J408" s="2">
        <v>0.2</v>
      </c>
      <c r="K408" s="2" t="s">
        <v>66</v>
      </c>
      <c r="L408" s="2" t="s">
        <v>42</v>
      </c>
    </row>
    <row r="409" spans="1:12" x14ac:dyDescent="0.2">
      <c r="A409" s="2">
        <v>100216</v>
      </c>
      <c r="B409" s="17">
        <v>45332</v>
      </c>
      <c r="C409" s="2" t="s">
        <v>192</v>
      </c>
      <c r="D409" s="2" t="s">
        <v>44</v>
      </c>
      <c r="E409" s="2" t="s">
        <v>54</v>
      </c>
      <c r="F409" s="2" t="s">
        <v>74</v>
      </c>
      <c r="G409" s="2" t="s">
        <v>145</v>
      </c>
      <c r="H409" s="2">
        <v>7</v>
      </c>
      <c r="I409" s="2">
        <v>2128.2199999999998</v>
      </c>
      <c r="J409" s="2">
        <v>0.05</v>
      </c>
      <c r="K409" s="2" t="s">
        <v>24</v>
      </c>
      <c r="L409" s="2" t="s">
        <v>35</v>
      </c>
    </row>
    <row r="410" spans="1:12" x14ac:dyDescent="0.2">
      <c r="A410" s="2">
        <v>100099</v>
      </c>
      <c r="B410" s="17">
        <v>45327</v>
      </c>
      <c r="C410" s="2" t="s">
        <v>494</v>
      </c>
      <c r="D410" s="2" t="s">
        <v>37</v>
      </c>
      <c r="E410" s="2" t="s">
        <v>69</v>
      </c>
      <c r="F410" s="2" t="s">
        <v>22</v>
      </c>
      <c r="G410" s="2" t="s">
        <v>232</v>
      </c>
      <c r="H410" s="2">
        <v>6</v>
      </c>
      <c r="I410" s="2" t="s">
        <v>495</v>
      </c>
      <c r="J410" s="2">
        <v>0</v>
      </c>
      <c r="K410" s="2" t="s">
        <v>29</v>
      </c>
      <c r="L410" s="2" t="s">
        <v>25</v>
      </c>
    </row>
    <row r="411" spans="1:12" x14ac:dyDescent="0.2">
      <c r="A411" s="2">
        <v>101489</v>
      </c>
      <c r="B411" s="17">
        <v>45505</v>
      </c>
      <c r="C411" s="2" t="s">
        <v>496</v>
      </c>
      <c r="D411" s="2" t="s">
        <v>13</v>
      </c>
      <c r="E411" s="2" t="s">
        <v>119</v>
      </c>
      <c r="F411" s="2" t="s">
        <v>55</v>
      </c>
      <c r="G411" s="2" t="s">
        <v>207</v>
      </c>
      <c r="H411" s="2">
        <v>2</v>
      </c>
      <c r="I411" s="2">
        <v>8394.01</v>
      </c>
      <c r="J411" s="2">
        <v>0.25</v>
      </c>
      <c r="K411" s="2" t="s">
        <v>24</v>
      </c>
      <c r="L411" s="2" t="s">
        <v>87</v>
      </c>
    </row>
    <row r="412" spans="1:12" x14ac:dyDescent="0.2">
      <c r="A412" s="2">
        <v>100471</v>
      </c>
      <c r="B412" s="18">
        <v>45425</v>
      </c>
      <c r="C412" s="2" t="s">
        <v>36</v>
      </c>
      <c r="D412" s="2" t="s">
        <v>109</v>
      </c>
      <c r="E412" s="2" t="s">
        <v>21</v>
      </c>
      <c r="F412" s="2" t="s">
        <v>113</v>
      </c>
      <c r="G412" s="2" t="s">
        <v>292</v>
      </c>
      <c r="H412" s="2">
        <v>3</v>
      </c>
      <c r="I412" s="2">
        <v>184.68</v>
      </c>
      <c r="J412" s="2">
        <v>0.2</v>
      </c>
      <c r="K412" s="2" t="s">
        <v>24</v>
      </c>
      <c r="L412" s="2" t="s">
        <v>143</v>
      </c>
    </row>
    <row r="413" spans="1:12" x14ac:dyDescent="0.2">
      <c r="A413" s="2">
        <v>101933</v>
      </c>
      <c r="B413" s="18">
        <v>45527</v>
      </c>
      <c r="C413" s="2" t="s">
        <v>497</v>
      </c>
      <c r="D413" s="2" t="s">
        <v>48</v>
      </c>
      <c r="E413" s="2" t="s">
        <v>49</v>
      </c>
      <c r="F413" s="2" t="s">
        <v>120</v>
      </c>
      <c r="G413" s="2" t="s">
        <v>145</v>
      </c>
      <c r="H413" s="2">
        <v>10</v>
      </c>
      <c r="I413" s="2">
        <v>1924.26</v>
      </c>
      <c r="J413" s="2">
        <v>0</v>
      </c>
      <c r="K413" s="2" t="s">
        <v>29</v>
      </c>
      <c r="L413" s="2" t="s">
        <v>87</v>
      </c>
    </row>
    <row r="414" spans="1:12" x14ac:dyDescent="0.2">
      <c r="A414" s="2">
        <v>101432</v>
      </c>
      <c r="B414" s="18">
        <v>45292</v>
      </c>
      <c r="C414" s="2" t="s">
        <v>144</v>
      </c>
      <c r="D414" s="2" t="s">
        <v>109</v>
      </c>
      <c r="E414" s="2" t="s">
        <v>21</v>
      </c>
      <c r="F414" s="2" t="s">
        <v>124</v>
      </c>
      <c r="G414" s="2" t="s">
        <v>51</v>
      </c>
      <c r="H414" s="2">
        <v>12</v>
      </c>
      <c r="I414" s="2">
        <v>9742.7999999999993</v>
      </c>
      <c r="J414" s="2">
        <v>20</v>
      </c>
      <c r="K414" s="2" t="s">
        <v>24</v>
      </c>
      <c r="L414" s="2" t="s">
        <v>143</v>
      </c>
    </row>
    <row r="415" spans="1:12" x14ac:dyDescent="0.2">
      <c r="A415" s="2">
        <v>101495</v>
      </c>
      <c r="B415" s="18">
        <v>45536</v>
      </c>
      <c r="C415" s="2" t="s">
        <v>26</v>
      </c>
      <c r="D415" s="2" t="s">
        <v>44</v>
      </c>
      <c r="E415" s="2" t="s">
        <v>54</v>
      </c>
      <c r="F415" s="2" t="s">
        <v>191</v>
      </c>
      <c r="G415" s="2" t="s">
        <v>116</v>
      </c>
      <c r="H415" s="2">
        <v>10</v>
      </c>
      <c r="I415" s="2">
        <v>11088.85</v>
      </c>
      <c r="J415" s="2">
        <v>0.25</v>
      </c>
      <c r="K415" s="2" t="s">
        <v>17</v>
      </c>
      <c r="L415" s="2" t="s">
        <v>52</v>
      </c>
    </row>
    <row r="416" spans="1:12" x14ac:dyDescent="0.2">
      <c r="A416" s="2">
        <v>100013</v>
      </c>
      <c r="B416" s="17">
        <v>45333</v>
      </c>
      <c r="C416" s="2" t="s">
        <v>307</v>
      </c>
      <c r="D416" s="2" t="s">
        <v>13</v>
      </c>
      <c r="E416" s="2" t="s">
        <v>119</v>
      </c>
      <c r="F416" s="2" t="s">
        <v>106</v>
      </c>
      <c r="G416" s="2" t="s">
        <v>156</v>
      </c>
      <c r="H416" s="2">
        <v>4</v>
      </c>
      <c r="I416" s="2" t="s">
        <v>498</v>
      </c>
      <c r="J416" s="2"/>
      <c r="K416" s="2" t="s">
        <v>83</v>
      </c>
      <c r="L416" s="2" t="s">
        <v>42</v>
      </c>
    </row>
    <row r="417" spans="1:12" x14ac:dyDescent="0.2">
      <c r="A417" s="2">
        <v>101954</v>
      </c>
      <c r="B417" s="17">
        <v>45567</v>
      </c>
      <c r="C417" s="2" t="s">
        <v>499</v>
      </c>
      <c r="D417" s="2" t="s">
        <v>89</v>
      </c>
      <c r="E417" s="2" t="s">
        <v>54</v>
      </c>
      <c r="F417" s="2" t="s">
        <v>113</v>
      </c>
      <c r="G417" s="2" t="s">
        <v>292</v>
      </c>
      <c r="H417" s="2">
        <v>6</v>
      </c>
      <c r="I417" s="2">
        <v>449.52</v>
      </c>
      <c r="J417" s="2"/>
      <c r="K417" s="2" t="s">
        <v>24</v>
      </c>
      <c r="L417" s="2" t="s">
        <v>52</v>
      </c>
    </row>
    <row r="418" spans="1:12" x14ac:dyDescent="0.2">
      <c r="A418" s="2">
        <v>101412</v>
      </c>
      <c r="B418" s="17">
        <v>45311</v>
      </c>
      <c r="C418" s="2" t="s">
        <v>249</v>
      </c>
      <c r="D418" s="2" t="s">
        <v>92</v>
      </c>
      <c r="E418" s="2" t="s">
        <v>54</v>
      </c>
      <c r="F418" s="2" t="s">
        <v>223</v>
      </c>
      <c r="G418" s="2" t="s">
        <v>99</v>
      </c>
      <c r="H418" s="2">
        <v>-3</v>
      </c>
      <c r="I418" s="2">
        <v>9414.2999999999993</v>
      </c>
      <c r="J418" s="2">
        <v>0.15</v>
      </c>
      <c r="K418" s="2" t="s">
        <v>17</v>
      </c>
      <c r="L418" s="2" t="s">
        <v>87</v>
      </c>
    </row>
    <row r="419" spans="1:12" x14ac:dyDescent="0.2">
      <c r="A419" s="2">
        <v>100168</v>
      </c>
      <c r="B419" s="18">
        <v>45541</v>
      </c>
      <c r="C419" s="2" t="s">
        <v>500</v>
      </c>
      <c r="D419" s="2" t="s">
        <v>85</v>
      </c>
      <c r="E419" s="2" t="s">
        <v>14</v>
      </c>
      <c r="F419" s="2" t="s">
        <v>96</v>
      </c>
      <c r="G419" s="2" t="s">
        <v>46</v>
      </c>
      <c r="H419" s="2">
        <v>8</v>
      </c>
      <c r="I419" s="2">
        <v>44667.13</v>
      </c>
      <c r="J419" s="2">
        <v>0</v>
      </c>
      <c r="K419" s="2" t="s">
        <v>24</v>
      </c>
      <c r="L419" s="2" t="s">
        <v>52</v>
      </c>
    </row>
    <row r="420" spans="1:12" x14ac:dyDescent="0.2">
      <c r="A420" s="2">
        <v>101347</v>
      </c>
      <c r="B420" s="18">
        <v>45379</v>
      </c>
      <c r="C420" s="2" t="s">
        <v>501</v>
      </c>
      <c r="D420" s="2" t="s">
        <v>13</v>
      </c>
      <c r="E420" s="2" t="s">
        <v>119</v>
      </c>
      <c r="F420" s="2" t="s">
        <v>191</v>
      </c>
      <c r="G420" s="2" t="s">
        <v>16</v>
      </c>
      <c r="H420" s="2">
        <v>12</v>
      </c>
      <c r="I420" s="2">
        <v>23906.799999999999</v>
      </c>
      <c r="J420" s="2">
        <v>0.2</v>
      </c>
      <c r="K420" s="2" t="s">
        <v>83</v>
      </c>
      <c r="L420" s="2" t="s">
        <v>52</v>
      </c>
    </row>
    <row r="421" spans="1:12" x14ac:dyDescent="0.2">
      <c r="A421" s="2">
        <v>101364</v>
      </c>
      <c r="B421" s="17">
        <v>45440</v>
      </c>
      <c r="C421" s="2" t="s">
        <v>502</v>
      </c>
      <c r="D421" s="2" t="s">
        <v>89</v>
      </c>
      <c r="E421" s="2" t="s">
        <v>32</v>
      </c>
      <c r="F421" s="2" t="s">
        <v>106</v>
      </c>
      <c r="G421" s="2" t="s">
        <v>137</v>
      </c>
      <c r="H421" s="2">
        <v>1</v>
      </c>
      <c r="I421" s="2">
        <v>2416.67</v>
      </c>
      <c r="J421" s="2">
        <v>0</v>
      </c>
      <c r="K421" s="2" t="s">
        <v>83</v>
      </c>
      <c r="L421" s="2" t="s">
        <v>143</v>
      </c>
    </row>
    <row r="422" spans="1:12" x14ac:dyDescent="0.2">
      <c r="A422" s="2">
        <v>100189</v>
      </c>
      <c r="B422" s="2" t="s">
        <v>503</v>
      </c>
      <c r="C422" s="2" t="s">
        <v>333</v>
      </c>
      <c r="D422" s="2" t="s">
        <v>85</v>
      </c>
      <c r="E422" s="2" t="s">
        <v>14</v>
      </c>
      <c r="F422" s="2" t="s">
        <v>64</v>
      </c>
      <c r="G422" s="2" t="s">
        <v>165</v>
      </c>
      <c r="H422" s="2">
        <v>2</v>
      </c>
      <c r="I422" s="2">
        <v>813.54</v>
      </c>
      <c r="J422" s="2">
        <v>0</v>
      </c>
      <c r="K422" s="2" t="s">
        <v>29</v>
      </c>
      <c r="L422" s="2" t="s">
        <v>25</v>
      </c>
    </row>
    <row r="423" spans="1:12" x14ac:dyDescent="0.2">
      <c r="A423" s="2">
        <v>101503</v>
      </c>
      <c r="B423" s="18">
        <v>45596</v>
      </c>
      <c r="C423" s="2" t="s">
        <v>504</v>
      </c>
      <c r="D423" s="2" t="s">
        <v>131</v>
      </c>
      <c r="E423" s="2" t="s">
        <v>133</v>
      </c>
      <c r="F423" s="2" t="s">
        <v>102</v>
      </c>
      <c r="G423" s="2" t="s">
        <v>103</v>
      </c>
      <c r="H423" s="2">
        <v>4</v>
      </c>
      <c r="I423" s="2">
        <v>4154.82</v>
      </c>
      <c r="J423" s="2">
        <v>15</v>
      </c>
      <c r="K423" s="2" t="s">
        <v>83</v>
      </c>
      <c r="L423" s="2" t="s">
        <v>18</v>
      </c>
    </row>
    <row r="424" spans="1:12" x14ac:dyDescent="0.2">
      <c r="A424" s="2">
        <v>101082</v>
      </c>
      <c r="B424" s="17">
        <v>45565</v>
      </c>
      <c r="C424" s="2" t="s">
        <v>505</v>
      </c>
      <c r="D424" s="2" t="s">
        <v>175</v>
      </c>
      <c r="E424" s="2" t="s">
        <v>38</v>
      </c>
      <c r="F424" s="2" t="s">
        <v>55</v>
      </c>
      <c r="G424" s="2" t="s">
        <v>99</v>
      </c>
      <c r="H424" s="2">
        <v>2</v>
      </c>
      <c r="I424" s="2">
        <v>7209.5</v>
      </c>
      <c r="J424" s="2">
        <v>20</v>
      </c>
      <c r="K424" s="2" t="s">
        <v>24</v>
      </c>
      <c r="L424" s="2" t="s">
        <v>52</v>
      </c>
    </row>
    <row r="425" spans="1:12" x14ac:dyDescent="0.2">
      <c r="A425" s="2">
        <v>100044</v>
      </c>
      <c r="B425" s="17">
        <v>45514</v>
      </c>
      <c r="C425" s="2" t="s">
        <v>506</v>
      </c>
      <c r="D425" s="2" t="s">
        <v>129</v>
      </c>
      <c r="E425" s="2" t="s">
        <v>49</v>
      </c>
      <c r="F425" s="2" t="s">
        <v>120</v>
      </c>
      <c r="G425" s="2" t="s">
        <v>75</v>
      </c>
      <c r="H425" s="2">
        <v>2</v>
      </c>
      <c r="I425" s="2" t="s">
        <v>507</v>
      </c>
      <c r="J425" s="2">
        <v>0.1</v>
      </c>
      <c r="K425" s="2" t="s">
        <v>41</v>
      </c>
      <c r="L425" s="2" t="s">
        <v>143</v>
      </c>
    </row>
    <row r="426" spans="1:12" x14ac:dyDescent="0.2">
      <c r="A426" s="2">
        <v>101674</v>
      </c>
      <c r="B426" s="18">
        <v>45521</v>
      </c>
      <c r="C426" s="2" t="s">
        <v>474</v>
      </c>
      <c r="D426" s="2" t="s">
        <v>85</v>
      </c>
      <c r="E426" s="2" t="s">
        <v>14</v>
      </c>
      <c r="F426" s="2" t="s">
        <v>120</v>
      </c>
      <c r="G426" s="2" t="s">
        <v>23</v>
      </c>
      <c r="H426" s="2">
        <v>7</v>
      </c>
      <c r="I426" s="2">
        <v>3368.98</v>
      </c>
      <c r="J426" s="2"/>
      <c r="K426" s="2" t="s">
        <v>83</v>
      </c>
      <c r="L426" s="2" t="s">
        <v>42</v>
      </c>
    </row>
    <row r="427" spans="1:12" x14ac:dyDescent="0.2">
      <c r="A427" s="2">
        <v>100010</v>
      </c>
      <c r="B427" s="17">
        <v>45622</v>
      </c>
      <c r="C427" s="2" t="s">
        <v>508</v>
      </c>
      <c r="D427" s="2" t="s">
        <v>181</v>
      </c>
      <c r="E427" s="2" t="s">
        <v>119</v>
      </c>
      <c r="F427" s="2" t="s">
        <v>55</v>
      </c>
      <c r="G427" s="2" t="s">
        <v>62</v>
      </c>
      <c r="H427" s="2">
        <v>7</v>
      </c>
      <c r="I427" s="2">
        <v>3013.55</v>
      </c>
      <c r="J427" s="2">
        <v>0</v>
      </c>
      <c r="K427" s="2" t="s">
        <v>41</v>
      </c>
      <c r="L427" s="2" t="s">
        <v>42</v>
      </c>
    </row>
    <row r="428" spans="1:12" x14ac:dyDescent="0.2">
      <c r="A428" s="2">
        <v>101362</v>
      </c>
      <c r="B428" s="18">
        <v>45554</v>
      </c>
      <c r="C428" s="2" t="s">
        <v>509</v>
      </c>
      <c r="D428" s="2" t="s">
        <v>48</v>
      </c>
      <c r="E428" s="2" t="s">
        <v>79</v>
      </c>
      <c r="F428" s="2" t="s">
        <v>33</v>
      </c>
      <c r="G428" s="2" t="s">
        <v>34</v>
      </c>
      <c r="H428" s="2">
        <v>7</v>
      </c>
      <c r="I428" s="2">
        <v>55.15</v>
      </c>
      <c r="J428" s="2">
        <v>0.05</v>
      </c>
      <c r="K428" s="2" t="s">
        <v>41</v>
      </c>
      <c r="L428" s="2" t="s">
        <v>52</v>
      </c>
    </row>
    <row r="429" spans="1:12" x14ac:dyDescent="0.2">
      <c r="A429" s="2">
        <v>100148</v>
      </c>
      <c r="B429" s="2" t="s">
        <v>510</v>
      </c>
      <c r="C429" s="2" t="s">
        <v>328</v>
      </c>
      <c r="D429" s="2" t="s">
        <v>131</v>
      </c>
      <c r="E429" s="2" t="s">
        <v>133</v>
      </c>
      <c r="F429" s="2" t="s">
        <v>22</v>
      </c>
      <c r="G429" s="2" t="s">
        <v>232</v>
      </c>
      <c r="H429" s="2">
        <v>6</v>
      </c>
      <c r="I429" s="2">
        <v>1133.31</v>
      </c>
      <c r="J429" s="2">
        <v>0.15</v>
      </c>
      <c r="K429" s="2" t="s">
        <v>41</v>
      </c>
      <c r="L429" s="2" t="s">
        <v>87</v>
      </c>
    </row>
    <row r="430" spans="1:12" x14ac:dyDescent="0.2">
      <c r="A430" s="2">
        <v>101281</v>
      </c>
      <c r="B430" s="18">
        <v>45392</v>
      </c>
      <c r="C430" s="2" t="s">
        <v>12</v>
      </c>
      <c r="D430" s="2" t="s">
        <v>44</v>
      </c>
      <c r="E430" s="2" t="s">
        <v>32</v>
      </c>
      <c r="F430" s="2" t="s">
        <v>28</v>
      </c>
      <c r="G430" s="2" t="s">
        <v>205</v>
      </c>
      <c r="H430" s="2">
        <v>9</v>
      </c>
      <c r="I430" s="2">
        <v>23676.67</v>
      </c>
      <c r="J430" s="2">
        <v>0</v>
      </c>
      <c r="K430" s="2" t="s">
        <v>17</v>
      </c>
      <c r="L430" s="2" t="s">
        <v>121</v>
      </c>
    </row>
    <row r="431" spans="1:12" x14ac:dyDescent="0.2">
      <c r="A431" s="2">
        <v>100014</v>
      </c>
      <c r="B431" s="18">
        <v>45401</v>
      </c>
      <c r="C431" s="2" t="s">
        <v>301</v>
      </c>
      <c r="D431" s="2" t="s">
        <v>175</v>
      </c>
      <c r="E431" s="2" t="s">
        <v>69</v>
      </c>
      <c r="F431" s="2" t="s">
        <v>64</v>
      </c>
      <c r="G431" s="2" t="s">
        <v>165</v>
      </c>
      <c r="H431" s="2">
        <v>1</v>
      </c>
      <c r="I431" s="2">
        <v>438.64</v>
      </c>
      <c r="J431" s="2"/>
      <c r="K431" s="2" t="s">
        <v>17</v>
      </c>
      <c r="L431" s="2" t="s">
        <v>18</v>
      </c>
    </row>
    <row r="432" spans="1:12" x14ac:dyDescent="0.2">
      <c r="A432" s="2">
        <v>100390</v>
      </c>
      <c r="B432" s="2" t="s">
        <v>511</v>
      </c>
      <c r="C432" s="2" t="s">
        <v>512</v>
      </c>
      <c r="D432" s="2" t="s">
        <v>101</v>
      </c>
      <c r="E432" s="2" t="s">
        <v>69</v>
      </c>
      <c r="F432" s="2" t="s">
        <v>106</v>
      </c>
      <c r="G432" s="2" t="s">
        <v>103</v>
      </c>
      <c r="H432" s="2">
        <v>8</v>
      </c>
      <c r="I432" s="2">
        <v>1496.54</v>
      </c>
      <c r="J432" s="2">
        <v>0</v>
      </c>
      <c r="K432" s="2" t="s">
        <v>83</v>
      </c>
      <c r="L432" s="2" t="s">
        <v>87</v>
      </c>
    </row>
    <row r="433" spans="1:12" x14ac:dyDescent="0.2">
      <c r="A433" s="2">
        <v>101299</v>
      </c>
      <c r="B433" s="17">
        <v>45377</v>
      </c>
      <c r="C433" s="2" t="s">
        <v>126</v>
      </c>
      <c r="D433" s="2" t="s">
        <v>92</v>
      </c>
      <c r="E433" s="2" t="s">
        <v>32</v>
      </c>
      <c r="F433" s="2" t="s">
        <v>86</v>
      </c>
      <c r="G433" s="2" t="s">
        <v>97</v>
      </c>
      <c r="H433" s="2">
        <v>5</v>
      </c>
      <c r="I433" s="2">
        <v>22179.9</v>
      </c>
      <c r="J433" s="2">
        <v>0.05</v>
      </c>
      <c r="K433" s="2" t="s">
        <v>66</v>
      </c>
      <c r="L433" s="2" t="s">
        <v>52</v>
      </c>
    </row>
    <row r="434" spans="1:12" x14ac:dyDescent="0.2">
      <c r="A434" s="2">
        <v>100985</v>
      </c>
      <c r="B434" s="18">
        <v>45558</v>
      </c>
      <c r="C434" s="2" t="s">
        <v>513</v>
      </c>
      <c r="D434" s="2" t="s">
        <v>140</v>
      </c>
      <c r="E434" s="2" t="s">
        <v>79</v>
      </c>
      <c r="F434" s="2" t="s">
        <v>70</v>
      </c>
      <c r="G434" s="2" t="s">
        <v>46</v>
      </c>
      <c r="H434" s="2">
        <v>8</v>
      </c>
      <c r="I434" s="2">
        <v>36007.660000000003</v>
      </c>
      <c r="J434" s="2"/>
      <c r="K434" s="2" t="s">
        <v>41</v>
      </c>
      <c r="L434" s="2" t="s">
        <v>25</v>
      </c>
    </row>
    <row r="435" spans="1:12" x14ac:dyDescent="0.2">
      <c r="A435" s="2">
        <v>100759</v>
      </c>
      <c r="B435" s="2" t="s">
        <v>514</v>
      </c>
      <c r="C435" s="2"/>
      <c r="D435" s="2" t="s">
        <v>13</v>
      </c>
      <c r="E435" s="2" t="s">
        <v>14</v>
      </c>
      <c r="F435" s="2" t="s">
        <v>106</v>
      </c>
      <c r="G435" s="2" t="s">
        <v>103</v>
      </c>
      <c r="H435" s="2">
        <v>11</v>
      </c>
      <c r="I435" s="2">
        <v>3005.51</v>
      </c>
      <c r="J435" s="2">
        <v>10</v>
      </c>
      <c r="K435" s="2" t="s">
        <v>24</v>
      </c>
      <c r="L435" s="2" t="s">
        <v>42</v>
      </c>
    </row>
    <row r="436" spans="1:12" x14ac:dyDescent="0.2">
      <c r="A436" s="2">
        <v>100998</v>
      </c>
      <c r="B436" s="18">
        <v>45333</v>
      </c>
      <c r="C436" s="2" t="s">
        <v>294</v>
      </c>
      <c r="D436" s="2" t="s">
        <v>175</v>
      </c>
      <c r="E436" s="2" t="s">
        <v>38</v>
      </c>
      <c r="F436" s="2" t="s">
        <v>39</v>
      </c>
      <c r="G436" s="2" t="s">
        <v>165</v>
      </c>
      <c r="H436" s="2">
        <v>2</v>
      </c>
      <c r="I436" s="2">
        <v>730.88</v>
      </c>
      <c r="J436" s="2">
        <v>0.25</v>
      </c>
      <c r="K436" s="2" t="s">
        <v>24</v>
      </c>
      <c r="L436" s="2" t="s">
        <v>42</v>
      </c>
    </row>
    <row r="437" spans="1:12" x14ac:dyDescent="0.2">
      <c r="A437" s="2">
        <v>101549</v>
      </c>
      <c r="B437" s="18">
        <v>45301</v>
      </c>
      <c r="C437" s="2" t="s">
        <v>212</v>
      </c>
      <c r="D437" s="2" t="s">
        <v>129</v>
      </c>
      <c r="E437" s="2" t="s">
        <v>79</v>
      </c>
      <c r="F437" s="2" t="s">
        <v>45</v>
      </c>
      <c r="G437" s="2" t="s">
        <v>111</v>
      </c>
      <c r="H437" s="2">
        <v>7</v>
      </c>
      <c r="I437" s="2">
        <v>24318.99</v>
      </c>
      <c r="J437" s="2">
        <v>0.1</v>
      </c>
      <c r="K437" s="2" t="s">
        <v>24</v>
      </c>
      <c r="L437" s="2" t="s">
        <v>42</v>
      </c>
    </row>
    <row r="438" spans="1:12" x14ac:dyDescent="0.2">
      <c r="A438" s="2">
        <v>100790</v>
      </c>
      <c r="B438" s="17">
        <v>45513</v>
      </c>
      <c r="C438" s="2" t="s">
        <v>515</v>
      </c>
      <c r="D438" s="2" t="s">
        <v>58</v>
      </c>
      <c r="E438" s="2" t="s">
        <v>38</v>
      </c>
      <c r="F438" s="2" t="s">
        <v>106</v>
      </c>
      <c r="G438" s="2" t="s">
        <v>103</v>
      </c>
      <c r="H438" s="2">
        <v>5</v>
      </c>
      <c r="I438" s="2">
        <v>2722.18</v>
      </c>
      <c r="J438" s="2">
        <v>0.2</v>
      </c>
      <c r="K438" s="2" t="s">
        <v>24</v>
      </c>
      <c r="L438" s="2" t="s">
        <v>52</v>
      </c>
    </row>
    <row r="439" spans="1:12" x14ac:dyDescent="0.2">
      <c r="A439" s="2">
        <v>101874</v>
      </c>
      <c r="B439" s="17">
        <v>45306</v>
      </c>
      <c r="C439" s="2"/>
      <c r="D439" s="2" t="s">
        <v>181</v>
      </c>
      <c r="E439" s="2" t="s">
        <v>14</v>
      </c>
      <c r="F439" s="2" t="s">
        <v>74</v>
      </c>
      <c r="G439" s="2" t="s">
        <v>145</v>
      </c>
      <c r="H439" s="2">
        <v>3</v>
      </c>
      <c r="I439" s="2">
        <v>3098.47</v>
      </c>
      <c r="J439" s="2">
        <v>0</v>
      </c>
      <c r="K439" s="2" t="s">
        <v>29</v>
      </c>
      <c r="L439" s="2" t="s">
        <v>87</v>
      </c>
    </row>
    <row r="440" spans="1:12" x14ac:dyDescent="0.2">
      <c r="A440" s="2">
        <v>101683</v>
      </c>
      <c r="B440" s="18">
        <v>45295</v>
      </c>
      <c r="C440" s="2" t="s">
        <v>195</v>
      </c>
      <c r="D440" s="2" t="s">
        <v>101</v>
      </c>
      <c r="E440" s="2" t="s">
        <v>69</v>
      </c>
      <c r="F440" s="2" t="s">
        <v>223</v>
      </c>
      <c r="G440" s="2" t="s">
        <v>62</v>
      </c>
      <c r="H440" s="2">
        <v>11</v>
      </c>
      <c r="I440" s="2">
        <v>5932.51</v>
      </c>
      <c r="J440" s="2">
        <v>0.25</v>
      </c>
      <c r="K440" s="2" t="s">
        <v>66</v>
      </c>
      <c r="L440" s="2" t="s">
        <v>87</v>
      </c>
    </row>
    <row r="441" spans="1:12" x14ac:dyDescent="0.2">
      <c r="A441" s="2">
        <v>100667</v>
      </c>
      <c r="B441" s="17">
        <v>45641</v>
      </c>
      <c r="C441" s="2" t="s">
        <v>406</v>
      </c>
      <c r="D441" s="2" t="s">
        <v>129</v>
      </c>
      <c r="E441" s="2" t="s">
        <v>49</v>
      </c>
      <c r="F441" s="2" t="s">
        <v>33</v>
      </c>
      <c r="G441" s="2" t="s">
        <v>81</v>
      </c>
      <c r="H441" s="2">
        <v>5</v>
      </c>
      <c r="I441" s="2">
        <v>469.15</v>
      </c>
      <c r="J441" s="2">
        <v>5</v>
      </c>
      <c r="K441" s="2" t="s">
        <v>29</v>
      </c>
      <c r="L441" s="2" t="s">
        <v>42</v>
      </c>
    </row>
    <row r="442" spans="1:12" x14ac:dyDescent="0.2">
      <c r="A442" s="2">
        <v>100652</v>
      </c>
      <c r="B442" s="17">
        <v>45299</v>
      </c>
      <c r="C442" s="2" t="s">
        <v>231</v>
      </c>
      <c r="D442" s="2" t="s">
        <v>89</v>
      </c>
      <c r="E442" s="2" t="s">
        <v>32</v>
      </c>
      <c r="F442" s="2" t="s">
        <v>28</v>
      </c>
      <c r="G442" s="2" t="s">
        <v>116</v>
      </c>
      <c r="H442" s="2">
        <v>3</v>
      </c>
      <c r="I442" s="2" t="s">
        <v>516</v>
      </c>
      <c r="J442" s="2">
        <v>0</v>
      </c>
      <c r="K442" s="2" t="s">
        <v>17</v>
      </c>
      <c r="L442" s="2" t="s">
        <v>87</v>
      </c>
    </row>
    <row r="443" spans="1:12" x14ac:dyDescent="0.2">
      <c r="A443" s="2">
        <v>100801</v>
      </c>
      <c r="B443" s="17">
        <v>45372</v>
      </c>
      <c r="C443" s="2" t="s">
        <v>517</v>
      </c>
      <c r="D443" s="2" t="s">
        <v>181</v>
      </c>
      <c r="E443" s="2" t="s">
        <v>14</v>
      </c>
      <c r="F443" s="2" t="s">
        <v>96</v>
      </c>
      <c r="G443" s="2" t="s">
        <v>111</v>
      </c>
      <c r="H443" s="2">
        <v>3</v>
      </c>
      <c r="I443" s="2">
        <v>27316.6</v>
      </c>
      <c r="J443" s="2">
        <v>0</v>
      </c>
      <c r="K443" s="2" t="s">
        <v>17</v>
      </c>
      <c r="L443" s="2" t="s">
        <v>143</v>
      </c>
    </row>
    <row r="444" spans="1:12" x14ac:dyDescent="0.2">
      <c r="A444" s="2">
        <v>100505</v>
      </c>
      <c r="B444" s="17">
        <v>45456</v>
      </c>
      <c r="C444" s="2" t="s">
        <v>518</v>
      </c>
      <c r="D444" s="2" t="s">
        <v>73</v>
      </c>
      <c r="E444" s="2" t="s">
        <v>49</v>
      </c>
      <c r="F444" s="2" t="s">
        <v>55</v>
      </c>
      <c r="G444" s="2" t="s">
        <v>207</v>
      </c>
      <c r="H444" s="2">
        <v>12</v>
      </c>
      <c r="I444" s="2"/>
      <c r="J444" s="2">
        <v>0</v>
      </c>
      <c r="K444" s="2" t="s">
        <v>66</v>
      </c>
      <c r="L444" s="2" t="s">
        <v>42</v>
      </c>
    </row>
    <row r="445" spans="1:12" x14ac:dyDescent="0.2">
      <c r="A445" s="2">
        <v>101132</v>
      </c>
      <c r="B445" s="18">
        <v>45296</v>
      </c>
      <c r="C445" s="2" t="s">
        <v>465</v>
      </c>
      <c r="D445" s="2" t="s">
        <v>20</v>
      </c>
      <c r="E445" s="2" t="s">
        <v>21</v>
      </c>
      <c r="F445" s="2" t="s">
        <v>86</v>
      </c>
      <c r="G445" s="2" t="s">
        <v>111</v>
      </c>
      <c r="H445" s="2">
        <v>10</v>
      </c>
      <c r="I445" s="2">
        <v>35502.54</v>
      </c>
      <c r="J445" s="2">
        <v>0</v>
      </c>
      <c r="K445" s="2" t="s">
        <v>24</v>
      </c>
      <c r="L445" s="2" t="s">
        <v>25</v>
      </c>
    </row>
    <row r="446" spans="1:12" x14ac:dyDescent="0.2">
      <c r="A446" s="2">
        <v>100743</v>
      </c>
      <c r="B446" s="18">
        <v>45376</v>
      </c>
      <c r="C446" s="2" t="s">
        <v>370</v>
      </c>
      <c r="D446" s="2" t="s">
        <v>92</v>
      </c>
      <c r="E446" s="2" t="s">
        <v>54</v>
      </c>
      <c r="F446" s="2" t="s">
        <v>223</v>
      </c>
      <c r="G446" s="2" t="s">
        <v>207</v>
      </c>
      <c r="H446" s="2">
        <v>1</v>
      </c>
      <c r="I446" s="2" t="s">
        <v>519</v>
      </c>
      <c r="J446" s="2"/>
      <c r="K446" s="2" t="s">
        <v>41</v>
      </c>
      <c r="L446" s="2" t="s">
        <v>35</v>
      </c>
    </row>
    <row r="447" spans="1:12" x14ac:dyDescent="0.2">
      <c r="A447" s="2">
        <v>101392</v>
      </c>
      <c r="B447" s="2" t="s">
        <v>520</v>
      </c>
      <c r="C447" s="2" t="s">
        <v>354</v>
      </c>
      <c r="D447" s="2" t="s">
        <v>85</v>
      </c>
      <c r="E447" s="2" t="s">
        <v>14</v>
      </c>
      <c r="F447" s="2" t="s">
        <v>50</v>
      </c>
      <c r="G447" s="2" t="s">
        <v>51</v>
      </c>
      <c r="H447" s="2">
        <v>4</v>
      </c>
      <c r="I447" s="2">
        <v>10364.94</v>
      </c>
      <c r="J447" s="2">
        <v>0.1</v>
      </c>
      <c r="K447" s="2" t="s">
        <v>83</v>
      </c>
      <c r="L447" s="2" t="s">
        <v>25</v>
      </c>
    </row>
    <row r="448" spans="1:12" x14ac:dyDescent="0.2">
      <c r="A448" s="2">
        <v>101779</v>
      </c>
      <c r="B448" s="18">
        <v>45466</v>
      </c>
      <c r="C448" s="2" t="s">
        <v>404</v>
      </c>
      <c r="D448" s="2" t="s">
        <v>175</v>
      </c>
      <c r="E448" s="2" t="s">
        <v>69</v>
      </c>
      <c r="F448" s="2" t="s">
        <v>113</v>
      </c>
      <c r="G448" s="2" t="s">
        <v>114</v>
      </c>
      <c r="H448" s="2">
        <v>10</v>
      </c>
      <c r="I448" s="2">
        <v>320</v>
      </c>
      <c r="J448" s="2">
        <v>0</v>
      </c>
      <c r="K448" s="2" t="s">
        <v>17</v>
      </c>
      <c r="L448" s="2" t="s">
        <v>143</v>
      </c>
    </row>
    <row r="449" spans="1:12" x14ac:dyDescent="0.2">
      <c r="A449" s="2">
        <v>100982</v>
      </c>
      <c r="B449" s="18">
        <v>45348</v>
      </c>
      <c r="C449" s="2" t="s">
        <v>521</v>
      </c>
      <c r="D449" s="2" t="s">
        <v>95</v>
      </c>
      <c r="E449" s="2" t="s">
        <v>133</v>
      </c>
      <c r="F449" s="2" t="s">
        <v>64</v>
      </c>
      <c r="G449" s="2" t="s">
        <v>114</v>
      </c>
      <c r="H449" s="2">
        <v>1</v>
      </c>
      <c r="I449" s="2">
        <v>475.17</v>
      </c>
      <c r="J449" s="2">
        <v>0</v>
      </c>
      <c r="K449" s="2" t="s">
        <v>17</v>
      </c>
      <c r="L449" s="2" t="s">
        <v>87</v>
      </c>
    </row>
    <row r="450" spans="1:12" x14ac:dyDescent="0.2">
      <c r="A450" s="2">
        <v>101637</v>
      </c>
      <c r="B450" s="2" t="s">
        <v>511</v>
      </c>
      <c r="C450" s="2" t="s">
        <v>403</v>
      </c>
      <c r="D450" s="2" t="s">
        <v>85</v>
      </c>
      <c r="E450" s="2" t="s">
        <v>119</v>
      </c>
      <c r="F450" s="2" t="s">
        <v>96</v>
      </c>
      <c r="G450" s="2" t="s">
        <v>97</v>
      </c>
      <c r="H450" s="2">
        <v>7</v>
      </c>
      <c r="I450" s="2">
        <v>5655.33</v>
      </c>
      <c r="J450" s="2">
        <v>0</v>
      </c>
      <c r="K450" s="2" t="s">
        <v>83</v>
      </c>
      <c r="L450" s="2" t="s">
        <v>143</v>
      </c>
    </row>
    <row r="451" spans="1:12" x14ac:dyDescent="0.2">
      <c r="A451" s="2">
        <v>101180</v>
      </c>
      <c r="B451" s="17">
        <v>45365</v>
      </c>
      <c r="C451" s="2" t="s">
        <v>228</v>
      </c>
      <c r="D451" s="2" t="s">
        <v>140</v>
      </c>
      <c r="E451" s="2" t="s">
        <v>49</v>
      </c>
      <c r="F451" s="2" t="s">
        <v>33</v>
      </c>
      <c r="G451" s="2" t="s">
        <v>93</v>
      </c>
      <c r="H451" s="2">
        <v>5</v>
      </c>
      <c r="I451" s="2">
        <v>488.18</v>
      </c>
      <c r="J451" s="2">
        <v>0.05</v>
      </c>
      <c r="K451" s="2" t="s">
        <v>17</v>
      </c>
      <c r="L451" s="2" t="s">
        <v>35</v>
      </c>
    </row>
    <row r="452" spans="1:12" x14ac:dyDescent="0.2">
      <c r="A452" s="2">
        <v>101129</v>
      </c>
      <c r="B452" s="18">
        <v>45326</v>
      </c>
      <c r="C452" s="2" t="s">
        <v>326</v>
      </c>
      <c r="D452" s="2" t="s">
        <v>44</v>
      </c>
      <c r="E452" s="2" t="s">
        <v>54</v>
      </c>
      <c r="F452" s="2" t="s">
        <v>74</v>
      </c>
      <c r="G452" s="2" t="s">
        <v>141</v>
      </c>
      <c r="H452" s="2">
        <v>2</v>
      </c>
      <c r="I452" s="2">
        <v>834.35</v>
      </c>
      <c r="J452" s="2">
        <v>0</v>
      </c>
      <c r="K452" s="2" t="s">
        <v>66</v>
      </c>
      <c r="L452" s="2" t="s">
        <v>18</v>
      </c>
    </row>
    <row r="453" spans="1:12" x14ac:dyDescent="0.2">
      <c r="A453" s="2">
        <v>100026</v>
      </c>
      <c r="B453" s="17">
        <v>45565</v>
      </c>
      <c r="C453" s="2" t="s">
        <v>362</v>
      </c>
      <c r="D453" s="2" t="s">
        <v>13</v>
      </c>
      <c r="E453" s="2" t="s">
        <v>14</v>
      </c>
      <c r="F453" s="2" t="s">
        <v>191</v>
      </c>
      <c r="G453" s="2" t="s">
        <v>116</v>
      </c>
      <c r="H453" s="2">
        <v>7</v>
      </c>
      <c r="I453" s="2">
        <v>13169.77</v>
      </c>
      <c r="J453" s="2">
        <v>0</v>
      </c>
      <c r="K453" s="2" t="s">
        <v>41</v>
      </c>
      <c r="L453" s="2" t="s">
        <v>25</v>
      </c>
    </row>
    <row r="454" spans="1:12" x14ac:dyDescent="0.2">
      <c r="A454" s="2">
        <v>100644</v>
      </c>
      <c r="B454" s="17">
        <v>45526</v>
      </c>
      <c r="C454" s="2"/>
      <c r="D454" s="2" t="s">
        <v>85</v>
      </c>
      <c r="E454" s="2" t="s">
        <v>119</v>
      </c>
      <c r="F454" s="2" t="s">
        <v>113</v>
      </c>
      <c r="G454" s="2" t="s">
        <v>242</v>
      </c>
      <c r="H454" s="2">
        <v>8</v>
      </c>
      <c r="I454" s="2">
        <v>94.21</v>
      </c>
      <c r="J454" s="2">
        <v>0.1</v>
      </c>
      <c r="K454" s="2" t="s">
        <v>66</v>
      </c>
      <c r="L454" s="2" t="s">
        <v>143</v>
      </c>
    </row>
    <row r="455" spans="1:12" x14ac:dyDescent="0.2">
      <c r="A455" s="2">
        <v>101478</v>
      </c>
      <c r="B455" s="17">
        <v>45518</v>
      </c>
      <c r="C455" s="2" t="s">
        <v>522</v>
      </c>
      <c r="D455" s="2" t="s">
        <v>58</v>
      </c>
      <c r="E455" s="2" t="s">
        <v>69</v>
      </c>
      <c r="F455" s="2" t="s">
        <v>80</v>
      </c>
      <c r="G455" s="2" t="s">
        <v>34</v>
      </c>
      <c r="H455" s="2">
        <v>1</v>
      </c>
      <c r="I455" s="2">
        <v>253.95</v>
      </c>
      <c r="J455" s="2">
        <v>0.15</v>
      </c>
      <c r="K455" s="2" t="s">
        <v>83</v>
      </c>
      <c r="L455" s="2" t="s">
        <v>143</v>
      </c>
    </row>
    <row r="456" spans="1:12" x14ac:dyDescent="0.2">
      <c r="A456" s="2">
        <v>101091</v>
      </c>
      <c r="B456" s="18">
        <v>45328</v>
      </c>
      <c r="C456" s="2" t="s">
        <v>463</v>
      </c>
      <c r="D456" s="2" t="s">
        <v>48</v>
      </c>
      <c r="E456" s="2" t="s">
        <v>79</v>
      </c>
      <c r="F456" s="2" t="s">
        <v>120</v>
      </c>
      <c r="G456" s="2" t="s">
        <v>23</v>
      </c>
      <c r="H456" s="2">
        <v>3</v>
      </c>
      <c r="I456" s="2">
        <v>602.29999999999995</v>
      </c>
      <c r="J456" s="2">
        <v>0.05</v>
      </c>
      <c r="K456" s="2" t="s">
        <v>29</v>
      </c>
      <c r="L456" s="2" t="s">
        <v>35</v>
      </c>
    </row>
    <row r="457" spans="1:12" x14ac:dyDescent="0.2">
      <c r="A457" s="2">
        <v>101810</v>
      </c>
      <c r="B457" s="18">
        <v>45434</v>
      </c>
      <c r="C457" s="2" t="s">
        <v>523</v>
      </c>
      <c r="D457" s="2" t="s">
        <v>73</v>
      </c>
      <c r="E457" s="2" t="s">
        <v>49</v>
      </c>
      <c r="F457" s="2" t="s">
        <v>74</v>
      </c>
      <c r="G457" s="2" t="s">
        <v>145</v>
      </c>
      <c r="H457" s="2">
        <v>9</v>
      </c>
      <c r="I457" s="2">
        <v>2506.7600000000002</v>
      </c>
      <c r="J457" s="2">
        <v>0.25</v>
      </c>
      <c r="K457" s="2" t="s">
        <v>17</v>
      </c>
      <c r="L457" s="2" t="s">
        <v>42</v>
      </c>
    </row>
    <row r="458" spans="1:12" x14ac:dyDescent="0.2">
      <c r="A458" s="2">
        <v>100116</v>
      </c>
      <c r="B458" s="17">
        <v>45647</v>
      </c>
      <c r="C458" s="2" t="s">
        <v>274</v>
      </c>
      <c r="D458" s="2" t="s">
        <v>58</v>
      </c>
      <c r="E458" s="2" t="s">
        <v>69</v>
      </c>
      <c r="F458" s="2" t="s">
        <v>39</v>
      </c>
      <c r="G458" s="2" t="s">
        <v>292</v>
      </c>
      <c r="H458" s="2">
        <v>4</v>
      </c>
      <c r="I458" s="2">
        <v>165.71</v>
      </c>
      <c r="J458" s="2">
        <v>0.2</v>
      </c>
      <c r="K458" s="2" t="s">
        <v>24</v>
      </c>
      <c r="L458" s="2" t="s">
        <v>18</v>
      </c>
    </row>
    <row r="459" spans="1:12" x14ac:dyDescent="0.2">
      <c r="A459" s="2">
        <v>100025</v>
      </c>
      <c r="B459" s="17">
        <v>45586</v>
      </c>
      <c r="C459" s="2" t="s">
        <v>180</v>
      </c>
      <c r="D459" s="2" t="s">
        <v>109</v>
      </c>
      <c r="E459" s="2" t="s">
        <v>21</v>
      </c>
      <c r="F459" s="2" t="s">
        <v>33</v>
      </c>
      <c r="G459" s="2" t="s">
        <v>34</v>
      </c>
      <c r="H459" s="2">
        <v>1</v>
      </c>
      <c r="I459" s="2">
        <v>266.47000000000003</v>
      </c>
      <c r="J459" s="2">
        <v>0</v>
      </c>
      <c r="K459" s="2" t="s">
        <v>24</v>
      </c>
      <c r="L459" s="2" t="s">
        <v>25</v>
      </c>
    </row>
    <row r="460" spans="1:12" x14ac:dyDescent="0.2">
      <c r="A460" s="2">
        <v>100371</v>
      </c>
      <c r="B460" s="18">
        <v>45612</v>
      </c>
      <c r="C460" s="2" t="s">
        <v>351</v>
      </c>
      <c r="D460" s="2" t="s">
        <v>109</v>
      </c>
      <c r="E460" s="2" t="s">
        <v>21</v>
      </c>
      <c r="F460" s="2" t="s">
        <v>15</v>
      </c>
      <c r="G460" s="2" t="s">
        <v>205</v>
      </c>
      <c r="H460" s="2">
        <v>11</v>
      </c>
      <c r="I460" s="2" t="s">
        <v>524</v>
      </c>
      <c r="J460" s="2">
        <v>0</v>
      </c>
      <c r="K460" s="2" t="s">
        <v>83</v>
      </c>
      <c r="L460" s="2" t="s">
        <v>143</v>
      </c>
    </row>
    <row r="461" spans="1:12" x14ac:dyDescent="0.2">
      <c r="A461" s="2">
        <v>101802</v>
      </c>
      <c r="B461" s="17">
        <v>45330</v>
      </c>
      <c r="C461" s="2" t="s">
        <v>271</v>
      </c>
      <c r="D461" s="2" t="s">
        <v>92</v>
      </c>
      <c r="E461" s="2" t="s">
        <v>54</v>
      </c>
      <c r="F461" s="2" t="s">
        <v>22</v>
      </c>
      <c r="G461" s="2" t="s">
        <v>23</v>
      </c>
      <c r="H461" s="2">
        <v>5</v>
      </c>
      <c r="I461" s="2">
        <v>1690.88</v>
      </c>
      <c r="J461" s="2">
        <v>0.05</v>
      </c>
      <c r="K461" s="2" t="s">
        <v>83</v>
      </c>
      <c r="L461" s="2" t="s">
        <v>121</v>
      </c>
    </row>
    <row r="462" spans="1:12" x14ac:dyDescent="0.2">
      <c r="A462" s="2">
        <v>100705</v>
      </c>
      <c r="B462" s="2" t="s">
        <v>525</v>
      </c>
      <c r="C462" s="2" t="s">
        <v>526</v>
      </c>
      <c r="D462" s="2" t="s">
        <v>160</v>
      </c>
      <c r="E462" s="2" t="s">
        <v>49</v>
      </c>
      <c r="F462" s="2" t="s">
        <v>74</v>
      </c>
      <c r="G462" s="2" t="s">
        <v>145</v>
      </c>
      <c r="H462" s="2">
        <v>1</v>
      </c>
      <c r="I462" s="2">
        <v>1331.76</v>
      </c>
      <c r="J462" s="2">
        <v>10</v>
      </c>
      <c r="K462" s="2" t="s">
        <v>41</v>
      </c>
      <c r="L462" s="2" t="s">
        <v>18</v>
      </c>
    </row>
    <row r="463" spans="1:12" x14ac:dyDescent="0.2">
      <c r="A463" s="2">
        <v>101624</v>
      </c>
      <c r="B463" s="18">
        <v>45350</v>
      </c>
      <c r="C463" s="2" t="s">
        <v>88</v>
      </c>
      <c r="D463" s="2" t="s">
        <v>109</v>
      </c>
      <c r="E463" s="2" t="s">
        <v>133</v>
      </c>
      <c r="F463" s="2" t="s">
        <v>80</v>
      </c>
      <c r="G463" s="2" t="s">
        <v>34</v>
      </c>
      <c r="H463" s="2">
        <v>11</v>
      </c>
      <c r="I463" s="2">
        <v>550.49</v>
      </c>
      <c r="J463" s="2">
        <v>15</v>
      </c>
      <c r="K463" s="2" t="s">
        <v>41</v>
      </c>
      <c r="L463" s="2" t="s">
        <v>18</v>
      </c>
    </row>
    <row r="464" spans="1:12" x14ac:dyDescent="0.2">
      <c r="A464" s="2">
        <v>100454</v>
      </c>
      <c r="B464" s="18">
        <v>45339</v>
      </c>
      <c r="C464" s="2" t="s">
        <v>281</v>
      </c>
      <c r="D464" s="2" t="s">
        <v>13</v>
      </c>
      <c r="E464" s="2" t="s">
        <v>119</v>
      </c>
      <c r="F464" s="2" t="s">
        <v>113</v>
      </c>
      <c r="G464" s="2" t="s">
        <v>40</v>
      </c>
      <c r="H464" s="2">
        <v>9</v>
      </c>
      <c r="I464" s="2">
        <v>521.03</v>
      </c>
      <c r="J464" s="2">
        <v>0</v>
      </c>
      <c r="K464" s="2" t="s">
        <v>41</v>
      </c>
      <c r="L464" s="2" t="s">
        <v>42</v>
      </c>
    </row>
    <row r="465" spans="1:12" x14ac:dyDescent="0.2">
      <c r="A465" s="2">
        <v>100097</v>
      </c>
      <c r="B465" s="2" t="s">
        <v>527</v>
      </c>
      <c r="C465" s="2" t="s">
        <v>528</v>
      </c>
      <c r="D465" s="2" t="s">
        <v>129</v>
      </c>
      <c r="E465" s="2" t="s">
        <v>49</v>
      </c>
      <c r="F465" s="2" t="s">
        <v>106</v>
      </c>
      <c r="G465" s="2" t="s">
        <v>156</v>
      </c>
      <c r="H465" s="2">
        <v>10</v>
      </c>
      <c r="I465" s="2">
        <v>4329.4399999999996</v>
      </c>
      <c r="J465" s="2">
        <v>0.25</v>
      </c>
      <c r="K465" s="2" t="s">
        <v>24</v>
      </c>
      <c r="L465" s="2" t="s">
        <v>18</v>
      </c>
    </row>
    <row r="466" spans="1:12" x14ac:dyDescent="0.2">
      <c r="A466" s="2">
        <v>101877</v>
      </c>
      <c r="B466" s="17">
        <v>45502</v>
      </c>
      <c r="C466" s="2" t="s">
        <v>529</v>
      </c>
      <c r="D466" s="2" t="s">
        <v>58</v>
      </c>
      <c r="E466" s="2" t="s">
        <v>38</v>
      </c>
      <c r="F466" s="2" t="s">
        <v>55</v>
      </c>
      <c r="G466" s="2" t="s">
        <v>56</v>
      </c>
      <c r="H466" s="2">
        <v>10</v>
      </c>
      <c r="I466" s="2">
        <v>6062.27</v>
      </c>
      <c r="J466" s="2">
        <v>0.05</v>
      </c>
      <c r="K466" s="2" t="s">
        <v>66</v>
      </c>
      <c r="L466" s="2" t="s">
        <v>18</v>
      </c>
    </row>
    <row r="467" spans="1:12" x14ac:dyDescent="0.2">
      <c r="A467" s="2">
        <v>101819</v>
      </c>
      <c r="B467" s="17">
        <v>45401</v>
      </c>
      <c r="C467" s="2" t="s">
        <v>147</v>
      </c>
      <c r="D467" s="2" t="s">
        <v>61</v>
      </c>
      <c r="E467" s="2" t="s">
        <v>14</v>
      </c>
      <c r="F467" s="2" t="s">
        <v>86</v>
      </c>
      <c r="G467" s="2" t="s">
        <v>149</v>
      </c>
      <c r="H467" s="2">
        <v>6</v>
      </c>
      <c r="I467" s="2">
        <v>32778.36</v>
      </c>
      <c r="J467" s="2">
        <v>5</v>
      </c>
      <c r="K467" s="2" t="s">
        <v>83</v>
      </c>
      <c r="L467" s="2" t="s">
        <v>25</v>
      </c>
    </row>
    <row r="468" spans="1:12" x14ac:dyDescent="0.2">
      <c r="A468" s="2">
        <v>101468</v>
      </c>
      <c r="B468" s="2" t="s">
        <v>107</v>
      </c>
      <c r="C468" s="2" t="s">
        <v>530</v>
      </c>
      <c r="D468" s="2" t="s">
        <v>109</v>
      </c>
      <c r="E468" s="2" t="s">
        <v>133</v>
      </c>
      <c r="F468" s="2" t="s">
        <v>155</v>
      </c>
      <c r="G468" s="2" t="s">
        <v>137</v>
      </c>
      <c r="H468" s="2">
        <v>2</v>
      </c>
      <c r="I468" s="2">
        <v>1242.56</v>
      </c>
      <c r="J468" s="2">
        <v>0</v>
      </c>
      <c r="K468" s="2" t="s">
        <v>83</v>
      </c>
      <c r="L468" s="2" t="s">
        <v>52</v>
      </c>
    </row>
    <row r="469" spans="1:12" x14ac:dyDescent="0.2">
      <c r="A469" s="2">
        <v>100100</v>
      </c>
      <c r="B469" s="18">
        <v>45493</v>
      </c>
      <c r="C469" s="2" t="s">
        <v>449</v>
      </c>
      <c r="D469" s="2" t="s">
        <v>58</v>
      </c>
      <c r="E469" s="2" t="s">
        <v>69</v>
      </c>
      <c r="F469" s="2" t="s">
        <v>55</v>
      </c>
      <c r="G469" s="2" t="s">
        <v>62</v>
      </c>
      <c r="H469" s="2">
        <v>3</v>
      </c>
      <c r="I469" s="2">
        <v>1790.77</v>
      </c>
      <c r="J469" s="2">
        <v>0</v>
      </c>
      <c r="K469" s="2" t="s">
        <v>83</v>
      </c>
      <c r="L469" s="2" t="s">
        <v>35</v>
      </c>
    </row>
    <row r="470" spans="1:12" x14ac:dyDescent="0.2">
      <c r="A470" s="2">
        <v>101529</v>
      </c>
      <c r="B470" s="17">
        <v>45491</v>
      </c>
      <c r="C470" s="2" t="s">
        <v>531</v>
      </c>
      <c r="D470" s="2" t="s">
        <v>73</v>
      </c>
      <c r="E470" s="2" t="s">
        <v>79</v>
      </c>
      <c r="F470" s="2" t="s">
        <v>74</v>
      </c>
      <c r="G470" s="2" t="s">
        <v>232</v>
      </c>
      <c r="H470" s="2">
        <v>3</v>
      </c>
      <c r="I470" s="2">
        <v>1039.47</v>
      </c>
      <c r="J470" s="2">
        <v>15</v>
      </c>
      <c r="K470" s="2" t="s">
        <v>66</v>
      </c>
      <c r="L470" s="2" t="s">
        <v>52</v>
      </c>
    </row>
    <row r="471" spans="1:12" x14ac:dyDescent="0.2">
      <c r="A471" s="2">
        <v>101516</v>
      </c>
      <c r="B471" s="17">
        <v>45569</v>
      </c>
      <c r="C471" s="2" t="s">
        <v>490</v>
      </c>
      <c r="D471" s="2" t="s">
        <v>73</v>
      </c>
      <c r="E471" s="2" t="s">
        <v>49</v>
      </c>
      <c r="F471" s="2" t="s">
        <v>55</v>
      </c>
      <c r="G471" s="2" t="s">
        <v>56</v>
      </c>
      <c r="H471" s="2">
        <v>1</v>
      </c>
      <c r="I471" s="2" t="s">
        <v>532</v>
      </c>
      <c r="J471" s="2"/>
      <c r="K471" s="2" t="s">
        <v>29</v>
      </c>
      <c r="L471" s="2" t="s">
        <v>87</v>
      </c>
    </row>
    <row r="472" spans="1:12" x14ac:dyDescent="0.2">
      <c r="A472" s="2">
        <v>101966</v>
      </c>
      <c r="B472" s="17">
        <v>45332</v>
      </c>
      <c r="C472" s="2" t="s">
        <v>266</v>
      </c>
      <c r="D472" s="2" t="s">
        <v>109</v>
      </c>
      <c r="E472" s="2" t="s">
        <v>133</v>
      </c>
      <c r="F472" s="2" t="s">
        <v>191</v>
      </c>
      <c r="G472" s="2" t="s">
        <v>16</v>
      </c>
      <c r="H472" s="2">
        <v>1</v>
      </c>
      <c r="I472" s="2">
        <v>16488.099999999999</v>
      </c>
      <c r="J472" s="2">
        <v>0.25</v>
      </c>
      <c r="K472" s="2" t="s">
        <v>83</v>
      </c>
      <c r="L472" s="2" t="s">
        <v>143</v>
      </c>
    </row>
    <row r="473" spans="1:12" x14ac:dyDescent="0.2">
      <c r="A473" s="2">
        <v>100358</v>
      </c>
      <c r="B473" s="17">
        <v>45326</v>
      </c>
      <c r="C473" s="2" t="s">
        <v>533</v>
      </c>
      <c r="D473" s="2" t="s">
        <v>58</v>
      </c>
      <c r="E473" s="2" t="s">
        <v>38</v>
      </c>
      <c r="F473" s="2" t="s">
        <v>124</v>
      </c>
      <c r="G473" s="2" t="s">
        <v>56</v>
      </c>
      <c r="H473" s="2">
        <v>5</v>
      </c>
      <c r="I473" s="2">
        <v>9600.1</v>
      </c>
      <c r="J473" s="2">
        <v>25</v>
      </c>
      <c r="K473" s="2" t="s">
        <v>83</v>
      </c>
      <c r="L473" s="2" t="s">
        <v>25</v>
      </c>
    </row>
    <row r="474" spans="1:12" x14ac:dyDescent="0.2">
      <c r="A474" s="2">
        <v>100858</v>
      </c>
      <c r="B474" s="17">
        <v>45476</v>
      </c>
      <c r="C474" s="2" t="s">
        <v>343</v>
      </c>
      <c r="D474" s="2" t="s">
        <v>129</v>
      </c>
      <c r="E474" s="2" t="s">
        <v>49</v>
      </c>
      <c r="F474" s="2" t="s">
        <v>96</v>
      </c>
      <c r="G474" s="2" t="s">
        <v>153</v>
      </c>
      <c r="H474" s="2">
        <v>11</v>
      </c>
      <c r="I474" s="2">
        <v>35198.720000000001</v>
      </c>
      <c r="J474" s="2">
        <v>10</v>
      </c>
      <c r="K474" s="2" t="s">
        <v>83</v>
      </c>
      <c r="L474" s="2" t="s">
        <v>121</v>
      </c>
    </row>
    <row r="475" spans="1:12" x14ac:dyDescent="0.2">
      <c r="A475" s="2">
        <v>100594</v>
      </c>
      <c r="B475" s="17">
        <v>45384</v>
      </c>
      <c r="C475" s="2" t="s">
        <v>402</v>
      </c>
      <c r="D475" s="2" t="s">
        <v>175</v>
      </c>
      <c r="E475" s="2" t="s">
        <v>69</v>
      </c>
      <c r="F475" s="2" t="s">
        <v>155</v>
      </c>
      <c r="G475" s="2" t="s">
        <v>156</v>
      </c>
      <c r="H475" s="2">
        <v>12</v>
      </c>
      <c r="I475" s="2">
        <v>3579.71</v>
      </c>
      <c r="J475" s="2">
        <v>0</v>
      </c>
      <c r="K475" s="2" t="s">
        <v>17</v>
      </c>
      <c r="L475" s="2" t="s">
        <v>18</v>
      </c>
    </row>
    <row r="476" spans="1:12" x14ac:dyDescent="0.2">
      <c r="A476" s="2">
        <v>101878</v>
      </c>
      <c r="B476" s="17">
        <v>45300</v>
      </c>
      <c r="C476" s="2" t="s">
        <v>534</v>
      </c>
      <c r="D476" s="2" t="s">
        <v>37</v>
      </c>
      <c r="E476" s="2" t="s">
        <v>38</v>
      </c>
      <c r="F476" s="2" t="s">
        <v>80</v>
      </c>
      <c r="G476" s="2" t="s">
        <v>81</v>
      </c>
      <c r="H476" s="2">
        <v>3</v>
      </c>
      <c r="I476" s="2">
        <v>597.69000000000005</v>
      </c>
      <c r="J476" s="2">
        <v>0</v>
      </c>
      <c r="K476" s="2" t="s">
        <v>17</v>
      </c>
      <c r="L476" s="2" t="s">
        <v>25</v>
      </c>
    </row>
    <row r="477" spans="1:12" x14ac:dyDescent="0.2">
      <c r="A477" s="2">
        <v>101160</v>
      </c>
      <c r="B477" s="18">
        <v>45475</v>
      </c>
      <c r="C477" s="2" t="s">
        <v>535</v>
      </c>
      <c r="D477" s="2" t="s">
        <v>129</v>
      </c>
      <c r="E477" s="2" t="s">
        <v>79</v>
      </c>
      <c r="F477" s="2" t="s">
        <v>15</v>
      </c>
      <c r="G477" s="2" t="s">
        <v>205</v>
      </c>
      <c r="H477" s="2">
        <v>-2</v>
      </c>
      <c r="I477" s="2">
        <v>14700.93</v>
      </c>
      <c r="J477" s="2">
        <v>0</v>
      </c>
      <c r="K477" s="2" t="s">
        <v>41</v>
      </c>
      <c r="L477" s="2" t="s">
        <v>143</v>
      </c>
    </row>
    <row r="478" spans="1:12" x14ac:dyDescent="0.2">
      <c r="A478" s="2">
        <v>101626</v>
      </c>
      <c r="B478" s="18">
        <v>45360</v>
      </c>
      <c r="C478" s="2" t="s">
        <v>115</v>
      </c>
      <c r="D478" s="2" t="s">
        <v>27</v>
      </c>
      <c r="E478" s="2" t="s">
        <v>21</v>
      </c>
      <c r="F478" s="2" t="s">
        <v>22</v>
      </c>
      <c r="G478" s="2" t="s">
        <v>141</v>
      </c>
      <c r="H478" s="2">
        <v>1</v>
      </c>
      <c r="I478" s="2">
        <v>892.67</v>
      </c>
      <c r="J478" s="2">
        <v>0</v>
      </c>
      <c r="K478" s="2" t="s">
        <v>29</v>
      </c>
      <c r="L478" s="2" t="s">
        <v>35</v>
      </c>
    </row>
    <row r="479" spans="1:12" x14ac:dyDescent="0.2">
      <c r="A479" s="2">
        <v>100587</v>
      </c>
      <c r="B479" s="17">
        <v>45320</v>
      </c>
      <c r="C479" s="2" t="s">
        <v>177</v>
      </c>
      <c r="D479" s="2" t="s">
        <v>58</v>
      </c>
      <c r="E479" s="2" t="s">
        <v>69</v>
      </c>
      <c r="F479" s="2" t="s">
        <v>22</v>
      </c>
      <c r="G479" s="2" t="s">
        <v>141</v>
      </c>
      <c r="H479" s="2">
        <v>8</v>
      </c>
      <c r="I479" s="2">
        <v>1434.54</v>
      </c>
      <c r="J479" s="2">
        <v>20</v>
      </c>
      <c r="K479" s="2" t="s">
        <v>41</v>
      </c>
      <c r="L479" s="2" t="s">
        <v>42</v>
      </c>
    </row>
    <row r="480" spans="1:12" x14ac:dyDescent="0.2">
      <c r="A480" s="2">
        <v>101893</v>
      </c>
      <c r="B480" s="18">
        <v>45427</v>
      </c>
      <c r="C480" s="2" t="s">
        <v>536</v>
      </c>
      <c r="D480" s="2" t="s">
        <v>160</v>
      </c>
      <c r="E480" s="2" t="s">
        <v>79</v>
      </c>
      <c r="F480" s="2" t="s">
        <v>33</v>
      </c>
      <c r="G480" s="2" t="s">
        <v>34</v>
      </c>
      <c r="H480" s="2">
        <v>7</v>
      </c>
      <c r="I480" s="2">
        <v>462.31</v>
      </c>
      <c r="J480" s="2">
        <v>0.2</v>
      </c>
      <c r="K480" s="2" t="s">
        <v>83</v>
      </c>
      <c r="L480" s="2" t="s">
        <v>52</v>
      </c>
    </row>
    <row r="481" spans="1:12" x14ac:dyDescent="0.2">
      <c r="A481" s="2">
        <v>101833</v>
      </c>
      <c r="B481" s="17">
        <v>45650</v>
      </c>
      <c r="C481" s="2" t="s">
        <v>537</v>
      </c>
      <c r="D481" s="2" t="s">
        <v>48</v>
      </c>
      <c r="E481" s="2" t="s">
        <v>49</v>
      </c>
      <c r="F481" s="2" t="s">
        <v>39</v>
      </c>
      <c r="G481" s="2" t="s">
        <v>242</v>
      </c>
      <c r="H481" s="2">
        <v>2</v>
      </c>
      <c r="I481" s="2">
        <v>145.19999999999999</v>
      </c>
      <c r="J481" s="2">
        <v>0</v>
      </c>
      <c r="K481" s="2" t="s">
        <v>17</v>
      </c>
      <c r="L481" s="2" t="s">
        <v>52</v>
      </c>
    </row>
    <row r="482" spans="1:12" x14ac:dyDescent="0.2">
      <c r="A482" s="2">
        <v>100770</v>
      </c>
      <c r="B482" s="18">
        <v>45395</v>
      </c>
      <c r="C482" s="2" t="s">
        <v>362</v>
      </c>
      <c r="D482" s="2" t="s">
        <v>37</v>
      </c>
      <c r="E482" s="2" t="s">
        <v>69</v>
      </c>
      <c r="F482" s="2" t="s">
        <v>102</v>
      </c>
      <c r="G482" s="2" t="s">
        <v>135</v>
      </c>
      <c r="H482" s="2">
        <v>4</v>
      </c>
      <c r="I482" s="2">
        <v>768.63</v>
      </c>
      <c r="J482" s="2">
        <v>0.15</v>
      </c>
      <c r="K482" s="2" t="s">
        <v>41</v>
      </c>
      <c r="L482" s="2" t="s">
        <v>35</v>
      </c>
    </row>
    <row r="483" spans="1:12" x14ac:dyDescent="0.2">
      <c r="A483" s="2">
        <v>100271</v>
      </c>
      <c r="B483" s="18">
        <v>45378</v>
      </c>
      <c r="C483" s="2" t="s">
        <v>494</v>
      </c>
      <c r="D483" s="2" t="s">
        <v>89</v>
      </c>
      <c r="E483" s="2" t="s">
        <v>54</v>
      </c>
      <c r="F483" s="2" t="s">
        <v>113</v>
      </c>
      <c r="G483" s="2" t="s">
        <v>165</v>
      </c>
      <c r="H483" s="2">
        <v>10</v>
      </c>
      <c r="I483" s="2" t="s">
        <v>538</v>
      </c>
      <c r="J483" s="2">
        <v>10</v>
      </c>
      <c r="K483" s="2" t="s">
        <v>83</v>
      </c>
      <c r="L483" s="2" t="s">
        <v>35</v>
      </c>
    </row>
    <row r="484" spans="1:12" x14ac:dyDescent="0.2">
      <c r="A484" s="2">
        <v>100119</v>
      </c>
      <c r="B484" s="18">
        <v>45639</v>
      </c>
      <c r="C484" s="2" t="s">
        <v>539</v>
      </c>
      <c r="D484" s="2" t="s">
        <v>181</v>
      </c>
      <c r="E484" s="2" t="s">
        <v>14</v>
      </c>
      <c r="F484" s="2" t="s">
        <v>55</v>
      </c>
      <c r="G484" s="2" t="s">
        <v>207</v>
      </c>
      <c r="H484" s="2">
        <v>9</v>
      </c>
      <c r="I484" s="2">
        <v>1017.08</v>
      </c>
      <c r="J484" s="2">
        <v>0.05</v>
      </c>
      <c r="K484" s="2" t="s">
        <v>24</v>
      </c>
      <c r="L484" s="2" t="s">
        <v>87</v>
      </c>
    </row>
    <row r="485" spans="1:12" x14ac:dyDescent="0.2">
      <c r="A485" s="2">
        <v>100118</v>
      </c>
      <c r="B485" s="17">
        <v>45596</v>
      </c>
      <c r="C485" s="2" t="s">
        <v>540</v>
      </c>
      <c r="D485" s="2" t="s">
        <v>31</v>
      </c>
      <c r="E485" s="2" t="s">
        <v>54</v>
      </c>
      <c r="F485" s="2" t="s">
        <v>155</v>
      </c>
      <c r="G485" s="2" t="s">
        <v>103</v>
      </c>
      <c r="H485" s="2">
        <v>7</v>
      </c>
      <c r="I485" s="2">
        <v>2637.47</v>
      </c>
      <c r="J485" s="2">
        <v>0.15</v>
      </c>
      <c r="K485" s="2" t="s">
        <v>29</v>
      </c>
      <c r="L485" s="2" t="s">
        <v>143</v>
      </c>
    </row>
    <row r="486" spans="1:12" x14ac:dyDescent="0.2">
      <c r="A486" s="2">
        <v>101296</v>
      </c>
      <c r="B486" s="18">
        <v>45468</v>
      </c>
      <c r="C486" s="2" t="s">
        <v>541</v>
      </c>
      <c r="D486" s="2" t="s">
        <v>101</v>
      </c>
      <c r="E486" s="2" t="s">
        <v>38</v>
      </c>
      <c r="F486" s="2" t="s">
        <v>113</v>
      </c>
      <c r="G486" s="2" t="s">
        <v>165</v>
      </c>
      <c r="H486" s="2">
        <v>3</v>
      </c>
      <c r="I486" s="2">
        <v>538.35</v>
      </c>
      <c r="J486" s="2">
        <v>5</v>
      </c>
      <c r="K486" s="2" t="s">
        <v>24</v>
      </c>
      <c r="L486" s="2" t="s">
        <v>52</v>
      </c>
    </row>
    <row r="487" spans="1:12" x14ac:dyDescent="0.2">
      <c r="A487" s="2">
        <v>101934</v>
      </c>
      <c r="B487" s="18">
        <v>45535</v>
      </c>
      <c r="C487" s="2" t="s">
        <v>542</v>
      </c>
      <c r="D487" s="2" t="s">
        <v>31</v>
      </c>
      <c r="E487" s="2" t="s">
        <v>32</v>
      </c>
      <c r="F487" s="2" t="s">
        <v>106</v>
      </c>
      <c r="G487" s="2" t="s">
        <v>137</v>
      </c>
      <c r="H487" s="2">
        <v>11</v>
      </c>
      <c r="I487" s="2">
        <v>1457.41</v>
      </c>
      <c r="J487" s="2">
        <v>0</v>
      </c>
      <c r="K487" s="2" t="s">
        <v>17</v>
      </c>
      <c r="L487" s="2" t="s">
        <v>52</v>
      </c>
    </row>
    <row r="488" spans="1:12" x14ac:dyDescent="0.2">
      <c r="A488" s="2">
        <v>101941</v>
      </c>
      <c r="B488" s="17">
        <v>45482</v>
      </c>
      <c r="C488" s="2" t="s">
        <v>426</v>
      </c>
      <c r="D488" s="2" t="s">
        <v>95</v>
      </c>
      <c r="E488" s="2" t="s">
        <v>21</v>
      </c>
      <c r="F488" s="2" t="s">
        <v>45</v>
      </c>
      <c r="G488" s="2" t="s">
        <v>111</v>
      </c>
      <c r="H488" s="2">
        <v>10</v>
      </c>
      <c r="I488" s="2">
        <v>20237.580000000002</v>
      </c>
      <c r="J488" s="2">
        <v>0</v>
      </c>
      <c r="K488" s="2" t="s">
        <v>41</v>
      </c>
      <c r="L488" s="2" t="s">
        <v>42</v>
      </c>
    </row>
    <row r="489" spans="1:12" x14ac:dyDescent="0.2">
      <c r="A489" s="2">
        <v>100699</v>
      </c>
      <c r="B489" s="17">
        <v>45358</v>
      </c>
      <c r="C489" s="2" t="s">
        <v>314</v>
      </c>
      <c r="D489" s="2" t="s">
        <v>92</v>
      </c>
      <c r="E489" s="2" t="s">
        <v>54</v>
      </c>
      <c r="F489" s="2" t="s">
        <v>124</v>
      </c>
      <c r="G489" s="2" t="s">
        <v>99</v>
      </c>
      <c r="H489" s="2">
        <v>8</v>
      </c>
      <c r="I489" s="2">
        <v>5299.6</v>
      </c>
      <c r="J489" s="2">
        <v>0.25</v>
      </c>
      <c r="K489" s="2" t="s">
        <v>41</v>
      </c>
      <c r="L489" s="2" t="s">
        <v>52</v>
      </c>
    </row>
    <row r="490" spans="1:12" x14ac:dyDescent="0.2">
      <c r="A490" s="2">
        <v>101016</v>
      </c>
      <c r="B490" s="18">
        <v>45534</v>
      </c>
      <c r="C490" s="2" t="s">
        <v>204</v>
      </c>
      <c r="D490" s="2" t="s">
        <v>92</v>
      </c>
      <c r="E490" s="2" t="s">
        <v>54</v>
      </c>
      <c r="F490" s="2" t="s">
        <v>33</v>
      </c>
      <c r="G490" s="2" t="s">
        <v>81</v>
      </c>
      <c r="H490" s="2">
        <v>1</v>
      </c>
      <c r="I490" s="2">
        <v>369.82</v>
      </c>
      <c r="J490" s="2"/>
      <c r="K490" s="2" t="s">
        <v>83</v>
      </c>
      <c r="L490" s="2" t="s">
        <v>121</v>
      </c>
    </row>
    <row r="491" spans="1:12" x14ac:dyDescent="0.2">
      <c r="A491" s="2">
        <v>101530</v>
      </c>
      <c r="B491" s="17">
        <v>45388</v>
      </c>
      <c r="C491" s="2" t="s">
        <v>543</v>
      </c>
      <c r="D491" s="2" t="s">
        <v>181</v>
      </c>
      <c r="E491" s="2" t="s">
        <v>119</v>
      </c>
      <c r="F491" s="2" t="s">
        <v>64</v>
      </c>
      <c r="G491" s="2" t="s">
        <v>114</v>
      </c>
      <c r="H491" s="2">
        <v>-2</v>
      </c>
      <c r="I491" s="2">
        <v>357.67</v>
      </c>
      <c r="J491" s="2">
        <v>0.05</v>
      </c>
      <c r="K491" s="2" t="s">
        <v>83</v>
      </c>
      <c r="L491" s="2" t="s">
        <v>42</v>
      </c>
    </row>
    <row r="492" spans="1:12" x14ac:dyDescent="0.2">
      <c r="A492" s="2">
        <v>101245</v>
      </c>
      <c r="B492" s="18">
        <v>45609</v>
      </c>
      <c r="C492" s="2" t="s">
        <v>286</v>
      </c>
      <c r="D492" s="2" t="s">
        <v>61</v>
      </c>
      <c r="E492" s="2" t="s">
        <v>14</v>
      </c>
      <c r="F492" s="2" t="s">
        <v>15</v>
      </c>
      <c r="G492" s="2" t="s">
        <v>152</v>
      </c>
      <c r="H492" s="2">
        <v>7</v>
      </c>
      <c r="I492" s="2">
        <v>13277.65</v>
      </c>
      <c r="J492" s="2"/>
      <c r="K492" s="2" t="s">
        <v>41</v>
      </c>
      <c r="L492" s="2" t="s">
        <v>25</v>
      </c>
    </row>
    <row r="493" spans="1:12" x14ac:dyDescent="0.2">
      <c r="A493" s="2">
        <v>100165</v>
      </c>
      <c r="B493" s="17">
        <v>45627</v>
      </c>
      <c r="C493" s="2" t="s">
        <v>544</v>
      </c>
      <c r="D493" s="2" t="s">
        <v>101</v>
      </c>
      <c r="E493" s="2" t="s">
        <v>69</v>
      </c>
      <c r="F493" s="2" t="s">
        <v>15</v>
      </c>
      <c r="G493" s="2" t="s">
        <v>16</v>
      </c>
      <c r="H493" s="2">
        <v>10</v>
      </c>
      <c r="I493" s="2">
        <v>19605.91</v>
      </c>
      <c r="J493" s="2">
        <v>0</v>
      </c>
      <c r="K493" s="2" t="s">
        <v>29</v>
      </c>
      <c r="L493" s="2" t="s">
        <v>143</v>
      </c>
    </row>
    <row r="494" spans="1:12" x14ac:dyDescent="0.2">
      <c r="A494" s="2">
        <v>100603</v>
      </c>
      <c r="B494" s="18">
        <v>45435</v>
      </c>
      <c r="C494" s="2" t="s">
        <v>545</v>
      </c>
      <c r="D494" s="2" t="s">
        <v>48</v>
      </c>
      <c r="E494" s="2" t="s">
        <v>49</v>
      </c>
      <c r="F494" s="2" t="s">
        <v>113</v>
      </c>
      <c r="G494" s="2" t="s">
        <v>242</v>
      </c>
      <c r="H494" s="2">
        <v>8</v>
      </c>
      <c r="I494" s="2">
        <v>584.41</v>
      </c>
      <c r="J494" s="2">
        <v>0.1</v>
      </c>
      <c r="K494" s="2" t="s">
        <v>83</v>
      </c>
      <c r="L494" s="2" t="s">
        <v>18</v>
      </c>
    </row>
    <row r="495" spans="1:12" x14ac:dyDescent="0.2">
      <c r="A495" s="2">
        <v>101984</v>
      </c>
      <c r="B495" s="17">
        <v>45628</v>
      </c>
      <c r="C495" s="2" t="s">
        <v>408</v>
      </c>
      <c r="D495" s="2" t="s">
        <v>73</v>
      </c>
      <c r="E495" s="2" t="s">
        <v>79</v>
      </c>
      <c r="F495" s="2" t="s">
        <v>74</v>
      </c>
      <c r="G495" s="2" t="s">
        <v>232</v>
      </c>
      <c r="H495" s="2">
        <v>1</v>
      </c>
      <c r="I495" s="2">
        <v>588.57000000000005</v>
      </c>
      <c r="J495" s="2">
        <v>0</v>
      </c>
      <c r="K495" s="2" t="s">
        <v>17</v>
      </c>
      <c r="L495" s="2" t="s">
        <v>143</v>
      </c>
    </row>
    <row r="496" spans="1:12" x14ac:dyDescent="0.2">
      <c r="A496" s="2">
        <v>101897</v>
      </c>
      <c r="B496" s="18">
        <v>45569</v>
      </c>
      <c r="C496" s="2" t="s">
        <v>546</v>
      </c>
      <c r="D496" s="2" t="s">
        <v>129</v>
      </c>
      <c r="E496" s="2" t="s">
        <v>49</v>
      </c>
      <c r="F496" s="2" t="s">
        <v>45</v>
      </c>
      <c r="G496" s="2" t="s">
        <v>97</v>
      </c>
      <c r="H496" s="2">
        <v>11</v>
      </c>
      <c r="I496" s="2">
        <v>30515.08</v>
      </c>
      <c r="J496" s="2">
        <v>0.25</v>
      </c>
      <c r="K496" s="2" t="s">
        <v>66</v>
      </c>
      <c r="L496" s="2" t="s">
        <v>121</v>
      </c>
    </row>
    <row r="497" spans="1:12" x14ac:dyDescent="0.2">
      <c r="A497" s="2">
        <v>100466</v>
      </c>
      <c r="B497" s="18">
        <v>45402</v>
      </c>
      <c r="C497" s="2" t="s">
        <v>547</v>
      </c>
      <c r="D497" s="2" t="s">
        <v>44</v>
      </c>
      <c r="E497" s="2" t="s">
        <v>32</v>
      </c>
      <c r="F497" s="2" t="s">
        <v>64</v>
      </c>
      <c r="G497" s="2" t="s">
        <v>40</v>
      </c>
      <c r="H497" s="2">
        <v>12</v>
      </c>
      <c r="I497" s="2"/>
      <c r="J497" s="2">
        <v>0</v>
      </c>
      <c r="K497" s="2" t="s">
        <v>41</v>
      </c>
      <c r="L497" s="2" t="s">
        <v>18</v>
      </c>
    </row>
    <row r="498" spans="1:12" x14ac:dyDescent="0.2">
      <c r="A498" s="2">
        <v>101171</v>
      </c>
      <c r="B498" s="17">
        <v>45329</v>
      </c>
      <c r="C498" s="2" t="s">
        <v>304</v>
      </c>
      <c r="D498" s="2" t="s">
        <v>92</v>
      </c>
      <c r="E498" s="2" t="s">
        <v>32</v>
      </c>
      <c r="F498" s="2" t="s">
        <v>113</v>
      </c>
      <c r="G498" s="2" t="s">
        <v>242</v>
      </c>
      <c r="H498" s="2">
        <v>2</v>
      </c>
      <c r="I498" s="2"/>
      <c r="J498" s="2">
        <v>0</v>
      </c>
      <c r="K498" s="2" t="s">
        <v>17</v>
      </c>
      <c r="L498" s="2" t="s">
        <v>35</v>
      </c>
    </row>
    <row r="499" spans="1:12" x14ac:dyDescent="0.2">
      <c r="A499" s="2">
        <v>100502</v>
      </c>
      <c r="B499" s="17">
        <v>45363</v>
      </c>
      <c r="C499" s="2" t="s">
        <v>475</v>
      </c>
      <c r="D499" s="2" t="s">
        <v>89</v>
      </c>
      <c r="E499" s="2" t="s">
        <v>32</v>
      </c>
      <c r="F499" s="2" t="s">
        <v>86</v>
      </c>
      <c r="G499" s="2" t="s">
        <v>71</v>
      </c>
      <c r="H499" s="2">
        <v>1</v>
      </c>
      <c r="I499" s="2">
        <v>6725.5</v>
      </c>
      <c r="J499" s="2">
        <v>25</v>
      </c>
      <c r="K499" s="2" t="s">
        <v>83</v>
      </c>
      <c r="L499" s="2" t="s">
        <v>42</v>
      </c>
    </row>
    <row r="500" spans="1:12" x14ac:dyDescent="0.2">
      <c r="A500" s="2">
        <v>100143</v>
      </c>
      <c r="B500" s="2" t="s">
        <v>548</v>
      </c>
      <c r="C500" s="2" t="s">
        <v>224</v>
      </c>
      <c r="D500" s="2" t="s">
        <v>85</v>
      </c>
      <c r="E500" s="2" t="s">
        <v>119</v>
      </c>
      <c r="F500" s="2" t="s">
        <v>113</v>
      </c>
      <c r="G500" s="2" t="s">
        <v>40</v>
      </c>
      <c r="H500" s="2">
        <v>11</v>
      </c>
      <c r="I500" s="2">
        <v>275.26</v>
      </c>
      <c r="J500" s="2">
        <v>0</v>
      </c>
      <c r="K500" s="2" t="s">
        <v>41</v>
      </c>
      <c r="L500" s="2" t="s">
        <v>52</v>
      </c>
    </row>
    <row r="501" spans="1:12" x14ac:dyDescent="0.2">
      <c r="A501" s="2">
        <v>101200</v>
      </c>
      <c r="B501" s="2" t="s">
        <v>549</v>
      </c>
      <c r="C501" s="2" t="s">
        <v>550</v>
      </c>
      <c r="D501" s="2" t="s">
        <v>58</v>
      </c>
      <c r="E501" s="2" t="s">
        <v>38</v>
      </c>
      <c r="F501" s="2" t="s">
        <v>86</v>
      </c>
      <c r="G501" s="2" t="s">
        <v>149</v>
      </c>
      <c r="H501" s="2">
        <v>12</v>
      </c>
      <c r="I501" s="2">
        <v>33917.14</v>
      </c>
      <c r="J501" s="2"/>
      <c r="K501" s="2" t="s">
        <v>29</v>
      </c>
      <c r="L501" s="2" t="s">
        <v>52</v>
      </c>
    </row>
    <row r="502" spans="1:12" x14ac:dyDescent="0.2">
      <c r="A502" s="2">
        <v>100114</v>
      </c>
      <c r="B502" s="2" t="s">
        <v>551</v>
      </c>
      <c r="C502" s="2" t="s">
        <v>463</v>
      </c>
      <c r="D502" s="2" t="s">
        <v>89</v>
      </c>
      <c r="E502" s="2" t="s">
        <v>54</v>
      </c>
      <c r="F502" s="2" t="s">
        <v>45</v>
      </c>
      <c r="G502" s="2" t="s">
        <v>149</v>
      </c>
      <c r="H502" s="2"/>
      <c r="I502" s="2">
        <v>16895.27</v>
      </c>
      <c r="J502" s="2"/>
      <c r="K502" s="2" t="s">
        <v>17</v>
      </c>
      <c r="L502" s="2" t="s">
        <v>52</v>
      </c>
    </row>
    <row r="503" spans="1:12" x14ac:dyDescent="0.2">
      <c r="A503" s="2">
        <v>101086</v>
      </c>
      <c r="B503" s="18">
        <v>45459</v>
      </c>
      <c r="C503" s="2" t="s">
        <v>552</v>
      </c>
      <c r="D503" s="2" t="s">
        <v>27</v>
      </c>
      <c r="E503" s="2" t="s">
        <v>133</v>
      </c>
      <c r="F503" s="2" t="s">
        <v>64</v>
      </c>
      <c r="G503" s="2" t="s">
        <v>165</v>
      </c>
      <c r="H503" s="2">
        <v>1</v>
      </c>
      <c r="I503" s="2">
        <v>409.76</v>
      </c>
      <c r="J503" s="2">
        <v>10</v>
      </c>
      <c r="K503" s="2" t="s">
        <v>83</v>
      </c>
      <c r="L503" s="2" t="s">
        <v>18</v>
      </c>
    </row>
    <row r="504" spans="1:12" x14ac:dyDescent="0.2">
      <c r="A504" s="2">
        <v>100829</v>
      </c>
      <c r="B504" s="2" t="s">
        <v>553</v>
      </c>
      <c r="C504" s="2" t="s">
        <v>554</v>
      </c>
      <c r="D504" s="2" t="s">
        <v>175</v>
      </c>
      <c r="E504" s="2" t="s">
        <v>69</v>
      </c>
      <c r="F504" s="2" t="s">
        <v>33</v>
      </c>
      <c r="G504" s="2" t="s">
        <v>81</v>
      </c>
      <c r="H504" s="2">
        <v>12</v>
      </c>
      <c r="I504" s="2">
        <v>94.63</v>
      </c>
      <c r="J504" s="2">
        <v>20</v>
      </c>
      <c r="K504" s="2" t="s">
        <v>66</v>
      </c>
      <c r="L504" s="2" t="s">
        <v>143</v>
      </c>
    </row>
    <row r="505" spans="1:12" x14ac:dyDescent="0.2">
      <c r="A505" s="2">
        <v>100379</v>
      </c>
      <c r="B505" s="18">
        <v>45483</v>
      </c>
      <c r="C505" s="2" t="s">
        <v>555</v>
      </c>
      <c r="D505" s="2" t="s">
        <v>101</v>
      </c>
      <c r="E505" s="2" t="s">
        <v>38</v>
      </c>
      <c r="F505" s="2" t="s">
        <v>102</v>
      </c>
      <c r="G505" s="2" t="s">
        <v>103</v>
      </c>
      <c r="H505" s="2">
        <v>3</v>
      </c>
      <c r="I505" s="2" t="s">
        <v>556</v>
      </c>
      <c r="J505" s="2">
        <v>5</v>
      </c>
      <c r="K505" s="2" t="s">
        <v>41</v>
      </c>
      <c r="L505" s="2" t="s">
        <v>42</v>
      </c>
    </row>
    <row r="506" spans="1:12" x14ac:dyDescent="0.2">
      <c r="A506" s="2">
        <v>100064</v>
      </c>
      <c r="B506" s="17">
        <v>45438</v>
      </c>
      <c r="C506" s="2" t="s">
        <v>358</v>
      </c>
      <c r="D506" s="2" t="s">
        <v>31</v>
      </c>
      <c r="E506" s="2" t="s">
        <v>54</v>
      </c>
      <c r="F506" s="2" t="s">
        <v>39</v>
      </c>
      <c r="G506" s="2" t="s">
        <v>165</v>
      </c>
      <c r="H506" s="2">
        <v>2</v>
      </c>
      <c r="I506" s="2">
        <v>726.88</v>
      </c>
      <c r="J506" s="2">
        <v>0</v>
      </c>
      <c r="K506" s="2" t="s">
        <v>24</v>
      </c>
      <c r="L506" s="2" t="s">
        <v>143</v>
      </c>
    </row>
    <row r="507" spans="1:12" x14ac:dyDescent="0.2">
      <c r="A507" s="2">
        <v>100508</v>
      </c>
      <c r="B507" s="17">
        <v>45439</v>
      </c>
      <c r="C507" s="2" t="s">
        <v>557</v>
      </c>
      <c r="D507" s="2" t="s">
        <v>140</v>
      </c>
      <c r="E507" s="2" t="s">
        <v>49</v>
      </c>
      <c r="F507" s="2" t="s">
        <v>15</v>
      </c>
      <c r="G507" s="2" t="s">
        <v>16</v>
      </c>
      <c r="H507" s="2">
        <v>5</v>
      </c>
      <c r="I507" s="2" t="s">
        <v>558</v>
      </c>
      <c r="J507" s="2">
        <v>15</v>
      </c>
      <c r="K507" s="2" t="s">
        <v>66</v>
      </c>
      <c r="L507" s="2" t="s">
        <v>52</v>
      </c>
    </row>
    <row r="508" spans="1:12" x14ac:dyDescent="0.2">
      <c r="A508" s="2">
        <v>101796</v>
      </c>
      <c r="B508" s="18">
        <v>45549</v>
      </c>
      <c r="C508" s="2" t="s">
        <v>422</v>
      </c>
      <c r="D508" s="2" t="s">
        <v>89</v>
      </c>
      <c r="E508" s="2" t="s">
        <v>32</v>
      </c>
      <c r="F508" s="2" t="s">
        <v>120</v>
      </c>
      <c r="G508" s="2" t="s">
        <v>141</v>
      </c>
      <c r="H508" s="2">
        <v>8</v>
      </c>
      <c r="I508" s="2" t="s">
        <v>559</v>
      </c>
      <c r="J508" s="2">
        <v>0.2</v>
      </c>
      <c r="K508" s="2" t="s">
        <v>17</v>
      </c>
      <c r="L508" s="2" t="s">
        <v>18</v>
      </c>
    </row>
    <row r="509" spans="1:12" x14ac:dyDescent="0.2">
      <c r="A509" s="2">
        <v>100187</v>
      </c>
      <c r="B509" s="17">
        <v>45566</v>
      </c>
      <c r="C509" s="2" t="s">
        <v>372</v>
      </c>
      <c r="D509" s="2" t="s">
        <v>61</v>
      </c>
      <c r="E509" s="2" t="s">
        <v>14</v>
      </c>
      <c r="F509" s="2" t="s">
        <v>39</v>
      </c>
      <c r="G509" s="2" t="s">
        <v>292</v>
      </c>
      <c r="H509" s="2">
        <v>4</v>
      </c>
      <c r="I509" s="2">
        <v>354.37</v>
      </c>
      <c r="J509" s="2">
        <v>0</v>
      </c>
      <c r="K509" s="2" t="s">
        <v>83</v>
      </c>
      <c r="L509" s="2" t="s">
        <v>18</v>
      </c>
    </row>
    <row r="510" spans="1:12" x14ac:dyDescent="0.2">
      <c r="A510" s="2">
        <v>101026</v>
      </c>
      <c r="B510" s="17">
        <v>45359</v>
      </c>
      <c r="C510" s="2"/>
      <c r="D510" s="2" t="s">
        <v>109</v>
      </c>
      <c r="E510" s="2" t="s">
        <v>133</v>
      </c>
      <c r="F510" s="2" t="s">
        <v>33</v>
      </c>
      <c r="G510" s="2" t="s">
        <v>158</v>
      </c>
      <c r="H510" s="2">
        <v>5</v>
      </c>
      <c r="I510" s="2">
        <v>460.38</v>
      </c>
      <c r="J510" s="2">
        <v>0</v>
      </c>
      <c r="K510" s="2" t="s">
        <v>29</v>
      </c>
      <c r="L510" s="2" t="s">
        <v>42</v>
      </c>
    </row>
    <row r="511" spans="1:12" x14ac:dyDescent="0.2">
      <c r="A511" s="2">
        <v>100507</v>
      </c>
      <c r="B511" s="17">
        <v>45516</v>
      </c>
      <c r="C511" s="2" t="s">
        <v>240</v>
      </c>
      <c r="D511" s="2" t="s">
        <v>61</v>
      </c>
      <c r="E511" s="2" t="s">
        <v>14</v>
      </c>
      <c r="F511" s="2" t="s">
        <v>28</v>
      </c>
      <c r="G511" s="2" t="s">
        <v>16</v>
      </c>
      <c r="H511" s="2">
        <v>8</v>
      </c>
      <c r="I511" s="2">
        <v>13412.04</v>
      </c>
      <c r="J511" s="2">
        <v>0</v>
      </c>
      <c r="K511" s="2" t="s">
        <v>17</v>
      </c>
      <c r="L511" s="2" t="s">
        <v>52</v>
      </c>
    </row>
    <row r="512" spans="1:12" x14ac:dyDescent="0.2">
      <c r="A512" s="2">
        <v>101514</v>
      </c>
      <c r="B512" s="18">
        <v>45351</v>
      </c>
      <c r="C512" s="2" t="s">
        <v>314</v>
      </c>
      <c r="D512" s="2" t="s">
        <v>109</v>
      </c>
      <c r="E512" s="2" t="s">
        <v>133</v>
      </c>
      <c r="F512" s="2" t="s">
        <v>74</v>
      </c>
      <c r="G512" s="2" t="s">
        <v>141</v>
      </c>
      <c r="H512" s="2">
        <v>11</v>
      </c>
      <c r="I512" s="2">
        <v>1824.62</v>
      </c>
      <c r="J512" s="2">
        <v>0</v>
      </c>
      <c r="K512" s="2" t="s">
        <v>24</v>
      </c>
      <c r="L512" s="2" t="s">
        <v>18</v>
      </c>
    </row>
    <row r="513" spans="1:12" x14ac:dyDescent="0.2">
      <c r="A513" s="2">
        <v>101359</v>
      </c>
      <c r="B513" s="17">
        <v>45607</v>
      </c>
      <c r="C513" s="2" t="s">
        <v>60</v>
      </c>
      <c r="D513" s="2" t="s">
        <v>31</v>
      </c>
      <c r="E513" s="2" t="s">
        <v>32</v>
      </c>
      <c r="F513" s="2" t="s">
        <v>124</v>
      </c>
      <c r="G513" s="2" t="s">
        <v>99</v>
      </c>
      <c r="H513" s="2">
        <v>12</v>
      </c>
      <c r="I513" s="2">
        <v>10927.95</v>
      </c>
      <c r="J513" s="2">
        <v>0.1</v>
      </c>
      <c r="K513" s="2" t="s">
        <v>83</v>
      </c>
      <c r="L513" s="2" t="s">
        <v>18</v>
      </c>
    </row>
    <row r="514" spans="1:12" x14ac:dyDescent="0.2">
      <c r="A514" s="2">
        <v>100295</v>
      </c>
      <c r="B514" s="17">
        <v>45558</v>
      </c>
      <c r="C514" s="2" t="s">
        <v>445</v>
      </c>
      <c r="D514" s="2" t="s">
        <v>109</v>
      </c>
      <c r="E514" s="2" t="s">
        <v>21</v>
      </c>
      <c r="F514" s="2" t="s">
        <v>70</v>
      </c>
      <c r="G514" s="2" t="s">
        <v>46</v>
      </c>
      <c r="H514" s="2">
        <v>5</v>
      </c>
      <c r="I514" s="2">
        <v>14044.21</v>
      </c>
      <c r="J514" s="2">
        <v>0</v>
      </c>
      <c r="K514" s="2" t="s">
        <v>17</v>
      </c>
      <c r="L514" s="2" t="s">
        <v>35</v>
      </c>
    </row>
    <row r="515" spans="1:12" x14ac:dyDescent="0.2">
      <c r="A515" s="2">
        <v>100994</v>
      </c>
      <c r="B515" s="18">
        <v>45412</v>
      </c>
      <c r="C515" s="2" t="s">
        <v>560</v>
      </c>
      <c r="D515" s="2" t="s">
        <v>31</v>
      </c>
      <c r="E515" s="2" t="s">
        <v>32</v>
      </c>
      <c r="F515" s="2" t="s">
        <v>106</v>
      </c>
      <c r="G515" s="2" t="s">
        <v>135</v>
      </c>
      <c r="H515" s="2">
        <v>11</v>
      </c>
      <c r="I515" s="2">
        <v>1446.39</v>
      </c>
      <c r="J515" s="2">
        <v>0.1</v>
      </c>
      <c r="K515" s="2" t="s">
        <v>66</v>
      </c>
      <c r="L515" s="2" t="s">
        <v>121</v>
      </c>
    </row>
    <row r="516" spans="1:12" x14ac:dyDescent="0.2">
      <c r="A516" s="2">
        <v>100316</v>
      </c>
      <c r="B516" s="2" t="s">
        <v>77</v>
      </c>
      <c r="C516" s="2" t="s">
        <v>561</v>
      </c>
      <c r="D516" s="2" t="s">
        <v>181</v>
      </c>
      <c r="E516" s="2" t="s">
        <v>14</v>
      </c>
      <c r="F516" s="2" t="s">
        <v>106</v>
      </c>
      <c r="G516" s="2" t="s">
        <v>137</v>
      </c>
      <c r="H516" s="2">
        <v>10</v>
      </c>
      <c r="I516" s="2">
        <v>2065.54</v>
      </c>
      <c r="J516" s="2"/>
      <c r="K516" s="2" t="s">
        <v>41</v>
      </c>
      <c r="L516" s="2" t="s">
        <v>18</v>
      </c>
    </row>
    <row r="517" spans="1:12" x14ac:dyDescent="0.2">
      <c r="A517" s="2">
        <v>100131</v>
      </c>
      <c r="B517" s="17">
        <v>45409</v>
      </c>
      <c r="C517" s="2" t="s">
        <v>562</v>
      </c>
      <c r="D517" s="2" t="s">
        <v>140</v>
      </c>
      <c r="E517" s="2" t="s">
        <v>79</v>
      </c>
      <c r="F517" s="2" t="s">
        <v>191</v>
      </c>
      <c r="G517" s="2" t="s">
        <v>152</v>
      </c>
      <c r="H517" s="2">
        <v>-2</v>
      </c>
      <c r="I517" s="2">
        <v>5052.1000000000004</v>
      </c>
      <c r="J517" s="2">
        <v>0.2</v>
      </c>
      <c r="K517" s="2" t="s">
        <v>83</v>
      </c>
      <c r="L517" s="2" t="s">
        <v>121</v>
      </c>
    </row>
    <row r="518" spans="1:12" x14ac:dyDescent="0.2">
      <c r="A518" s="2">
        <v>101462</v>
      </c>
      <c r="B518" s="17">
        <v>45334</v>
      </c>
      <c r="C518" s="2" t="s">
        <v>563</v>
      </c>
      <c r="D518" s="2" t="s">
        <v>58</v>
      </c>
      <c r="E518" s="2" t="s">
        <v>69</v>
      </c>
      <c r="F518" s="2" t="s">
        <v>155</v>
      </c>
      <c r="G518" s="2" t="s">
        <v>135</v>
      </c>
      <c r="H518" s="2">
        <v>6</v>
      </c>
      <c r="I518" s="2" t="s">
        <v>564</v>
      </c>
      <c r="J518" s="2">
        <v>20</v>
      </c>
      <c r="K518" s="2" t="s">
        <v>83</v>
      </c>
      <c r="L518" s="2" t="s">
        <v>87</v>
      </c>
    </row>
    <row r="519" spans="1:12" x14ac:dyDescent="0.2">
      <c r="A519" s="2">
        <v>100190</v>
      </c>
      <c r="B519" s="17">
        <v>45522</v>
      </c>
      <c r="C519" s="2"/>
      <c r="D519" s="2" t="s">
        <v>73</v>
      </c>
      <c r="E519" s="2" t="s">
        <v>79</v>
      </c>
      <c r="F519" s="2" t="s">
        <v>39</v>
      </c>
      <c r="G519" s="2" t="s">
        <v>165</v>
      </c>
      <c r="H519" s="2">
        <v>3</v>
      </c>
      <c r="I519" s="2" t="s">
        <v>565</v>
      </c>
      <c r="J519" s="2">
        <v>0.05</v>
      </c>
      <c r="K519" s="2" t="s">
        <v>66</v>
      </c>
      <c r="L519" s="2" t="s">
        <v>143</v>
      </c>
    </row>
    <row r="520" spans="1:12" x14ac:dyDescent="0.2">
      <c r="A520" s="2">
        <v>100028</v>
      </c>
      <c r="B520" s="17">
        <v>45602</v>
      </c>
      <c r="C520" s="2" t="s">
        <v>566</v>
      </c>
      <c r="D520" s="2" t="s">
        <v>73</v>
      </c>
      <c r="E520" s="2" t="s">
        <v>79</v>
      </c>
      <c r="F520" s="2" t="s">
        <v>50</v>
      </c>
      <c r="G520" s="2" t="s">
        <v>51</v>
      </c>
      <c r="H520" s="2">
        <v>10</v>
      </c>
      <c r="I520" s="2">
        <v>2591.44</v>
      </c>
      <c r="J520" s="2">
        <v>0.1</v>
      </c>
      <c r="K520" s="2" t="s">
        <v>41</v>
      </c>
      <c r="L520" s="2" t="s">
        <v>52</v>
      </c>
    </row>
    <row r="521" spans="1:12" x14ac:dyDescent="0.2">
      <c r="A521" s="2">
        <v>100862</v>
      </c>
      <c r="B521" s="17">
        <v>45382</v>
      </c>
      <c r="C521" s="2" t="s">
        <v>112</v>
      </c>
      <c r="D521" s="2" t="s">
        <v>58</v>
      </c>
      <c r="E521" s="2" t="s">
        <v>69</v>
      </c>
      <c r="F521" s="2" t="s">
        <v>96</v>
      </c>
      <c r="G521" s="2" t="s">
        <v>46</v>
      </c>
      <c r="H521" s="2">
        <v>4</v>
      </c>
      <c r="I521" s="2">
        <v>29072.3</v>
      </c>
      <c r="J521" s="2"/>
      <c r="K521" s="2" t="s">
        <v>83</v>
      </c>
      <c r="L521" s="2" t="s">
        <v>18</v>
      </c>
    </row>
    <row r="522" spans="1:12" x14ac:dyDescent="0.2">
      <c r="A522" s="2">
        <v>100936</v>
      </c>
      <c r="B522" s="17">
        <v>45347</v>
      </c>
      <c r="C522" s="2" t="s">
        <v>567</v>
      </c>
      <c r="D522" s="2" t="s">
        <v>89</v>
      </c>
      <c r="E522" s="2" t="s">
        <v>32</v>
      </c>
      <c r="F522" s="2" t="s">
        <v>155</v>
      </c>
      <c r="G522" s="2" t="s">
        <v>137</v>
      </c>
      <c r="H522" s="2">
        <v>7</v>
      </c>
      <c r="I522" s="2">
        <v>4033.09</v>
      </c>
      <c r="J522" s="2">
        <v>0.05</v>
      </c>
      <c r="K522" s="2" t="s">
        <v>17</v>
      </c>
      <c r="L522" s="2" t="s">
        <v>42</v>
      </c>
    </row>
    <row r="523" spans="1:12" x14ac:dyDescent="0.2">
      <c r="A523" s="2">
        <v>101169</v>
      </c>
      <c r="B523" s="17">
        <v>45480</v>
      </c>
      <c r="C523" s="2" t="s">
        <v>314</v>
      </c>
      <c r="D523" s="2" t="s">
        <v>31</v>
      </c>
      <c r="E523" s="2" t="s">
        <v>54</v>
      </c>
      <c r="F523" s="2" t="s">
        <v>155</v>
      </c>
      <c r="G523" s="2" t="s">
        <v>135</v>
      </c>
      <c r="H523" s="2">
        <v>1</v>
      </c>
      <c r="I523" s="2">
        <v>2334.14</v>
      </c>
      <c r="J523" s="2">
        <v>20</v>
      </c>
      <c r="K523" s="2" t="s">
        <v>29</v>
      </c>
      <c r="L523" s="2" t="s">
        <v>121</v>
      </c>
    </row>
    <row r="524" spans="1:12" x14ac:dyDescent="0.2">
      <c r="A524" s="2">
        <v>101242</v>
      </c>
      <c r="B524" s="18">
        <v>45332</v>
      </c>
      <c r="C524" s="2" t="s">
        <v>304</v>
      </c>
      <c r="D524" s="2" t="s">
        <v>181</v>
      </c>
      <c r="E524" s="2" t="s">
        <v>14</v>
      </c>
      <c r="F524" s="2" t="s">
        <v>96</v>
      </c>
      <c r="G524" s="2" t="s">
        <v>71</v>
      </c>
      <c r="H524" s="2">
        <v>1</v>
      </c>
      <c r="I524" s="2">
        <v>25477.48</v>
      </c>
      <c r="J524" s="2">
        <v>0.05</v>
      </c>
      <c r="K524" s="2" t="s">
        <v>29</v>
      </c>
      <c r="L524" s="2" t="s">
        <v>87</v>
      </c>
    </row>
    <row r="525" spans="1:12" x14ac:dyDescent="0.2">
      <c r="A525" s="2">
        <v>101794</v>
      </c>
      <c r="B525" s="2" t="s">
        <v>568</v>
      </c>
      <c r="C525" s="2" t="s">
        <v>440</v>
      </c>
      <c r="D525" s="2" t="s">
        <v>89</v>
      </c>
      <c r="E525" s="2" t="s">
        <v>32</v>
      </c>
      <c r="F525" s="2" t="s">
        <v>39</v>
      </c>
      <c r="G525" s="2" t="s">
        <v>114</v>
      </c>
      <c r="H525" s="2">
        <v>10</v>
      </c>
      <c r="I525" s="2">
        <v>535.17999999999995</v>
      </c>
      <c r="J525" s="2">
        <v>10</v>
      </c>
      <c r="K525" s="2" t="s">
        <v>24</v>
      </c>
      <c r="L525" s="2" t="s">
        <v>121</v>
      </c>
    </row>
    <row r="526" spans="1:12" x14ac:dyDescent="0.2">
      <c r="A526" s="2">
        <v>101471</v>
      </c>
      <c r="B526" s="18">
        <v>45419</v>
      </c>
      <c r="C526" s="2" t="s">
        <v>569</v>
      </c>
      <c r="D526" s="2" t="s">
        <v>61</v>
      </c>
      <c r="E526" s="2" t="s">
        <v>14</v>
      </c>
      <c r="F526" s="2" t="s">
        <v>22</v>
      </c>
      <c r="G526" s="2" t="s">
        <v>141</v>
      </c>
      <c r="H526" s="2">
        <v>4</v>
      </c>
      <c r="I526" s="2" t="s">
        <v>570</v>
      </c>
      <c r="J526" s="2">
        <v>0</v>
      </c>
      <c r="K526" s="2" t="s">
        <v>24</v>
      </c>
      <c r="L526" s="2" t="s">
        <v>87</v>
      </c>
    </row>
    <row r="527" spans="1:12" x14ac:dyDescent="0.2">
      <c r="A527" s="2">
        <v>101837</v>
      </c>
      <c r="B527" s="18">
        <v>45653</v>
      </c>
      <c r="C527" s="2" t="s">
        <v>463</v>
      </c>
      <c r="D527" s="2" t="s">
        <v>85</v>
      </c>
      <c r="E527" s="2" t="s">
        <v>14</v>
      </c>
      <c r="F527" s="2" t="s">
        <v>96</v>
      </c>
      <c r="G527" s="2" t="s">
        <v>111</v>
      </c>
      <c r="H527" s="2">
        <v>7</v>
      </c>
      <c r="I527" s="2">
        <v>4766.26</v>
      </c>
      <c r="J527" s="2">
        <v>10</v>
      </c>
      <c r="K527" s="2" t="s">
        <v>17</v>
      </c>
      <c r="L527" s="2" t="s">
        <v>143</v>
      </c>
    </row>
    <row r="528" spans="1:12" x14ac:dyDescent="0.2">
      <c r="A528" s="2">
        <v>101589</v>
      </c>
      <c r="B528" s="18">
        <v>45655</v>
      </c>
      <c r="C528" s="2" t="s">
        <v>571</v>
      </c>
      <c r="D528" s="2" t="s">
        <v>58</v>
      </c>
      <c r="E528" s="2" t="s">
        <v>69</v>
      </c>
      <c r="F528" s="2" t="s">
        <v>33</v>
      </c>
      <c r="G528" s="2" t="s">
        <v>158</v>
      </c>
      <c r="H528" s="2">
        <v>1</v>
      </c>
      <c r="I528" s="2">
        <v>157.56</v>
      </c>
      <c r="J528" s="2">
        <v>0.05</v>
      </c>
      <c r="K528" s="2" t="s">
        <v>17</v>
      </c>
      <c r="L528" s="2" t="s">
        <v>121</v>
      </c>
    </row>
    <row r="529" spans="1:12" x14ac:dyDescent="0.2">
      <c r="A529" s="2">
        <v>101590</v>
      </c>
      <c r="B529" s="17">
        <v>45543</v>
      </c>
      <c r="C529" s="2" t="s">
        <v>572</v>
      </c>
      <c r="D529" s="2" t="s">
        <v>31</v>
      </c>
      <c r="E529" s="2" t="s">
        <v>54</v>
      </c>
      <c r="F529" s="2" t="s">
        <v>15</v>
      </c>
      <c r="G529" s="2" t="s">
        <v>205</v>
      </c>
      <c r="H529" s="2">
        <v>1</v>
      </c>
      <c r="I529" s="2" t="s">
        <v>573</v>
      </c>
      <c r="J529" s="2">
        <v>0</v>
      </c>
      <c r="K529" s="2" t="s">
        <v>66</v>
      </c>
      <c r="L529" s="2" t="s">
        <v>52</v>
      </c>
    </row>
    <row r="530" spans="1:12" x14ac:dyDescent="0.2">
      <c r="A530" s="2">
        <v>100267</v>
      </c>
      <c r="B530" s="2" t="s">
        <v>574</v>
      </c>
      <c r="C530" s="2" t="s">
        <v>575</v>
      </c>
      <c r="D530" s="2" t="s">
        <v>129</v>
      </c>
      <c r="E530" s="2" t="s">
        <v>79</v>
      </c>
      <c r="F530" s="2" t="s">
        <v>86</v>
      </c>
      <c r="G530" s="2" t="s">
        <v>149</v>
      </c>
      <c r="H530" s="2">
        <v>12</v>
      </c>
      <c r="I530" s="2">
        <v>38964.28</v>
      </c>
      <c r="J530" s="2">
        <v>0.2</v>
      </c>
      <c r="K530" s="2" t="s">
        <v>83</v>
      </c>
      <c r="L530" s="2" t="s">
        <v>25</v>
      </c>
    </row>
    <row r="531" spans="1:12" x14ac:dyDescent="0.2">
      <c r="A531" s="2">
        <v>100899</v>
      </c>
      <c r="B531" s="18">
        <v>45628</v>
      </c>
      <c r="C531" s="2" t="s">
        <v>576</v>
      </c>
      <c r="D531" s="2" t="s">
        <v>85</v>
      </c>
      <c r="E531" s="2" t="s">
        <v>119</v>
      </c>
      <c r="F531" s="2" t="s">
        <v>45</v>
      </c>
      <c r="G531" s="2" t="s">
        <v>46</v>
      </c>
      <c r="H531" s="2">
        <v>9</v>
      </c>
      <c r="I531" s="2">
        <v>35202.42</v>
      </c>
      <c r="J531" s="2">
        <v>0.05</v>
      </c>
      <c r="K531" s="2" t="s">
        <v>24</v>
      </c>
      <c r="L531" s="2" t="s">
        <v>143</v>
      </c>
    </row>
    <row r="532" spans="1:12" x14ac:dyDescent="0.2">
      <c r="A532" s="2">
        <v>101743</v>
      </c>
      <c r="B532" s="17">
        <v>45454</v>
      </c>
      <c r="C532" s="2" t="s">
        <v>577</v>
      </c>
      <c r="D532" s="2" t="s">
        <v>89</v>
      </c>
      <c r="E532" s="2" t="s">
        <v>32</v>
      </c>
      <c r="F532" s="2" t="s">
        <v>113</v>
      </c>
      <c r="G532" s="2" t="s">
        <v>40</v>
      </c>
      <c r="H532" s="2">
        <v>1</v>
      </c>
      <c r="I532" s="2">
        <v>63.49</v>
      </c>
      <c r="J532" s="2">
        <v>0.1</v>
      </c>
      <c r="K532" s="2" t="s">
        <v>41</v>
      </c>
      <c r="L532" s="2" t="s">
        <v>42</v>
      </c>
    </row>
    <row r="533" spans="1:12" x14ac:dyDescent="0.2">
      <c r="A533" s="2">
        <v>100076</v>
      </c>
      <c r="B533" s="17">
        <v>45600</v>
      </c>
      <c r="C533" s="2" t="s">
        <v>578</v>
      </c>
      <c r="D533" s="2" t="s">
        <v>44</v>
      </c>
      <c r="E533" s="2" t="s">
        <v>54</v>
      </c>
      <c r="F533" s="2" t="s">
        <v>50</v>
      </c>
      <c r="G533" s="2" t="s">
        <v>62</v>
      </c>
      <c r="H533" s="2">
        <v>9</v>
      </c>
      <c r="I533" s="2">
        <v>1776.09</v>
      </c>
      <c r="J533" s="2">
        <v>0.15</v>
      </c>
      <c r="K533" s="2" t="s">
        <v>83</v>
      </c>
      <c r="L533" s="2" t="s">
        <v>25</v>
      </c>
    </row>
    <row r="534" spans="1:12" x14ac:dyDescent="0.2">
      <c r="A534" s="2">
        <v>101458</v>
      </c>
      <c r="B534" s="18">
        <v>45375</v>
      </c>
      <c r="C534" s="2" t="s">
        <v>579</v>
      </c>
      <c r="D534" s="2" t="s">
        <v>61</v>
      </c>
      <c r="E534" s="2" t="s">
        <v>14</v>
      </c>
      <c r="F534" s="2" t="s">
        <v>120</v>
      </c>
      <c r="G534" s="2" t="s">
        <v>141</v>
      </c>
      <c r="H534" s="2">
        <v>4</v>
      </c>
      <c r="I534" s="2">
        <v>2713</v>
      </c>
      <c r="J534" s="2">
        <v>0</v>
      </c>
      <c r="K534" s="2" t="s">
        <v>29</v>
      </c>
      <c r="L534" s="2" t="s">
        <v>35</v>
      </c>
    </row>
    <row r="535" spans="1:12" x14ac:dyDescent="0.2">
      <c r="A535" s="2">
        <v>101404</v>
      </c>
      <c r="B535" s="18">
        <v>45396</v>
      </c>
      <c r="C535" s="2" t="s">
        <v>499</v>
      </c>
      <c r="D535" s="2" t="s">
        <v>95</v>
      </c>
      <c r="E535" s="2" t="s">
        <v>133</v>
      </c>
      <c r="F535" s="2" t="s">
        <v>96</v>
      </c>
      <c r="G535" s="2" t="s">
        <v>111</v>
      </c>
      <c r="H535" s="2">
        <v>4</v>
      </c>
      <c r="I535" s="2">
        <v>29957.43</v>
      </c>
      <c r="J535" s="2">
        <v>10</v>
      </c>
      <c r="K535" s="2" t="s">
        <v>66</v>
      </c>
      <c r="L535" s="2" t="s">
        <v>143</v>
      </c>
    </row>
    <row r="536" spans="1:12" x14ac:dyDescent="0.2">
      <c r="A536" s="2">
        <v>100856</v>
      </c>
      <c r="B536" s="2" t="s">
        <v>580</v>
      </c>
      <c r="C536" s="2" t="s">
        <v>389</v>
      </c>
      <c r="D536" s="2" t="s">
        <v>44</v>
      </c>
      <c r="E536" s="2" t="s">
        <v>32</v>
      </c>
      <c r="F536" s="2" t="s">
        <v>70</v>
      </c>
      <c r="G536" s="2" t="s">
        <v>153</v>
      </c>
      <c r="H536" s="2">
        <v>9</v>
      </c>
      <c r="I536" s="2">
        <v>40913.22</v>
      </c>
      <c r="J536" s="2">
        <v>0.15</v>
      </c>
      <c r="K536" s="2" t="s">
        <v>66</v>
      </c>
      <c r="L536" s="2" t="s">
        <v>42</v>
      </c>
    </row>
    <row r="537" spans="1:12" x14ac:dyDescent="0.2">
      <c r="A537" s="2">
        <v>101173</v>
      </c>
      <c r="B537" s="18">
        <v>45386</v>
      </c>
      <c r="C537" s="2" t="s">
        <v>581</v>
      </c>
      <c r="D537" s="2" t="s">
        <v>20</v>
      </c>
      <c r="E537" s="2" t="s">
        <v>21</v>
      </c>
      <c r="F537" s="2" t="s">
        <v>39</v>
      </c>
      <c r="G537" s="2" t="s">
        <v>40</v>
      </c>
      <c r="H537" s="2">
        <v>1</v>
      </c>
      <c r="I537" s="2" t="s">
        <v>582</v>
      </c>
      <c r="J537" s="2">
        <v>0.15</v>
      </c>
      <c r="K537" s="2" t="s">
        <v>29</v>
      </c>
      <c r="L537" s="2" t="s">
        <v>18</v>
      </c>
    </row>
    <row r="538" spans="1:12" x14ac:dyDescent="0.2">
      <c r="A538" s="2">
        <v>100749</v>
      </c>
      <c r="B538" s="18">
        <v>45491</v>
      </c>
      <c r="C538" s="2" t="s">
        <v>240</v>
      </c>
      <c r="D538" s="2" t="s">
        <v>44</v>
      </c>
      <c r="E538" s="2" t="s">
        <v>32</v>
      </c>
      <c r="F538" s="2" t="s">
        <v>96</v>
      </c>
      <c r="G538" s="2" t="s">
        <v>71</v>
      </c>
      <c r="H538" s="2">
        <v>9</v>
      </c>
      <c r="I538" s="2">
        <v>34406.86</v>
      </c>
      <c r="J538" s="2">
        <v>10</v>
      </c>
      <c r="K538" s="2" t="s">
        <v>83</v>
      </c>
      <c r="L538" s="2" t="s">
        <v>52</v>
      </c>
    </row>
    <row r="539" spans="1:12" x14ac:dyDescent="0.2">
      <c r="A539" s="2">
        <v>100769</v>
      </c>
      <c r="B539" s="17">
        <v>45543</v>
      </c>
      <c r="C539" s="2" t="s">
        <v>362</v>
      </c>
      <c r="D539" s="2" t="s">
        <v>85</v>
      </c>
      <c r="E539" s="2" t="s">
        <v>14</v>
      </c>
      <c r="F539" s="2" t="s">
        <v>15</v>
      </c>
      <c r="G539" s="2" t="s">
        <v>116</v>
      </c>
      <c r="H539" s="2">
        <v>7</v>
      </c>
      <c r="I539" s="2">
        <v>22365.02</v>
      </c>
      <c r="J539" s="2">
        <v>15</v>
      </c>
      <c r="K539" s="2" t="s">
        <v>66</v>
      </c>
      <c r="L539" s="2" t="s">
        <v>87</v>
      </c>
    </row>
    <row r="540" spans="1:12" x14ac:dyDescent="0.2">
      <c r="A540" s="2">
        <v>101909</v>
      </c>
      <c r="B540" s="18">
        <v>45497</v>
      </c>
      <c r="C540" s="2" t="s">
        <v>197</v>
      </c>
      <c r="D540" s="2" t="s">
        <v>140</v>
      </c>
      <c r="E540" s="2" t="s">
        <v>49</v>
      </c>
      <c r="F540" s="2" t="s">
        <v>102</v>
      </c>
      <c r="G540" s="2" t="s">
        <v>156</v>
      </c>
      <c r="H540" s="2">
        <v>8</v>
      </c>
      <c r="I540" s="2">
        <v>2702.67</v>
      </c>
      <c r="J540" s="2">
        <v>0.05</v>
      </c>
      <c r="K540" s="2" t="s">
        <v>41</v>
      </c>
      <c r="L540" s="2" t="s">
        <v>35</v>
      </c>
    </row>
    <row r="541" spans="1:12" x14ac:dyDescent="0.2">
      <c r="A541" s="2">
        <v>101330</v>
      </c>
      <c r="B541" s="18">
        <v>45351</v>
      </c>
      <c r="C541" s="2" t="s">
        <v>372</v>
      </c>
      <c r="D541" s="2" t="s">
        <v>58</v>
      </c>
      <c r="E541" s="2" t="s">
        <v>69</v>
      </c>
      <c r="F541" s="2" t="s">
        <v>223</v>
      </c>
      <c r="G541" s="2" t="s">
        <v>207</v>
      </c>
      <c r="H541" s="2">
        <v>9</v>
      </c>
      <c r="I541" s="2">
        <v>9552.25</v>
      </c>
      <c r="J541" s="2">
        <v>0.25</v>
      </c>
      <c r="K541" s="2" t="s">
        <v>83</v>
      </c>
      <c r="L541" s="2" t="s">
        <v>121</v>
      </c>
    </row>
    <row r="542" spans="1:12" x14ac:dyDescent="0.2">
      <c r="A542" s="2">
        <v>100563</v>
      </c>
      <c r="B542" s="17">
        <v>45312</v>
      </c>
      <c r="C542" s="2" t="s">
        <v>446</v>
      </c>
      <c r="D542" s="2" t="s">
        <v>109</v>
      </c>
      <c r="E542" s="2" t="s">
        <v>133</v>
      </c>
      <c r="F542" s="2" t="s">
        <v>50</v>
      </c>
      <c r="G542" s="2" t="s">
        <v>56</v>
      </c>
      <c r="H542" s="2">
        <v>5</v>
      </c>
      <c r="I542" s="2">
        <v>977.22</v>
      </c>
      <c r="J542" s="2">
        <v>0.25</v>
      </c>
      <c r="K542" s="2" t="s">
        <v>66</v>
      </c>
      <c r="L542" s="2" t="s">
        <v>18</v>
      </c>
    </row>
    <row r="543" spans="1:12" x14ac:dyDescent="0.2">
      <c r="A543" s="2">
        <v>101585</v>
      </c>
      <c r="B543" s="17">
        <v>45555</v>
      </c>
      <c r="C543" s="2" t="s">
        <v>583</v>
      </c>
      <c r="D543" s="2" t="s">
        <v>58</v>
      </c>
      <c r="E543" s="2" t="s">
        <v>69</v>
      </c>
      <c r="F543" s="2" t="s">
        <v>15</v>
      </c>
      <c r="G543" s="2" t="s">
        <v>152</v>
      </c>
      <c r="H543" s="2">
        <v>9</v>
      </c>
      <c r="I543" s="2">
        <v>7210.8</v>
      </c>
      <c r="J543" s="2"/>
      <c r="K543" s="2" t="s">
        <v>83</v>
      </c>
      <c r="L543" s="2" t="s">
        <v>35</v>
      </c>
    </row>
    <row r="544" spans="1:12" x14ac:dyDescent="0.2">
      <c r="A544" s="2">
        <v>100181</v>
      </c>
      <c r="B544" s="2" t="s">
        <v>584</v>
      </c>
      <c r="C544" s="2" t="s">
        <v>585</v>
      </c>
      <c r="D544" s="2" t="s">
        <v>160</v>
      </c>
      <c r="E544" s="2" t="s">
        <v>79</v>
      </c>
      <c r="F544" s="2" t="s">
        <v>33</v>
      </c>
      <c r="G544" s="2" t="s">
        <v>93</v>
      </c>
      <c r="H544" s="2">
        <v>-3</v>
      </c>
      <c r="I544" s="2">
        <v>290.70999999999998</v>
      </c>
      <c r="J544" s="2">
        <v>0.2</v>
      </c>
      <c r="K544" s="2" t="s">
        <v>41</v>
      </c>
      <c r="L544" s="2" t="s">
        <v>25</v>
      </c>
    </row>
    <row r="545" spans="1:12" x14ac:dyDescent="0.2">
      <c r="A545" s="2">
        <v>101844</v>
      </c>
      <c r="B545" s="18">
        <v>45620</v>
      </c>
      <c r="C545" s="2" t="s">
        <v>586</v>
      </c>
      <c r="D545" s="2" t="s">
        <v>92</v>
      </c>
      <c r="E545" s="2" t="s">
        <v>54</v>
      </c>
      <c r="F545" s="2" t="s">
        <v>22</v>
      </c>
      <c r="G545" s="2" t="s">
        <v>232</v>
      </c>
      <c r="H545" s="2">
        <v>5</v>
      </c>
      <c r="I545" s="2">
        <v>2721.59</v>
      </c>
      <c r="J545" s="2">
        <v>5</v>
      </c>
      <c r="K545" s="2" t="s">
        <v>17</v>
      </c>
      <c r="L545" s="2" t="s">
        <v>121</v>
      </c>
    </row>
    <row r="546" spans="1:12" x14ac:dyDescent="0.2">
      <c r="A546" s="2">
        <v>100708</v>
      </c>
      <c r="B546" s="18">
        <v>45650</v>
      </c>
      <c r="C546" s="2" t="s">
        <v>307</v>
      </c>
      <c r="D546" s="2" t="s">
        <v>131</v>
      </c>
      <c r="E546" s="2" t="s">
        <v>133</v>
      </c>
      <c r="F546" s="2" t="s">
        <v>64</v>
      </c>
      <c r="G546" s="2" t="s">
        <v>242</v>
      </c>
      <c r="H546" s="2">
        <v>3</v>
      </c>
      <c r="I546" s="2" t="s">
        <v>587</v>
      </c>
      <c r="J546" s="2">
        <v>0.15</v>
      </c>
      <c r="K546" s="2" t="s">
        <v>83</v>
      </c>
      <c r="L546" s="2" t="s">
        <v>18</v>
      </c>
    </row>
    <row r="547" spans="1:12" x14ac:dyDescent="0.2">
      <c r="A547" s="2">
        <v>100825</v>
      </c>
      <c r="B547" s="17">
        <v>45426</v>
      </c>
      <c r="C547" s="2" t="s">
        <v>588</v>
      </c>
      <c r="D547" s="2" t="s">
        <v>95</v>
      </c>
      <c r="E547" s="2" t="s">
        <v>21</v>
      </c>
      <c r="F547" s="2" t="s">
        <v>74</v>
      </c>
      <c r="G547" s="2" t="s">
        <v>145</v>
      </c>
      <c r="H547" s="2">
        <v>-1</v>
      </c>
      <c r="I547" s="2">
        <v>1984.24</v>
      </c>
      <c r="J547" s="2">
        <v>0.1</v>
      </c>
      <c r="K547" s="2" t="s">
        <v>17</v>
      </c>
      <c r="L547" s="2" t="s">
        <v>52</v>
      </c>
    </row>
    <row r="548" spans="1:12" x14ac:dyDescent="0.2">
      <c r="A548" s="2">
        <v>100377</v>
      </c>
      <c r="B548" s="2" t="s">
        <v>589</v>
      </c>
      <c r="C548" s="2" t="s">
        <v>590</v>
      </c>
      <c r="D548" s="2" t="s">
        <v>109</v>
      </c>
      <c r="E548" s="2" t="s">
        <v>133</v>
      </c>
      <c r="F548" s="2" t="s">
        <v>55</v>
      </c>
      <c r="G548" s="2" t="s">
        <v>56</v>
      </c>
      <c r="H548" s="2">
        <v>1</v>
      </c>
      <c r="I548" s="2"/>
      <c r="J548" s="2">
        <v>0</v>
      </c>
      <c r="K548" s="2" t="s">
        <v>41</v>
      </c>
      <c r="L548" s="2" t="s">
        <v>42</v>
      </c>
    </row>
    <row r="549" spans="1:12" x14ac:dyDescent="0.2">
      <c r="A549" s="2">
        <v>101346</v>
      </c>
      <c r="B549" s="2" t="s">
        <v>591</v>
      </c>
      <c r="C549" s="2" t="s">
        <v>592</v>
      </c>
      <c r="D549" s="2" t="s">
        <v>129</v>
      </c>
      <c r="E549" s="2" t="s">
        <v>79</v>
      </c>
      <c r="F549" s="2" t="s">
        <v>70</v>
      </c>
      <c r="G549" s="2" t="s">
        <v>153</v>
      </c>
      <c r="H549" s="2">
        <v>2</v>
      </c>
      <c r="I549" s="2">
        <v>37626.31</v>
      </c>
      <c r="J549" s="2">
        <v>0</v>
      </c>
      <c r="K549" s="2" t="s">
        <v>66</v>
      </c>
      <c r="L549" s="2" t="s">
        <v>87</v>
      </c>
    </row>
    <row r="550" spans="1:12" x14ac:dyDescent="0.2">
      <c r="A550" s="2">
        <v>100024</v>
      </c>
      <c r="B550" s="2" t="s">
        <v>593</v>
      </c>
      <c r="C550" s="2" t="s">
        <v>594</v>
      </c>
      <c r="D550" s="2" t="s">
        <v>89</v>
      </c>
      <c r="E550" s="2" t="s">
        <v>54</v>
      </c>
      <c r="F550" s="2" t="s">
        <v>28</v>
      </c>
      <c r="G550" s="2" t="s">
        <v>116</v>
      </c>
      <c r="H550" s="2">
        <v>5</v>
      </c>
      <c r="I550" s="2">
        <v>12351.6</v>
      </c>
      <c r="J550" s="2"/>
      <c r="K550" s="2" t="s">
        <v>17</v>
      </c>
      <c r="L550" s="2" t="s">
        <v>121</v>
      </c>
    </row>
    <row r="551" spans="1:12" x14ac:dyDescent="0.2">
      <c r="A551" s="2">
        <v>100347</v>
      </c>
      <c r="B551" s="17">
        <v>45602</v>
      </c>
      <c r="C551" s="2" t="s">
        <v>499</v>
      </c>
      <c r="D551" s="2" t="s">
        <v>58</v>
      </c>
      <c r="E551" s="2" t="s">
        <v>69</v>
      </c>
      <c r="F551" s="2" t="s">
        <v>223</v>
      </c>
      <c r="G551" s="2" t="s">
        <v>62</v>
      </c>
      <c r="H551" s="2">
        <v>5</v>
      </c>
      <c r="I551" s="2">
        <v>9777.2800000000007</v>
      </c>
      <c r="J551" s="2">
        <v>25</v>
      </c>
      <c r="K551" s="2" t="s">
        <v>17</v>
      </c>
      <c r="L551" s="2" t="s">
        <v>42</v>
      </c>
    </row>
    <row r="552" spans="1:12" x14ac:dyDescent="0.2">
      <c r="A552" s="2">
        <v>101664</v>
      </c>
      <c r="B552" s="17">
        <v>45409</v>
      </c>
      <c r="C552" s="2" t="s">
        <v>322</v>
      </c>
      <c r="D552" s="2" t="s">
        <v>101</v>
      </c>
      <c r="E552" s="2" t="s">
        <v>69</v>
      </c>
      <c r="F552" s="2" t="s">
        <v>28</v>
      </c>
      <c r="G552" s="2" t="s">
        <v>205</v>
      </c>
      <c r="H552" s="2">
        <v>8</v>
      </c>
      <c r="I552" s="2">
        <v>12174.13</v>
      </c>
      <c r="J552" s="2">
        <v>0.05</v>
      </c>
      <c r="K552" s="2" t="s">
        <v>17</v>
      </c>
      <c r="L552" s="2" t="s">
        <v>25</v>
      </c>
    </row>
    <row r="553" spans="1:12" x14ac:dyDescent="0.2">
      <c r="A553" s="2">
        <v>101420</v>
      </c>
      <c r="B553" s="2" t="s">
        <v>595</v>
      </c>
      <c r="C553" s="2" t="s">
        <v>352</v>
      </c>
      <c r="D553" s="2" t="s">
        <v>73</v>
      </c>
      <c r="E553" s="2" t="s">
        <v>79</v>
      </c>
      <c r="F553" s="2" t="s">
        <v>96</v>
      </c>
      <c r="G553" s="2" t="s">
        <v>111</v>
      </c>
      <c r="H553" s="2">
        <v>4</v>
      </c>
      <c r="I553" s="2">
        <v>36350.58</v>
      </c>
      <c r="J553" s="2">
        <v>0.15</v>
      </c>
      <c r="K553" s="2" t="s">
        <v>17</v>
      </c>
      <c r="L553" s="2" t="s">
        <v>42</v>
      </c>
    </row>
    <row r="554" spans="1:12" x14ac:dyDescent="0.2">
      <c r="A554" s="2">
        <v>101744</v>
      </c>
      <c r="B554" s="17">
        <v>45330</v>
      </c>
      <c r="C554" s="2" t="s">
        <v>125</v>
      </c>
      <c r="D554" s="2" t="s">
        <v>58</v>
      </c>
      <c r="E554" s="2" t="s">
        <v>38</v>
      </c>
      <c r="F554" s="2" t="s">
        <v>124</v>
      </c>
      <c r="G554" s="2" t="s">
        <v>51</v>
      </c>
      <c r="H554" s="2">
        <v>11</v>
      </c>
      <c r="I554" s="2">
        <v>4846.7700000000004</v>
      </c>
      <c r="J554" s="2">
        <v>0</v>
      </c>
      <c r="K554" s="2" t="s">
        <v>24</v>
      </c>
      <c r="L554" s="2" t="s">
        <v>143</v>
      </c>
    </row>
    <row r="555" spans="1:12" x14ac:dyDescent="0.2">
      <c r="A555" s="2">
        <v>100009</v>
      </c>
      <c r="B555" s="17">
        <v>45461</v>
      </c>
      <c r="C555" s="2" t="s">
        <v>225</v>
      </c>
      <c r="D555" s="2" t="s">
        <v>89</v>
      </c>
      <c r="E555" s="2" t="s">
        <v>32</v>
      </c>
      <c r="F555" s="2" t="s">
        <v>15</v>
      </c>
      <c r="G555" s="2" t="s">
        <v>152</v>
      </c>
      <c r="H555" s="2">
        <v>-3</v>
      </c>
      <c r="I555" s="2">
        <v>9775.9699999999993</v>
      </c>
      <c r="J555" s="2"/>
      <c r="K555" s="2" t="s">
        <v>66</v>
      </c>
      <c r="L555" s="2" t="s">
        <v>121</v>
      </c>
    </row>
    <row r="556" spans="1:12" x14ac:dyDescent="0.2">
      <c r="A556" s="2">
        <v>100229</v>
      </c>
      <c r="B556" s="17">
        <v>45457</v>
      </c>
      <c r="C556" s="2" t="s">
        <v>596</v>
      </c>
      <c r="D556" s="2" t="s">
        <v>27</v>
      </c>
      <c r="E556" s="2" t="s">
        <v>133</v>
      </c>
      <c r="F556" s="2" t="s">
        <v>124</v>
      </c>
      <c r="G556" s="2" t="s">
        <v>99</v>
      </c>
      <c r="H556" s="2">
        <v>7</v>
      </c>
      <c r="I556" s="2">
        <v>8903.14</v>
      </c>
      <c r="J556" s="2">
        <v>0</v>
      </c>
      <c r="K556" s="2" t="s">
        <v>41</v>
      </c>
      <c r="L556" s="2" t="s">
        <v>143</v>
      </c>
    </row>
    <row r="557" spans="1:12" x14ac:dyDescent="0.2">
      <c r="A557" s="2">
        <v>100490</v>
      </c>
      <c r="B557" s="2" t="s">
        <v>597</v>
      </c>
      <c r="C557" s="2" t="s">
        <v>598</v>
      </c>
      <c r="D557" s="2" t="s">
        <v>37</v>
      </c>
      <c r="E557" s="2" t="s">
        <v>38</v>
      </c>
      <c r="F557" s="2" t="s">
        <v>33</v>
      </c>
      <c r="G557" s="2" t="s">
        <v>81</v>
      </c>
      <c r="H557" s="2">
        <v>4</v>
      </c>
      <c r="I557" s="2">
        <v>582.64</v>
      </c>
      <c r="J557" s="2">
        <v>0</v>
      </c>
      <c r="K557" s="2" t="s">
        <v>41</v>
      </c>
      <c r="L557" s="2" t="s">
        <v>87</v>
      </c>
    </row>
    <row r="558" spans="1:12" x14ac:dyDescent="0.2">
      <c r="A558" s="2">
        <v>100214</v>
      </c>
      <c r="B558" s="18">
        <v>45412</v>
      </c>
      <c r="C558" s="2" t="s">
        <v>599</v>
      </c>
      <c r="D558" s="2" t="s">
        <v>89</v>
      </c>
      <c r="E558" s="2" t="s">
        <v>32</v>
      </c>
      <c r="F558" s="2" t="s">
        <v>39</v>
      </c>
      <c r="G558" s="2" t="s">
        <v>165</v>
      </c>
      <c r="H558" s="2">
        <v>10</v>
      </c>
      <c r="I558" s="2">
        <v>360.32</v>
      </c>
      <c r="J558" s="2">
        <v>0.05</v>
      </c>
      <c r="K558" s="2" t="s">
        <v>29</v>
      </c>
      <c r="L558" s="2" t="s">
        <v>121</v>
      </c>
    </row>
    <row r="559" spans="1:12" x14ac:dyDescent="0.2">
      <c r="A559" s="2"/>
      <c r="B559" s="2"/>
      <c r="C559" s="2"/>
      <c r="D559" s="2"/>
      <c r="E559" s="2"/>
      <c r="F559" s="2"/>
      <c r="G559" s="2"/>
      <c r="H559" s="2"/>
      <c r="I559" s="2"/>
      <c r="J559" s="2"/>
      <c r="K559" s="2"/>
      <c r="L559" s="2"/>
    </row>
    <row r="560" spans="1:12" x14ac:dyDescent="0.2">
      <c r="A560" s="2">
        <v>101345</v>
      </c>
      <c r="B560" s="18">
        <v>45615</v>
      </c>
      <c r="C560" s="2" t="s">
        <v>545</v>
      </c>
      <c r="D560" s="2" t="s">
        <v>131</v>
      </c>
      <c r="E560" s="2" t="s">
        <v>133</v>
      </c>
      <c r="F560" s="2" t="s">
        <v>50</v>
      </c>
      <c r="G560" s="2" t="s">
        <v>99</v>
      </c>
      <c r="H560" s="2">
        <v>10</v>
      </c>
      <c r="I560" s="2">
        <v>7286.38</v>
      </c>
      <c r="J560" s="2">
        <v>0</v>
      </c>
      <c r="K560" s="2" t="s">
        <v>17</v>
      </c>
      <c r="L560" s="2" t="s">
        <v>35</v>
      </c>
    </row>
    <row r="561" spans="1:12" x14ac:dyDescent="0.2">
      <c r="A561" s="2">
        <v>100450</v>
      </c>
      <c r="B561" s="18">
        <v>45617</v>
      </c>
      <c r="C561" s="2" t="s">
        <v>449</v>
      </c>
      <c r="D561" s="2" t="s">
        <v>48</v>
      </c>
      <c r="E561" s="2" t="s">
        <v>49</v>
      </c>
      <c r="F561" s="2" t="s">
        <v>80</v>
      </c>
      <c r="G561" s="2" t="s">
        <v>158</v>
      </c>
      <c r="H561" s="2">
        <v>7</v>
      </c>
      <c r="I561" s="2">
        <v>81.55</v>
      </c>
      <c r="J561" s="2">
        <v>0.25</v>
      </c>
      <c r="K561" s="2" t="s">
        <v>66</v>
      </c>
      <c r="L561" s="2" t="s">
        <v>35</v>
      </c>
    </row>
    <row r="562" spans="1:12" x14ac:dyDescent="0.2">
      <c r="A562" s="2">
        <v>101207</v>
      </c>
      <c r="B562" s="2" t="s">
        <v>600</v>
      </c>
      <c r="C562" s="2"/>
      <c r="D562" s="2" t="s">
        <v>61</v>
      </c>
      <c r="E562" s="2" t="s">
        <v>119</v>
      </c>
      <c r="F562" s="2" t="s">
        <v>28</v>
      </c>
      <c r="G562" s="2" t="s">
        <v>116</v>
      </c>
      <c r="H562" s="2">
        <v>10</v>
      </c>
      <c r="I562" s="2">
        <v>13957.99</v>
      </c>
      <c r="J562" s="2">
        <v>0.1</v>
      </c>
      <c r="K562" s="2" t="s">
        <v>66</v>
      </c>
      <c r="L562" s="2" t="s">
        <v>42</v>
      </c>
    </row>
    <row r="563" spans="1:12" x14ac:dyDescent="0.2">
      <c r="A563" s="2">
        <v>100016</v>
      </c>
      <c r="B563" s="2" t="s">
        <v>203</v>
      </c>
      <c r="C563" s="2" t="s">
        <v>601</v>
      </c>
      <c r="D563" s="2" t="s">
        <v>175</v>
      </c>
      <c r="E563" s="2" t="s">
        <v>69</v>
      </c>
      <c r="F563" s="2" t="s">
        <v>155</v>
      </c>
      <c r="G563" s="2" t="s">
        <v>135</v>
      </c>
      <c r="H563" s="2">
        <v>7</v>
      </c>
      <c r="I563" s="2">
        <v>4121.3500000000004</v>
      </c>
      <c r="J563" s="2">
        <v>0.15</v>
      </c>
      <c r="K563" s="2" t="s">
        <v>41</v>
      </c>
      <c r="L563" s="2" t="s">
        <v>87</v>
      </c>
    </row>
    <row r="564" spans="1:12" x14ac:dyDescent="0.2">
      <c r="A564" s="2">
        <v>101497</v>
      </c>
      <c r="B564" s="18">
        <v>45654</v>
      </c>
      <c r="C564" s="2" t="s">
        <v>144</v>
      </c>
      <c r="D564" s="2" t="s">
        <v>44</v>
      </c>
      <c r="E564" s="2" t="s">
        <v>32</v>
      </c>
      <c r="F564" s="2" t="s">
        <v>80</v>
      </c>
      <c r="G564" s="2" t="s">
        <v>158</v>
      </c>
      <c r="H564" s="2">
        <v>11</v>
      </c>
      <c r="I564" s="2">
        <v>220.96</v>
      </c>
      <c r="J564" s="2">
        <v>0.25</v>
      </c>
      <c r="K564" s="2" t="s">
        <v>41</v>
      </c>
      <c r="L564" s="2" t="s">
        <v>143</v>
      </c>
    </row>
    <row r="565" spans="1:12" x14ac:dyDescent="0.2">
      <c r="A565" s="2">
        <v>101803</v>
      </c>
      <c r="B565" s="18">
        <v>45379</v>
      </c>
      <c r="C565" s="2"/>
      <c r="D565" s="2" t="s">
        <v>131</v>
      </c>
      <c r="E565" s="2" t="s">
        <v>21</v>
      </c>
      <c r="F565" s="2" t="s">
        <v>74</v>
      </c>
      <c r="G565" s="2" t="s">
        <v>141</v>
      </c>
      <c r="H565" s="2">
        <v>2</v>
      </c>
      <c r="I565" s="2" t="s">
        <v>602</v>
      </c>
      <c r="J565" s="2">
        <v>0</v>
      </c>
      <c r="K565" s="2" t="s">
        <v>29</v>
      </c>
      <c r="L565" s="2" t="s">
        <v>143</v>
      </c>
    </row>
    <row r="566" spans="1:12" x14ac:dyDescent="0.2">
      <c r="A566" s="2">
        <v>100670</v>
      </c>
      <c r="B566" s="17">
        <v>45513</v>
      </c>
      <c r="C566" s="2" t="s">
        <v>603</v>
      </c>
      <c r="D566" s="2" t="s">
        <v>101</v>
      </c>
      <c r="E566" s="2" t="s">
        <v>38</v>
      </c>
      <c r="F566" s="2" t="s">
        <v>120</v>
      </c>
      <c r="G566" s="2" t="s">
        <v>141</v>
      </c>
      <c r="H566" s="2">
        <v>6</v>
      </c>
      <c r="I566" s="2">
        <v>1661.71</v>
      </c>
      <c r="J566" s="2">
        <v>0.25</v>
      </c>
      <c r="K566" s="2" t="s">
        <v>83</v>
      </c>
      <c r="L566" s="2" t="s">
        <v>35</v>
      </c>
    </row>
    <row r="567" spans="1:12" x14ac:dyDescent="0.2">
      <c r="A567" s="2">
        <v>101324</v>
      </c>
      <c r="B567" s="2" t="s">
        <v>604</v>
      </c>
      <c r="C567" s="2" t="s">
        <v>460</v>
      </c>
      <c r="D567" s="2" t="s">
        <v>31</v>
      </c>
      <c r="E567" s="2" t="s">
        <v>54</v>
      </c>
      <c r="F567" s="2" t="s">
        <v>22</v>
      </c>
      <c r="G567" s="2" t="s">
        <v>23</v>
      </c>
      <c r="H567" s="2">
        <v>4</v>
      </c>
      <c r="I567" s="2">
        <v>3378.25</v>
      </c>
      <c r="J567" s="2">
        <v>0</v>
      </c>
      <c r="K567" s="2" t="s">
        <v>66</v>
      </c>
      <c r="L567" s="2" t="s">
        <v>143</v>
      </c>
    </row>
    <row r="568" spans="1:12" x14ac:dyDescent="0.2">
      <c r="A568" s="2">
        <v>101422</v>
      </c>
      <c r="B568" s="17">
        <v>45367</v>
      </c>
      <c r="C568" s="2" t="s">
        <v>605</v>
      </c>
      <c r="D568" s="2" t="s">
        <v>44</v>
      </c>
      <c r="E568" s="2" t="s">
        <v>54</v>
      </c>
      <c r="F568" s="2" t="s">
        <v>223</v>
      </c>
      <c r="G568" s="2" t="s">
        <v>51</v>
      </c>
      <c r="H568" s="2">
        <v>3</v>
      </c>
      <c r="I568" s="2">
        <v>3942.45</v>
      </c>
      <c r="J568" s="2">
        <v>0</v>
      </c>
      <c r="K568" s="2" t="s">
        <v>24</v>
      </c>
      <c r="L568" s="2" t="s">
        <v>25</v>
      </c>
    </row>
    <row r="569" spans="1:12" x14ac:dyDescent="0.2">
      <c r="A569" s="2">
        <v>101617</v>
      </c>
      <c r="B569" s="2" t="s">
        <v>606</v>
      </c>
      <c r="C569" s="2" t="s">
        <v>607</v>
      </c>
      <c r="D569" s="2" t="s">
        <v>109</v>
      </c>
      <c r="E569" s="2" t="s">
        <v>21</v>
      </c>
      <c r="F569" s="2" t="s">
        <v>74</v>
      </c>
      <c r="G569" s="2" t="s">
        <v>141</v>
      </c>
      <c r="H569" s="2">
        <v>3</v>
      </c>
      <c r="I569" s="2"/>
      <c r="J569" s="2">
        <v>0.15</v>
      </c>
      <c r="K569" s="2" t="s">
        <v>41</v>
      </c>
      <c r="L569" s="2" t="s">
        <v>35</v>
      </c>
    </row>
    <row r="570" spans="1:12" x14ac:dyDescent="0.2">
      <c r="A570" s="2">
        <v>100547</v>
      </c>
      <c r="B570" s="17">
        <v>45642</v>
      </c>
      <c r="C570" s="2" t="s">
        <v>560</v>
      </c>
      <c r="D570" s="2" t="s">
        <v>101</v>
      </c>
      <c r="E570" s="2" t="s">
        <v>69</v>
      </c>
      <c r="F570" s="2" t="s">
        <v>106</v>
      </c>
      <c r="G570" s="2" t="s">
        <v>156</v>
      </c>
      <c r="H570" s="2">
        <v>12</v>
      </c>
      <c r="I570" s="2">
        <v>4321.4399999999996</v>
      </c>
      <c r="J570" s="2">
        <v>0.25</v>
      </c>
      <c r="K570" s="2" t="s">
        <v>83</v>
      </c>
      <c r="L570" s="2" t="s">
        <v>35</v>
      </c>
    </row>
    <row r="571" spans="1:12" x14ac:dyDescent="0.2">
      <c r="A571" s="2">
        <v>101962</v>
      </c>
      <c r="B571" s="17">
        <v>45319</v>
      </c>
      <c r="C571" s="2"/>
      <c r="D571" s="2" t="s">
        <v>20</v>
      </c>
      <c r="E571" s="2" t="s">
        <v>21</v>
      </c>
      <c r="F571" s="2" t="s">
        <v>22</v>
      </c>
      <c r="G571" s="2" t="s">
        <v>23</v>
      </c>
      <c r="H571" s="2">
        <v>7</v>
      </c>
      <c r="I571" s="2" t="s">
        <v>608</v>
      </c>
      <c r="J571" s="2">
        <v>0.25</v>
      </c>
      <c r="K571" s="2" t="s">
        <v>17</v>
      </c>
      <c r="L571" s="2" t="s">
        <v>52</v>
      </c>
    </row>
    <row r="572" spans="1:12" x14ac:dyDescent="0.2">
      <c r="A572" s="2">
        <v>101595</v>
      </c>
      <c r="B572" s="2" t="s">
        <v>67</v>
      </c>
      <c r="C572" s="2" t="s">
        <v>609</v>
      </c>
      <c r="D572" s="2" t="s">
        <v>181</v>
      </c>
      <c r="E572" s="2" t="s">
        <v>119</v>
      </c>
      <c r="F572" s="2" t="s">
        <v>39</v>
      </c>
      <c r="G572" s="2" t="s">
        <v>114</v>
      </c>
      <c r="H572" s="2">
        <v>3</v>
      </c>
      <c r="I572" s="2">
        <v>321.33</v>
      </c>
      <c r="J572" s="2">
        <v>0.2</v>
      </c>
      <c r="K572" s="2" t="s">
        <v>17</v>
      </c>
      <c r="L572" s="2" t="s">
        <v>42</v>
      </c>
    </row>
    <row r="573" spans="1:12" x14ac:dyDescent="0.2">
      <c r="A573" s="2">
        <v>100355</v>
      </c>
      <c r="B573" s="2" t="s">
        <v>186</v>
      </c>
      <c r="C573" s="2" t="s">
        <v>422</v>
      </c>
      <c r="D573" s="2" t="s">
        <v>13</v>
      </c>
      <c r="E573" s="2" t="s">
        <v>14</v>
      </c>
      <c r="F573" s="2" t="s">
        <v>74</v>
      </c>
      <c r="G573" s="2" t="s">
        <v>145</v>
      </c>
      <c r="H573" s="2">
        <v>4</v>
      </c>
      <c r="I573" s="2">
        <v>2484.54</v>
      </c>
      <c r="J573" s="2">
        <v>0.05</v>
      </c>
      <c r="K573" s="2" t="s">
        <v>41</v>
      </c>
      <c r="L573" s="2" t="s">
        <v>25</v>
      </c>
    </row>
    <row r="574" spans="1:12" x14ac:dyDescent="0.2">
      <c r="A574" s="2">
        <v>101721</v>
      </c>
      <c r="B574" s="18">
        <v>45341</v>
      </c>
      <c r="C574" s="2" t="s">
        <v>373</v>
      </c>
      <c r="D574" s="2" t="s">
        <v>140</v>
      </c>
      <c r="E574" s="2" t="s">
        <v>49</v>
      </c>
      <c r="F574" s="2" t="s">
        <v>39</v>
      </c>
      <c r="G574" s="2" t="s">
        <v>114</v>
      </c>
      <c r="H574" s="2">
        <v>12</v>
      </c>
      <c r="I574" s="2">
        <v>146</v>
      </c>
      <c r="J574" s="2">
        <v>0</v>
      </c>
      <c r="K574" s="2" t="s">
        <v>17</v>
      </c>
      <c r="L574" s="2" t="s">
        <v>25</v>
      </c>
    </row>
    <row r="575" spans="1:12" x14ac:dyDescent="0.2">
      <c r="A575" s="2">
        <v>100208</v>
      </c>
      <c r="B575" s="18">
        <v>45407</v>
      </c>
      <c r="C575" s="2" t="s">
        <v>610</v>
      </c>
      <c r="D575" s="2" t="s">
        <v>58</v>
      </c>
      <c r="E575" s="2" t="s">
        <v>69</v>
      </c>
      <c r="F575" s="2" t="s">
        <v>106</v>
      </c>
      <c r="G575" s="2" t="s">
        <v>137</v>
      </c>
      <c r="H575" s="2">
        <v>2</v>
      </c>
      <c r="I575" s="2" t="s">
        <v>611</v>
      </c>
      <c r="J575" s="2">
        <v>0.15</v>
      </c>
      <c r="K575" s="2" t="s">
        <v>83</v>
      </c>
      <c r="L575" s="2" t="s">
        <v>121</v>
      </c>
    </row>
    <row r="576" spans="1:12" x14ac:dyDescent="0.2">
      <c r="A576" s="2">
        <v>100604</v>
      </c>
      <c r="B576" s="18">
        <v>45656</v>
      </c>
      <c r="C576" s="2" t="s">
        <v>612</v>
      </c>
      <c r="D576" s="2" t="s">
        <v>89</v>
      </c>
      <c r="E576" s="2" t="s">
        <v>32</v>
      </c>
      <c r="F576" s="2" t="s">
        <v>80</v>
      </c>
      <c r="G576" s="2" t="s">
        <v>81</v>
      </c>
      <c r="H576" s="2">
        <v>9</v>
      </c>
      <c r="I576" s="2">
        <v>65.98</v>
      </c>
      <c r="J576" s="2">
        <v>0.25</v>
      </c>
      <c r="K576" s="2" t="s">
        <v>41</v>
      </c>
      <c r="L576" s="2" t="s">
        <v>121</v>
      </c>
    </row>
    <row r="577" spans="1:12" x14ac:dyDescent="0.2">
      <c r="A577" s="2">
        <v>100755</v>
      </c>
      <c r="B577" s="18">
        <v>45619</v>
      </c>
      <c r="C577" s="2" t="s">
        <v>331</v>
      </c>
      <c r="D577" s="2" t="s">
        <v>37</v>
      </c>
      <c r="E577" s="2" t="s">
        <v>69</v>
      </c>
      <c r="F577" s="2" t="s">
        <v>96</v>
      </c>
      <c r="G577" s="2" t="s">
        <v>71</v>
      </c>
      <c r="H577" s="2">
        <v>1</v>
      </c>
      <c r="I577" s="2">
        <v>17503.86</v>
      </c>
      <c r="J577" s="2">
        <v>0</v>
      </c>
      <c r="K577" s="2" t="s">
        <v>24</v>
      </c>
      <c r="L577" s="2" t="s">
        <v>35</v>
      </c>
    </row>
    <row r="578" spans="1:12" x14ac:dyDescent="0.2">
      <c r="A578" s="2">
        <v>101539</v>
      </c>
      <c r="B578" s="18">
        <v>45560</v>
      </c>
      <c r="C578" s="2" t="s">
        <v>243</v>
      </c>
      <c r="D578" s="2" t="s">
        <v>140</v>
      </c>
      <c r="E578" s="2" t="s">
        <v>79</v>
      </c>
      <c r="F578" s="2" t="s">
        <v>223</v>
      </c>
      <c r="G578" s="2" t="s">
        <v>56</v>
      </c>
      <c r="H578" s="2">
        <v>12</v>
      </c>
      <c r="I578" s="2">
        <v>4168.87</v>
      </c>
      <c r="J578" s="2">
        <v>0.2</v>
      </c>
      <c r="K578" s="2" t="s">
        <v>29</v>
      </c>
      <c r="L578" s="2" t="s">
        <v>121</v>
      </c>
    </row>
    <row r="579" spans="1:12" x14ac:dyDescent="0.2">
      <c r="A579" s="2">
        <v>100417</v>
      </c>
      <c r="B579" s="17">
        <v>45586</v>
      </c>
      <c r="C579" s="2" t="s">
        <v>613</v>
      </c>
      <c r="D579" s="2" t="s">
        <v>58</v>
      </c>
      <c r="E579" s="2" t="s">
        <v>38</v>
      </c>
      <c r="F579" s="2" t="s">
        <v>106</v>
      </c>
      <c r="G579" s="2" t="s">
        <v>103</v>
      </c>
      <c r="H579" s="2">
        <v>4</v>
      </c>
      <c r="I579" s="2">
        <v>3283.82</v>
      </c>
      <c r="J579" s="2">
        <v>0</v>
      </c>
      <c r="K579" s="2" t="s">
        <v>29</v>
      </c>
      <c r="L579" s="2" t="s">
        <v>121</v>
      </c>
    </row>
    <row r="580" spans="1:12" x14ac:dyDescent="0.2">
      <c r="A580" s="2">
        <v>101447</v>
      </c>
      <c r="B580" s="17">
        <v>45416</v>
      </c>
      <c r="C580" s="2" t="s">
        <v>614</v>
      </c>
      <c r="D580" s="2" t="s">
        <v>44</v>
      </c>
      <c r="E580" s="2" t="s">
        <v>32</v>
      </c>
      <c r="F580" s="2" t="s">
        <v>33</v>
      </c>
      <c r="G580" s="2" t="s">
        <v>81</v>
      </c>
      <c r="H580" s="2">
        <v>2</v>
      </c>
      <c r="I580" s="2">
        <v>244.82</v>
      </c>
      <c r="J580" s="2">
        <v>0.1</v>
      </c>
      <c r="K580" s="2" t="s">
        <v>41</v>
      </c>
      <c r="L580" s="2" t="s">
        <v>18</v>
      </c>
    </row>
    <row r="581" spans="1:12" x14ac:dyDescent="0.2">
      <c r="A581" s="2">
        <v>101409</v>
      </c>
      <c r="B581" s="18">
        <v>45652</v>
      </c>
      <c r="C581" s="2" t="s">
        <v>615</v>
      </c>
      <c r="D581" s="2" t="s">
        <v>85</v>
      </c>
      <c r="E581" s="2" t="s">
        <v>119</v>
      </c>
      <c r="F581" s="2" t="s">
        <v>50</v>
      </c>
      <c r="G581" s="2" t="s">
        <v>207</v>
      </c>
      <c r="H581" s="2">
        <v>6</v>
      </c>
      <c r="I581" s="2">
        <v>2185.5100000000002</v>
      </c>
      <c r="J581" s="2">
        <v>0</v>
      </c>
      <c r="K581" s="2" t="s">
        <v>41</v>
      </c>
      <c r="L581" s="2" t="s">
        <v>35</v>
      </c>
    </row>
    <row r="582" spans="1:12" x14ac:dyDescent="0.2">
      <c r="A582" s="2">
        <v>101190</v>
      </c>
      <c r="B582" s="18">
        <v>45522</v>
      </c>
      <c r="C582" s="2" t="s">
        <v>616</v>
      </c>
      <c r="D582" s="2" t="s">
        <v>44</v>
      </c>
      <c r="E582" s="2" t="s">
        <v>54</v>
      </c>
      <c r="F582" s="2" t="s">
        <v>106</v>
      </c>
      <c r="G582" s="2" t="s">
        <v>156</v>
      </c>
      <c r="H582" s="2">
        <v>7</v>
      </c>
      <c r="I582" s="2">
        <v>668.25</v>
      </c>
      <c r="J582" s="2">
        <v>0.1</v>
      </c>
      <c r="K582" s="2" t="s">
        <v>41</v>
      </c>
      <c r="L582" s="2" t="s">
        <v>121</v>
      </c>
    </row>
    <row r="583" spans="1:12" x14ac:dyDescent="0.2">
      <c r="A583" s="2">
        <v>100716</v>
      </c>
      <c r="B583" s="18">
        <v>45432</v>
      </c>
      <c r="C583" s="2" t="s">
        <v>617</v>
      </c>
      <c r="D583" s="2" t="s">
        <v>131</v>
      </c>
      <c r="E583" s="2" t="s">
        <v>133</v>
      </c>
      <c r="F583" s="2" t="s">
        <v>113</v>
      </c>
      <c r="G583" s="2" t="s">
        <v>114</v>
      </c>
      <c r="H583" s="2"/>
      <c r="I583" s="2" t="s">
        <v>618</v>
      </c>
      <c r="J583" s="2">
        <v>0</v>
      </c>
      <c r="K583" s="2" t="s">
        <v>29</v>
      </c>
      <c r="L583" s="2" t="s">
        <v>52</v>
      </c>
    </row>
    <row r="584" spans="1:12" x14ac:dyDescent="0.2">
      <c r="A584" s="2">
        <v>100443</v>
      </c>
      <c r="B584" s="17">
        <v>45644</v>
      </c>
      <c r="C584" s="2" t="s">
        <v>72</v>
      </c>
      <c r="D584" s="2" t="s">
        <v>129</v>
      </c>
      <c r="E584" s="2" t="s">
        <v>79</v>
      </c>
      <c r="F584" s="2" t="s">
        <v>80</v>
      </c>
      <c r="G584" s="2" t="s">
        <v>158</v>
      </c>
      <c r="H584" s="2">
        <v>11</v>
      </c>
      <c r="I584" s="2" t="s">
        <v>466</v>
      </c>
      <c r="J584" s="2">
        <v>0</v>
      </c>
      <c r="K584" s="2" t="s">
        <v>66</v>
      </c>
      <c r="L584" s="2" t="s">
        <v>42</v>
      </c>
    </row>
    <row r="585" spans="1:12" x14ac:dyDescent="0.2">
      <c r="A585" s="2">
        <v>101115</v>
      </c>
      <c r="B585" s="17">
        <v>45360</v>
      </c>
      <c r="C585" s="2"/>
      <c r="D585" s="2" t="s">
        <v>61</v>
      </c>
      <c r="E585" s="2" t="s">
        <v>14</v>
      </c>
      <c r="F585" s="2" t="s">
        <v>33</v>
      </c>
      <c r="G585" s="2" t="s">
        <v>34</v>
      </c>
      <c r="H585" s="2">
        <v>9</v>
      </c>
      <c r="I585" s="2">
        <v>118.17</v>
      </c>
      <c r="J585" s="2">
        <v>0</v>
      </c>
      <c r="K585" s="2" t="s">
        <v>29</v>
      </c>
      <c r="L585" s="2" t="s">
        <v>143</v>
      </c>
    </row>
    <row r="586" spans="1:12" x14ac:dyDescent="0.2">
      <c r="A586" s="2">
        <v>101538</v>
      </c>
      <c r="B586" s="17">
        <v>45589</v>
      </c>
      <c r="C586" s="2" t="s">
        <v>619</v>
      </c>
      <c r="D586" s="2" t="s">
        <v>101</v>
      </c>
      <c r="E586" s="2" t="s">
        <v>38</v>
      </c>
      <c r="F586" s="2" t="s">
        <v>15</v>
      </c>
      <c r="G586" s="2" t="s">
        <v>16</v>
      </c>
      <c r="H586" s="2">
        <v>2</v>
      </c>
      <c r="I586" s="2">
        <v>20301.02</v>
      </c>
      <c r="J586" s="2">
        <v>0.05</v>
      </c>
      <c r="K586" s="2" t="s">
        <v>41</v>
      </c>
      <c r="L586" s="2" t="s">
        <v>87</v>
      </c>
    </row>
    <row r="587" spans="1:12" x14ac:dyDescent="0.2">
      <c r="A587" s="2">
        <v>100537</v>
      </c>
      <c r="B587" s="17">
        <v>45430</v>
      </c>
      <c r="C587" s="2" t="s">
        <v>370</v>
      </c>
      <c r="D587" s="2" t="s">
        <v>31</v>
      </c>
      <c r="E587" s="2" t="s">
        <v>32</v>
      </c>
      <c r="F587" s="2" t="s">
        <v>74</v>
      </c>
      <c r="G587" s="2" t="s">
        <v>23</v>
      </c>
      <c r="H587" s="2">
        <v>5</v>
      </c>
      <c r="I587" s="2">
        <v>1113.02</v>
      </c>
      <c r="J587" s="2">
        <v>0.2</v>
      </c>
      <c r="K587" s="2" t="s">
        <v>29</v>
      </c>
      <c r="L587" s="2" t="s">
        <v>25</v>
      </c>
    </row>
    <row r="588" spans="1:12" x14ac:dyDescent="0.2">
      <c r="A588" s="2">
        <v>100349</v>
      </c>
      <c r="B588" s="18">
        <v>45313</v>
      </c>
      <c r="C588" s="2" t="s">
        <v>620</v>
      </c>
      <c r="D588" s="2" t="s">
        <v>131</v>
      </c>
      <c r="E588" s="2" t="s">
        <v>21</v>
      </c>
      <c r="F588" s="2" t="s">
        <v>33</v>
      </c>
      <c r="G588" s="2" t="s">
        <v>93</v>
      </c>
      <c r="H588" s="2">
        <v>2</v>
      </c>
      <c r="I588" s="2">
        <v>485.42</v>
      </c>
      <c r="J588" s="2">
        <v>0</v>
      </c>
      <c r="K588" s="2" t="s">
        <v>83</v>
      </c>
      <c r="L588" s="2" t="s">
        <v>121</v>
      </c>
    </row>
    <row r="589" spans="1:12" x14ac:dyDescent="0.2">
      <c r="A589" s="2">
        <v>101052</v>
      </c>
      <c r="B589" s="17">
        <v>45333</v>
      </c>
      <c r="C589" s="2" t="s">
        <v>457</v>
      </c>
      <c r="D589" s="2" t="s">
        <v>13</v>
      </c>
      <c r="E589" s="2" t="s">
        <v>119</v>
      </c>
      <c r="F589" s="2" t="s">
        <v>33</v>
      </c>
      <c r="G589" s="2" t="s">
        <v>81</v>
      </c>
      <c r="H589" s="2">
        <v>1</v>
      </c>
      <c r="I589" s="2">
        <v>202.42</v>
      </c>
      <c r="J589" s="2">
        <v>0.2</v>
      </c>
      <c r="K589" s="2" t="s">
        <v>17</v>
      </c>
      <c r="L589" s="2" t="s">
        <v>143</v>
      </c>
    </row>
    <row r="590" spans="1:12" x14ac:dyDescent="0.2">
      <c r="A590" s="2">
        <v>100404</v>
      </c>
      <c r="B590" s="18">
        <v>45646</v>
      </c>
      <c r="C590" s="2" t="s">
        <v>509</v>
      </c>
      <c r="D590" s="2" t="s">
        <v>13</v>
      </c>
      <c r="E590" s="2" t="s">
        <v>119</v>
      </c>
      <c r="F590" s="2" t="s">
        <v>45</v>
      </c>
      <c r="G590" s="2" t="s">
        <v>111</v>
      </c>
      <c r="H590" s="2">
        <v>2</v>
      </c>
      <c r="I590" s="2">
        <v>32455.01</v>
      </c>
      <c r="J590" s="2">
        <v>20</v>
      </c>
      <c r="K590" s="2" t="s">
        <v>83</v>
      </c>
      <c r="L590" s="2" t="s">
        <v>25</v>
      </c>
    </row>
    <row r="591" spans="1:12" x14ac:dyDescent="0.2">
      <c r="A591" s="2">
        <v>100363</v>
      </c>
      <c r="B591" s="17">
        <v>45606</v>
      </c>
      <c r="C591" s="2" t="s">
        <v>621</v>
      </c>
      <c r="D591" s="2" t="s">
        <v>129</v>
      </c>
      <c r="E591" s="2" t="s">
        <v>79</v>
      </c>
      <c r="F591" s="2" t="s">
        <v>74</v>
      </c>
      <c r="G591" s="2" t="s">
        <v>145</v>
      </c>
      <c r="H591" s="2"/>
      <c r="I591" s="2">
        <v>1661.94</v>
      </c>
      <c r="J591" s="2">
        <v>0</v>
      </c>
      <c r="K591" s="2" t="s">
        <v>29</v>
      </c>
      <c r="L591" s="2" t="s">
        <v>42</v>
      </c>
    </row>
    <row r="592" spans="1:12" x14ac:dyDescent="0.2">
      <c r="A592" s="2">
        <v>100027</v>
      </c>
      <c r="B592" s="18">
        <v>45301</v>
      </c>
      <c r="C592" s="2" t="s">
        <v>572</v>
      </c>
      <c r="D592" s="2" t="s">
        <v>109</v>
      </c>
      <c r="E592" s="2" t="s">
        <v>21</v>
      </c>
      <c r="F592" s="2" t="s">
        <v>86</v>
      </c>
      <c r="G592" s="2" t="s">
        <v>71</v>
      </c>
      <c r="H592" s="2">
        <v>7</v>
      </c>
      <c r="I592" s="2">
        <v>15739.84</v>
      </c>
      <c r="J592" s="2"/>
      <c r="K592" s="2" t="s">
        <v>29</v>
      </c>
      <c r="L592" s="2" t="s">
        <v>143</v>
      </c>
    </row>
    <row r="593" spans="1:12" x14ac:dyDescent="0.2">
      <c r="A593" s="2">
        <v>101734</v>
      </c>
      <c r="B593" s="18">
        <v>45333</v>
      </c>
      <c r="C593" s="2" t="s">
        <v>487</v>
      </c>
      <c r="D593" s="2" t="s">
        <v>175</v>
      </c>
      <c r="E593" s="2" t="s">
        <v>69</v>
      </c>
      <c r="F593" s="2" t="s">
        <v>223</v>
      </c>
      <c r="G593" s="2" t="s">
        <v>56</v>
      </c>
      <c r="H593" s="2">
        <v>10</v>
      </c>
      <c r="I593" s="2">
        <v>1832.99</v>
      </c>
      <c r="J593" s="2">
        <v>0.15</v>
      </c>
      <c r="K593" s="2" t="s">
        <v>83</v>
      </c>
      <c r="L593" s="2" t="s">
        <v>25</v>
      </c>
    </row>
    <row r="594" spans="1:12" x14ac:dyDescent="0.2">
      <c r="A594" s="2">
        <v>101191</v>
      </c>
      <c r="B594" s="17">
        <v>45532</v>
      </c>
      <c r="C594" s="2" t="s">
        <v>622</v>
      </c>
      <c r="D594" s="2" t="s">
        <v>31</v>
      </c>
      <c r="E594" s="2" t="s">
        <v>54</v>
      </c>
      <c r="F594" s="2" t="s">
        <v>102</v>
      </c>
      <c r="G594" s="2" t="s">
        <v>156</v>
      </c>
      <c r="H594" s="2">
        <v>6</v>
      </c>
      <c r="I594" s="2">
        <v>2434.9299999999998</v>
      </c>
      <c r="J594" s="2">
        <v>20</v>
      </c>
      <c r="K594" s="2" t="s">
        <v>17</v>
      </c>
      <c r="L594" s="2" t="s">
        <v>42</v>
      </c>
    </row>
    <row r="595" spans="1:12" x14ac:dyDescent="0.2">
      <c r="A595" s="2">
        <v>100178</v>
      </c>
      <c r="B595" s="17">
        <v>45453</v>
      </c>
      <c r="C595" s="2" t="s">
        <v>180</v>
      </c>
      <c r="D595" s="2" t="s">
        <v>175</v>
      </c>
      <c r="E595" s="2" t="s">
        <v>69</v>
      </c>
      <c r="F595" s="2" t="s">
        <v>22</v>
      </c>
      <c r="G595" s="2" t="s">
        <v>145</v>
      </c>
      <c r="H595" s="2">
        <v>4</v>
      </c>
      <c r="I595" s="2">
        <v>1090.3900000000001</v>
      </c>
      <c r="J595" s="2">
        <v>25</v>
      </c>
      <c r="K595" s="2" t="s">
        <v>66</v>
      </c>
      <c r="L595" s="2" t="s">
        <v>143</v>
      </c>
    </row>
    <row r="596" spans="1:12" x14ac:dyDescent="0.2">
      <c r="A596" s="2">
        <v>101957</v>
      </c>
      <c r="B596" s="18">
        <v>45476</v>
      </c>
      <c r="C596" s="2" t="s">
        <v>544</v>
      </c>
      <c r="D596" s="2" t="s">
        <v>31</v>
      </c>
      <c r="E596" s="2" t="s">
        <v>54</v>
      </c>
      <c r="F596" s="2" t="s">
        <v>86</v>
      </c>
      <c r="G596" s="2" t="s">
        <v>71</v>
      </c>
      <c r="H596" s="2">
        <v>3</v>
      </c>
      <c r="I596" s="2">
        <v>38295.360000000001</v>
      </c>
      <c r="J596" s="2">
        <v>0</v>
      </c>
      <c r="K596" s="2" t="s">
        <v>66</v>
      </c>
      <c r="L596" s="2" t="s">
        <v>18</v>
      </c>
    </row>
    <row r="597" spans="1:12" x14ac:dyDescent="0.2">
      <c r="A597" s="2">
        <v>101615</v>
      </c>
      <c r="B597" s="18">
        <v>45619</v>
      </c>
      <c r="C597" s="2" t="s">
        <v>451</v>
      </c>
      <c r="D597" s="2" t="s">
        <v>109</v>
      </c>
      <c r="E597" s="2" t="s">
        <v>133</v>
      </c>
      <c r="F597" s="2" t="s">
        <v>120</v>
      </c>
      <c r="G597" s="2" t="s">
        <v>232</v>
      </c>
      <c r="H597" s="2">
        <v>1</v>
      </c>
      <c r="I597" s="2">
        <v>1481.3</v>
      </c>
      <c r="J597" s="2">
        <v>0</v>
      </c>
      <c r="K597" s="2" t="s">
        <v>41</v>
      </c>
      <c r="L597" s="2" t="s">
        <v>42</v>
      </c>
    </row>
    <row r="598" spans="1:12" x14ac:dyDescent="0.2">
      <c r="A598" s="2">
        <v>100636</v>
      </c>
      <c r="B598" s="18">
        <v>45612</v>
      </c>
      <c r="C598" s="2" t="s">
        <v>623</v>
      </c>
      <c r="D598" s="2" t="s">
        <v>175</v>
      </c>
      <c r="E598" s="2" t="s">
        <v>69</v>
      </c>
      <c r="F598" s="2" t="s">
        <v>22</v>
      </c>
      <c r="G598" s="2" t="s">
        <v>141</v>
      </c>
      <c r="H598" s="2">
        <v>1</v>
      </c>
      <c r="I598" s="2">
        <v>2694.02</v>
      </c>
      <c r="J598" s="2">
        <v>0.05</v>
      </c>
      <c r="K598" s="2" t="s">
        <v>29</v>
      </c>
      <c r="L598" s="2" t="s">
        <v>35</v>
      </c>
    </row>
    <row r="599" spans="1:12" x14ac:dyDescent="0.2">
      <c r="A599" s="2">
        <v>100692</v>
      </c>
      <c r="B599" s="2" t="s">
        <v>510</v>
      </c>
      <c r="C599" s="2" t="s">
        <v>358</v>
      </c>
      <c r="D599" s="2" t="s">
        <v>181</v>
      </c>
      <c r="E599" s="2" t="s">
        <v>119</v>
      </c>
      <c r="F599" s="2" t="s">
        <v>55</v>
      </c>
      <c r="G599" s="2" t="s">
        <v>56</v>
      </c>
      <c r="H599" s="2">
        <v>12</v>
      </c>
      <c r="I599" s="2">
        <v>3319</v>
      </c>
      <c r="J599" s="2">
        <v>0.25</v>
      </c>
      <c r="K599" s="2" t="s">
        <v>24</v>
      </c>
      <c r="L599" s="2" t="s">
        <v>18</v>
      </c>
    </row>
    <row r="600" spans="1:12" x14ac:dyDescent="0.2">
      <c r="A600" s="2">
        <v>100253</v>
      </c>
      <c r="B600" s="18">
        <v>45432</v>
      </c>
      <c r="C600" s="2" t="s">
        <v>68</v>
      </c>
      <c r="D600" s="2" t="s">
        <v>44</v>
      </c>
      <c r="E600" s="2" t="s">
        <v>32</v>
      </c>
      <c r="F600" s="2" t="s">
        <v>86</v>
      </c>
      <c r="G600" s="2" t="s">
        <v>153</v>
      </c>
      <c r="H600" s="2">
        <v>7</v>
      </c>
      <c r="I600" s="2">
        <v>17532.77</v>
      </c>
      <c r="J600" s="2">
        <v>25</v>
      </c>
      <c r="K600" s="2" t="s">
        <v>66</v>
      </c>
      <c r="L600" s="2" t="s">
        <v>143</v>
      </c>
    </row>
    <row r="601" spans="1:12" x14ac:dyDescent="0.2">
      <c r="A601" s="2">
        <v>100415</v>
      </c>
      <c r="B601" s="2" t="s">
        <v>624</v>
      </c>
      <c r="C601" s="2" t="s">
        <v>108</v>
      </c>
      <c r="D601" s="2" t="s">
        <v>85</v>
      </c>
      <c r="E601" s="2" t="s">
        <v>14</v>
      </c>
      <c r="F601" s="2" t="s">
        <v>102</v>
      </c>
      <c r="G601" s="2" t="s">
        <v>137</v>
      </c>
      <c r="H601" s="2">
        <v>11</v>
      </c>
      <c r="I601" s="2">
        <v>1593.81</v>
      </c>
      <c r="J601" s="2">
        <v>20</v>
      </c>
      <c r="K601" s="2" t="s">
        <v>17</v>
      </c>
      <c r="L601" s="2" t="s">
        <v>35</v>
      </c>
    </row>
    <row r="602" spans="1:12" x14ac:dyDescent="0.2">
      <c r="A602" s="2">
        <v>100559</v>
      </c>
      <c r="B602" s="18">
        <v>45459</v>
      </c>
      <c r="C602" s="2" t="s">
        <v>433</v>
      </c>
      <c r="D602" s="2" t="s">
        <v>181</v>
      </c>
      <c r="E602" s="2" t="s">
        <v>119</v>
      </c>
      <c r="F602" s="2" t="s">
        <v>39</v>
      </c>
      <c r="G602" s="2" t="s">
        <v>40</v>
      </c>
      <c r="H602" s="2">
        <v>2</v>
      </c>
      <c r="I602" s="2">
        <v>756.64</v>
      </c>
      <c r="J602" s="2">
        <v>0</v>
      </c>
      <c r="K602" s="2" t="s">
        <v>83</v>
      </c>
      <c r="L602" s="2" t="s">
        <v>35</v>
      </c>
    </row>
    <row r="603" spans="1:12" x14ac:dyDescent="0.2">
      <c r="A603" s="2">
        <v>100554</v>
      </c>
      <c r="B603" s="17">
        <v>45631</v>
      </c>
      <c r="C603" s="2"/>
      <c r="D603" s="2" t="s">
        <v>181</v>
      </c>
      <c r="E603" s="2" t="s">
        <v>119</v>
      </c>
      <c r="F603" s="2" t="s">
        <v>102</v>
      </c>
      <c r="G603" s="2" t="s">
        <v>156</v>
      </c>
      <c r="H603" s="2">
        <v>11</v>
      </c>
      <c r="I603" s="2">
        <v>4475.0200000000004</v>
      </c>
      <c r="J603" s="2">
        <v>10</v>
      </c>
      <c r="K603" s="2" t="s">
        <v>29</v>
      </c>
      <c r="L603" s="2" t="s">
        <v>121</v>
      </c>
    </row>
    <row r="604" spans="1:12" x14ac:dyDescent="0.2">
      <c r="A604" s="2">
        <v>100194</v>
      </c>
      <c r="B604" s="18">
        <v>45639</v>
      </c>
      <c r="C604" s="2" t="s">
        <v>406</v>
      </c>
      <c r="D604" s="2" t="s">
        <v>101</v>
      </c>
      <c r="E604" s="2" t="s">
        <v>38</v>
      </c>
      <c r="F604" s="2" t="s">
        <v>102</v>
      </c>
      <c r="G604" s="2" t="s">
        <v>135</v>
      </c>
      <c r="H604" s="2">
        <v>6</v>
      </c>
      <c r="I604" s="2">
        <v>3730.8</v>
      </c>
      <c r="J604" s="2">
        <v>20</v>
      </c>
      <c r="K604" s="2" t="s">
        <v>83</v>
      </c>
      <c r="L604" s="2" t="s">
        <v>35</v>
      </c>
    </row>
    <row r="605" spans="1:12" x14ac:dyDescent="0.2">
      <c r="A605" s="2">
        <v>101569</v>
      </c>
      <c r="B605" s="2" t="s">
        <v>625</v>
      </c>
      <c r="C605" s="2" t="s">
        <v>626</v>
      </c>
      <c r="D605" s="2" t="s">
        <v>131</v>
      </c>
      <c r="E605" s="2" t="s">
        <v>21</v>
      </c>
      <c r="F605" s="2" t="s">
        <v>120</v>
      </c>
      <c r="G605" s="2" t="s">
        <v>141</v>
      </c>
      <c r="H605" s="2">
        <v>2</v>
      </c>
      <c r="I605" s="2">
        <v>2378.06</v>
      </c>
      <c r="J605" s="2">
        <v>0</v>
      </c>
      <c r="K605" s="2" t="s">
        <v>83</v>
      </c>
      <c r="L605" s="2" t="s">
        <v>121</v>
      </c>
    </row>
    <row r="606" spans="1:12" x14ac:dyDescent="0.2">
      <c r="A606" s="2">
        <v>100719</v>
      </c>
      <c r="B606" s="18">
        <v>45388</v>
      </c>
      <c r="C606" s="2" t="s">
        <v>627</v>
      </c>
      <c r="D606" s="2" t="s">
        <v>160</v>
      </c>
      <c r="E606" s="2" t="s">
        <v>49</v>
      </c>
      <c r="F606" s="2" t="s">
        <v>70</v>
      </c>
      <c r="G606" s="2" t="s">
        <v>97</v>
      </c>
      <c r="H606" s="2">
        <v>2</v>
      </c>
      <c r="I606" s="2">
        <v>6811.24</v>
      </c>
      <c r="J606" s="2">
        <v>0</v>
      </c>
      <c r="K606" s="2" t="s">
        <v>41</v>
      </c>
      <c r="L606" s="2" t="s">
        <v>87</v>
      </c>
    </row>
    <row r="607" spans="1:12" x14ac:dyDescent="0.2">
      <c r="A607" s="2">
        <v>101048</v>
      </c>
      <c r="B607" s="18">
        <v>45397</v>
      </c>
      <c r="C607" s="2" t="s">
        <v>628</v>
      </c>
      <c r="D607" s="2" t="s">
        <v>48</v>
      </c>
      <c r="E607" s="2" t="s">
        <v>79</v>
      </c>
      <c r="F607" s="2" t="s">
        <v>55</v>
      </c>
      <c r="G607" s="2" t="s">
        <v>51</v>
      </c>
      <c r="H607" s="2">
        <v>6</v>
      </c>
      <c r="I607" s="2">
        <v>8082.17</v>
      </c>
      <c r="J607" s="2">
        <v>0</v>
      </c>
      <c r="K607" s="2" t="s">
        <v>29</v>
      </c>
      <c r="L607" s="2" t="s">
        <v>35</v>
      </c>
    </row>
    <row r="608" spans="1:12" x14ac:dyDescent="0.2">
      <c r="A608" s="2">
        <v>100446</v>
      </c>
      <c r="B608" s="18">
        <v>45537</v>
      </c>
      <c r="C608" s="2" t="s">
        <v>475</v>
      </c>
      <c r="D608" s="2" t="s">
        <v>95</v>
      </c>
      <c r="E608" s="2" t="s">
        <v>21</v>
      </c>
      <c r="F608" s="2" t="s">
        <v>22</v>
      </c>
      <c r="G608" s="2" t="s">
        <v>145</v>
      </c>
      <c r="H608" s="2">
        <v>2</v>
      </c>
      <c r="I608" s="2">
        <v>441.84</v>
      </c>
      <c r="J608" s="2">
        <v>0</v>
      </c>
      <c r="K608" s="2" t="s">
        <v>24</v>
      </c>
      <c r="L608" s="2" t="s">
        <v>121</v>
      </c>
    </row>
    <row r="609" spans="1:12" x14ac:dyDescent="0.2">
      <c r="A609" s="2">
        <v>100805</v>
      </c>
      <c r="B609" s="18">
        <v>45490</v>
      </c>
      <c r="C609" s="2" t="s">
        <v>629</v>
      </c>
      <c r="D609" s="2" t="s">
        <v>85</v>
      </c>
      <c r="E609" s="2" t="s">
        <v>119</v>
      </c>
      <c r="F609" s="2" t="s">
        <v>55</v>
      </c>
      <c r="G609" s="2" t="s">
        <v>207</v>
      </c>
      <c r="H609" s="2">
        <v>3</v>
      </c>
      <c r="I609" s="2">
        <v>9517.6299999999992</v>
      </c>
      <c r="J609" s="2">
        <v>0.15</v>
      </c>
      <c r="K609" s="2" t="s">
        <v>41</v>
      </c>
      <c r="L609" s="2" t="s">
        <v>121</v>
      </c>
    </row>
    <row r="610" spans="1:12" x14ac:dyDescent="0.2">
      <c r="A610" s="2">
        <v>100949</v>
      </c>
      <c r="B610" s="18">
        <v>45439</v>
      </c>
      <c r="C610" s="2" t="s">
        <v>614</v>
      </c>
      <c r="D610" s="2" t="s">
        <v>85</v>
      </c>
      <c r="E610" s="2" t="s">
        <v>14</v>
      </c>
      <c r="F610" s="2" t="s">
        <v>120</v>
      </c>
      <c r="G610" s="2" t="s">
        <v>232</v>
      </c>
      <c r="H610" s="2">
        <v>4</v>
      </c>
      <c r="I610" s="2">
        <v>2262.4299999999998</v>
      </c>
      <c r="J610" s="2">
        <v>0.25</v>
      </c>
      <c r="K610" s="2" t="s">
        <v>66</v>
      </c>
      <c r="L610" s="2" t="s">
        <v>143</v>
      </c>
    </row>
    <row r="611" spans="1:12" x14ac:dyDescent="0.2">
      <c r="A611" s="2">
        <v>101011</v>
      </c>
      <c r="B611" s="17">
        <v>45364</v>
      </c>
      <c r="C611" s="2" t="s">
        <v>630</v>
      </c>
      <c r="D611" s="2" t="s">
        <v>181</v>
      </c>
      <c r="E611" s="2" t="s">
        <v>119</v>
      </c>
      <c r="F611" s="2" t="s">
        <v>28</v>
      </c>
      <c r="G611" s="2" t="s">
        <v>116</v>
      </c>
      <c r="H611" s="2">
        <v>12</v>
      </c>
      <c r="I611" s="2">
        <v>2433.8000000000002</v>
      </c>
      <c r="J611" s="2">
        <v>0.1</v>
      </c>
      <c r="K611" s="2" t="s">
        <v>17</v>
      </c>
      <c r="L611" s="2" t="s">
        <v>143</v>
      </c>
    </row>
    <row r="612" spans="1:12" x14ac:dyDescent="0.2">
      <c r="A612" s="2">
        <v>101479</v>
      </c>
      <c r="B612" s="17">
        <v>45567</v>
      </c>
      <c r="C612" s="2" t="s">
        <v>631</v>
      </c>
      <c r="D612" s="2" t="s">
        <v>61</v>
      </c>
      <c r="E612" s="2" t="s">
        <v>119</v>
      </c>
      <c r="F612" s="2" t="s">
        <v>80</v>
      </c>
      <c r="G612" s="2" t="s">
        <v>81</v>
      </c>
      <c r="H612" s="2">
        <v>2</v>
      </c>
      <c r="I612" s="2">
        <v>485.57</v>
      </c>
      <c r="J612" s="2"/>
      <c r="K612" s="2" t="s">
        <v>17</v>
      </c>
      <c r="L612" s="2" t="s">
        <v>25</v>
      </c>
    </row>
    <row r="613" spans="1:12" x14ac:dyDescent="0.2">
      <c r="A613" s="2">
        <v>100452</v>
      </c>
      <c r="B613" s="18">
        <v>45631</v>
      </c>
      <c r="C613" s="2" t="s">
        <v>243</v>
      </c>
      <c r="D613" s="2" t="s">
        <v>92</v>
      </c>
      <c r="E613" s="2" t="s">
        <v>54</v>
      </c>
      <c r="F613" s="2" t="s">
        <v>15</v>
      </c>
      <c r="G613" s="2" t="s">
        <v>205</v>
      </c>
      <c r="H613" s="2">
        <v>12</v>
      </c>
      <c r="I613" s="2">
        <v>3284.91</v>
      </c>
      <c r="J613" s="2">
        <v>0.2</v>
      </c>
      <c r="K613" s="2" t="s">
        <v>41</v>
      </c>
      <c r="L613" s="2" t="s">
        <v>121</v>
      </c>
    </row>
    <row r="614" spans="1:12" x14ac:dyDescent="0.2">
      <c r="A614" s="2">
        <v>101414</v>
      </c>
      <c r="B614" s="18">
        <v>45479</v>
      </c>
      <c r="C614" s="2" t="s">
        <v>334</v>
      </c>
      <c r="D614" s="2" t="s">
        <v>13</v>
      </c>
      <c r="E614" s="2" t="s">
        <v>14</v>
      </c>
      <c r="F614" s="2" t="s">
        <v>86</v>
      </c>
      <c r="G614" s="2" t="s">
        <v>111</v>
      </c>
      <c r="H614" s="2">
        <v>4</v>
      </c>
      <c r="I614" s="2" t="s">
        <v>632</v>
      </c>
      <c r="J614" s="2">
        <v>0.15</v>
      </c>
      <c r="K614" s="2" t="s">
        <v>41</v>
      </c>
      <c r="L614" s="2" t="s">
        <v>52</v>
      </c>
    </row>
    <row r="615" spans="1:12" x14ac:dyDescent="0.2">
      <c r="A615" s="2">
        <v>100465</v>
      </c>
      <c r="B615" s="17">
        <v>45454</v>
      </c>
      <c r="C615" s="2" t="s">
        <v>294</v>
      </c>
      <c r="D615" s="2" t="s">
        <v>92</v>
      </c>
      <c r="E615" s="2" t="s">
        <v>54</v>
      </c>
      <c r="F615" s="2" t="s">
        <v>120</v>
      </c>
      <c r="G615" s="2" t="s">
        <v>145</v>
      </c>
      <c r="H615" s="2">
        <v>10</v>
      </c>
      <c r="I615" s="2" t="s">
        <v>633</v>
      </c>
      <c r="J615" s="2">
        <v>0</v>
      </c>
      <c r="K615" s="2" t="s">
        <v>83</v>
      </c>
      <c r="L615" s="2" t="s">
        <v>87</v>
      </c>
    </row>
    <row r="616" spans="1:12" x14ac:dyDescent="0.2">
      <c r="A616" s="2">
        <v>100702</v>
      </c>
      <c r="B616" s="2" t="s">
        <v>634</v>
      </c>
      <c r="C616" s="2" t="s">
        <v>194</v>
      </c>
      <c r="D616" s="2" t="s">
        <v>61</v>
      </c>
      <c r="E616" s="2" t="s">
        <v>119</v>
      </c>
      <c r="F616" s="2" t="s">
        <v>55</v>
      </c>
      <c r="G616" s="2" t="s">
        <v>99</v>
      </c>
      <c r="H616" s="2">
        <v>5</v>
      </c>
      <c r="I616" s="2">
        <v>8232.84</v>
      </c>
      <c r="J616" s="2">
        <v>5</v>
      </c>
      <c r="K616" s="2" t="s">
        <v>17</v>
      </c>
      <c r="L616" s="2" t="s">
        <v>25</v>
      </c>
    </row>
    <row r="617" spans="1:12" x14ac:dyDescent="0.2">
      <c r="A617" s="2">
        <v>100459</v>
      </c>
      <c r="B617" s="18">
        <v>45524</v>
      </c>
      <c r="C617" s="2" t="s">
        <v>312</v>
      </c>
      <c r="D617" s="2" t="s">
        <v>95</v>
      </c>
      <c r="E617" s="2" t="s">
        <v>21</v>
      </c>
      <c r="F617" s="2" t="s">
        <v>28</v>
      </c>
      <c r="G617" s="2" t="s">
        <v>116</v>
      </c>
      <c r="H617" s="2">
        <v>5</v>
      </c>
      <c r="I617" s="2" t="s">
        <v>635</v>
      </c>
      <c r="J617" s="2">
        <v>0</v>
      </c>
      <c r="K617" s="2" t="s">
        <v>83</v>
      </c>
      <c r="L617" s="2" t="s">
        <v>18</v>
      </c>
    </row>
    <row r="618" spans="1:12" x14ac:dyDescent="0.2">
      <c r="A618" s="2">
        <v>101390</v>
      </c>
      <c r="B618" s="2" t="s">
        <v>606</v>
      </c>
      <c r="C618" s="2"/>
      <c r="D618" s="2" t="s">
        <v>175</v>
      </c>
      <c r="E618" s="2" t="s">
        <v>69</v>
      </c>
      <c r="F618" s="2" t="s">
        <v>33</v>
      </c>
      <c r="G618" s="2" t="s">
        <v>93</v>
      </c>
      <c r="H618" s="2">
        <v>6</v>
      </c>
      <c r="I618" s="2">
        <v>256.58999999999997</v>
      </c>
      <c r="J618" s="2">
        <v>0</v>
      </c>
      <c r="K618" s="2" t="s">
        <v>41</v>
      </c>
      <c r="L618" s="2" t="s">
        <v>143</v>
      </c>
    </row>
    <row r="619" spans="1:12" x14ac:dyDescent="0.2">
      <c r="A619" s="2">
        <v>101117</v>
      </c>
      <c r="B619" s="17">
        <v>45298</v>
      </c>
      <c r="C619" s="2" t="s">
        <v>636</v>
      </c>
      <c r="D619" s="2" t="s">
        <v>37</v>
      </c>
      <c r="E619" s="2" t="s">
        <v>69</v>
      </c>
      <c r="F619" s="2" t="s">
        <v>113</v>
      </c>
      <c r="G619" s="2" t="s">
        <v>40</v>
      </c>
      <c r="H619" s="2">
        <v>12</v>
      </c>
      <c r="I619" s="2">
        <v>484.38</v>
      </c>
      <c r="J619" s="2">
        <v>0.05</v>
      </c>
      <c r="K619" s="2" t="s">
        <v>29</v>
      </c>
      <c r="L619" s="2" t="s">
        <v>42</v>
      </c>
    </row>
    <row r="620" spans="1:12" x14ac:dyDescent="0.2">
      <c r="A620" s="2">
        <v>100838</v>
      </c>
      <c r="B620" s="18">
        <v>45326</v>
      </c>
      <c r="C620" s="2" t="s">
        <v>128</v>
      </c>
      <c r="D620" s="2" t="s">
        <v>92</v>
      </c>
      <c r="E620" s="2" t="s">
        <v>32</v>
      </c>
      <c r="F620" s="2" t="s">
        <v>28</v>
      </c>
      <c r="G620" s="2" t="s">
        <v>16</v>
      </c>
      <c r="H620" s="2"/>
      <c r="I620" s="2">
        <v>10728.66</v>
      </c>
      <c r="J620" s="2">
        <v>0</v>
      </c>
      <c r="K620" s="2" t="s">
        <v>83</v>
      </c>
      <c r="L620" s="2" t="s">
        <v>18</v>
      </c>
    </row>
    <row r="621" spans="1:12" x14ac:dyDescent="0.2">
      <c r="A621" s="2">
        <v>100763</v>
      </c>
      <c r="B621" s="17">
        <v>45526</v>
      </c>
      <c r="C621" s="2" t="s">
        <v>637</v>
      </c>
      <c r="D621" s="2" t="s">
        <v>20</v>
      </c>
      <c r="E621" s="2" t="s">
        <v>21</v>
      </c>
      <c r="F621" s="2" t="s">
        <v>55</v>
      </c>
      <c r="G621" s="2" t="s">
        <v>62</v>
      </c>
      <c r="H621" s="2">
        <v>10</v>
      </c>
      <c r="I621" s="2">
        <v>7159.46</v>
      </c>
      <c r="J621" s="2">
        <v>25</v>
      </c>
      <c r="K621" s="2" t="s">
        <v>17</v>
      </c>
      <c r="L621" s="2" t="s">
        <v>52</v>
      </c>
    </row>
    <row r="622" spans="1:12" x14ac:dyDescent="0.2">
      <c r="A622" s="2">
        <v>100370</v>
      </c>
      <c r="B622" s="17">
        <v>45564</v>
      </c>
      <c r="C622" s="2" t="s">
        <v>473</v>
      </c>
      <c r="D622" s="2" t="s">
        <v>129</v>
      </c>
      <c r="E622" s="2" t="s">
        <v>49</v>
      </c>
      <c r="F622" s="2" t="s">
        <v>55</v>
      </c>
      <c r="G622" s="2" t="s">
        <v>99</v>
      </c>
      <c r="H622" s="2">
        <v>9</v>
      </c>
      <c r="I622" s="2">
        <v>2251.0700000000002</v>
      </c>
      <c r="J622" s="2">
        <v>5</v>
      </c>
      <c r="K622" s="2" t="s">
        <v>66</v>
      </c>
      <c r="L622" s="2" t="s">
        <v>143</v>
      </c>
    </row>
    <row r="623" spans="1:12" x14ac:dyDescent="0.2">
      <c r="A623" s="2">
        <v>100485</v>
      </c>
      <c r="B623" s="18">
        <v>45404</v>
      </c>
      <c r="C623" s="2" t="s">
        <v>638</v>
      </c>
      <c r="D623" s="2" t="s">
        <v>31</v>
      </c>
      <c r="E623" s="2" t="s">
        <v>54</v>
      </c>
      <c r="F623" s="2" t="s">
        <v>28</v>
      </c>
      <c r="G623" s="2" t="s">
        <v>16</v>
      </c>
      <c r="H623" s="2">
        <v>12</v>
      </c>
      <c r="I623" s="2">
        <v>13820.33</v>
      </c>
      <c r="J623" s="2">
        <v>0</v>
      </c>
      <c r="K623" s="2" t="s">
        <v>24</v>
      </c>
      <c r="L623" s="2" t="s">
        <v>42</v>
      </c>
    </row>
    <row r="624" spans="1:12" x14ac:dyDescent="0.2">
      <c r="A624" s="2">
        <v>100722</v>
      </c>
      <c r="B624" s="18">
        <v>45509</v>
      </c>
      <c r="C624" s="2"/>
      <c r="D624" s="2" t="s">
        <v>48</v>
      </c>
      <c r="E624" s="2" t="s">
        <v>79</v>
      </c>
      <c r="F624" s="2" t="s">
        <v>106</v>
      </c>
      <c r="G624" s="2" t="s">
        <v>103</v>
      </c>
      <c r="H624" s="2">
        <v>6</v>
      </c>
      <c r="I624" s="2">
        <v>2477.38</v>
      </c>
      <c r="J624" s="2">
        <v>15</v>
      </c>
      <c r="K624" s="2" t="s">
        <v>17</v>
      </c>
      <c r="L624" s="2" t="s">
        <v>52</v>
      </c>
    </row>
    <row r="625" spans="1:12" x14ac:dyDescent="0.2">
      <c r="A625" s="2">
        <v>101201</v>
      </c>
      <c r="B625" s="17">
        <v>45584</v>
      </c>
      <c r="C625" s="2" t="s">
        <v>639</v>
      </c>
      <c r="D625" s="2" t="s">
        <v>44</v>
      </c>
      <c r="E625" s="2" t="s">
        <v>54</v>
      </c>
      <c r="F625" s="2" t="s">
        <v>124</v>
      </c>
      <c r="G625" s="2" t="s">
        <v>56</v>
      </c>
      <c r="H625" s="2">
        <v>6</v>
      </c>
      <c r="I625" s="2">
        <v>4436.95</v>
      </c>
      <c r="J625" s="2">
        <v>0</v>
      </c>
      <c r="K625" s="2" t="s">
        <v>17</v>
      </c>
      <c r="L625" s="2" t="s">
        <v>25</v>
      </c>
    </row>
    <row r="626" spans="1:12" x14ac:dyDescent="0.2">
      <c r="A626" s="2">
        <v>100308</v>
      </c>
      <c r="B626" s="17">
        <v>45421</v>
      </c>
      <c r="C626" s="2" t="s">
        <v>496</v>
      </c>
      <c r="D626" s="2" t="s">
        <v>160</v>
      </c>
      <c r="E626" s="2" t="s">
        <v>79</v>
      </c>
      <c r="F626" s="2" t="s">
        <v>45</v>
      </c>
      <c r="G626" s="2" t="s">
        <v>71</v>
      </c>
      <c r="H626" s="2">
        <v>2</v>
      </c>
      <c r="I626" s="2" t="s">
        <v>640</v>
      </c>
      <c r="J626" s="2">
        <v>0</v>
      </c>
      <c r="K626" s="2" t="s">
        <v>41</v>
      </c>
      <c r="L626" s="2" t="s">
        <v>42</v>
      </c>
    </row>
    <row r="627" spans="1:12" x14ac:dyDescent="0.2">
      <c r="A627" s="2">
        <v>100286</v>
      </c>
      <c r="B627" s="17">
        <v>45368</v>
      </c>
      <c r="C627" s="2" t="s">
        <v>641</v>
      </c>
      <c r="D627" s="2" t="s">
        <v>31</v>
      </c>
      <c r="E627" s="2" t="s">
        <v>32</v>
      </c>
      <c r="F627" s="2" t="s">
        <v>15</v>
      </c>
      <c r="G627" s="2" t="s">
        <v>16</v>
      </c>
      <c r="H627" s="2">
        <v>9</v>
      </c>
      <c r="I627" s="2">
        <v>24466.2</v>
      </c>
      <c r="J627" s="2">
        <v>5</v>
      </c>
      <c r="K627" s="2" t="s">
        <v>41</v>
      </c>
      <c r="L627" s="2" t="s">
        <v>18</v>
      </c>
    </row>
    <row r="628" spans="1:12" x14ac:dyDescent="0.2">
      <c r="A628" s="2">
        <v>101919</v>
      </c>
      <c r="B628" s="17">
        <v>45295</v>
      </c>
      <c r="C628" s="2" t="s">
        <v>358</v>
      </c>
      <c r="D628" s="2" t="s">
        <v>61</v>
      </c>
      <c r="E628" s="2" t="s">
        <v>14</v>
      </c>
      <c r="F628" s="2" t="s">
        <v>39</v>
      </c>
      <c r="G628" s="2" t="s">
        <v>165</v>
      </c>
      <c r="H628" s="2">
        <v>9</v>
      </c>
      <c r="I628" s="2">
        <v>313.73</v>
      </c>
      <c r="J628" s="2">
        <v>0</v>
      </c>
      <c r="K628" s="2" t="s">
        <v>41</v>
      </c>
      <c r="L628" s="2" t="s">
        <v>35</v>
      </c>
    </row>
    <row r="629" spans="1:12" x14ac:dyDescent="0.2">
      <c r="A629" s="2">
        <v>101078</v>
      </c>
      <c r="B629" s="18">
        <v>45321</v>
      </c>
      <c r="C629" s="2" t="s">
        <v>613</v>
      </c>
      <c r="D629" s="2" t="s">
        <v>92</v>
      </c>
      <c r="E629" s="2" t="s">
        <v>32</v>
      </c>
      <c r="F629" s="2" t="s">
        <v>86</v>
      </c>
      <c r="G629" s="2" t="s">
        <v>46</v>
      </c>
      <c r="H629" s="2">
        <v>8</v>
      </c>
      <c r="I629" s="2"/>
      <c r="J629" s="2">
        <v>10</v>
      </c>
      <c r="K629" s="2" t="s">
        <v>41</v>
      </c>
      <c r="L629" s="2" t="s">
        <v>35</v>
      </c>
    </row>
    <row r="630" spans="1:12" x14ac:dyDescent="0.2">
      <c r="A630" s="2">
        <v>100700</v>
      </c>
      <c r="B630" s="18">
        <v>45450</v>
      </c>
      <c r="C630" s="2" t="s">
        <v>642</v>
      </c>
      <c r="D630" s="2" t="s">
        <v>37</v>
      </c>
      <c r="E630" s="2" t="s">
        <v>69</v>
      </c>
      <c r="F630" s="2" t="s">
        <v>113</v>
      </c>
      <c r="G630" s="2" t="s">
        <v>40</v>
      </c>
      <c r="H630" s="2">
        <v>9</v>
      </c>
      <c r="I630" s="2">
        <v>116.4</v>
      </c>
      <c r="J630" s="2">
        <v>25</v>
      </c>
      <c r="K630" s="2" t="s">
        <v>29</v>
      </c>
      <c r="L630" s="2" t="s">
        <v>52</v>
      </c>
    </row>
    <row r="631" spans="1:12" x14ac:dyDescent="0.2">
      <c r="A631" s="2">
        <v>101304</v>
      </c>
      <c r="B631" s="17">
        <v>45423</v>
      </c>
      <c r="C631" s="2" t="s">
        <v>213</v>
      </c>
      <c r="D631" s="2" t="s">
        <v>44</v>
      </c>
      <c r="E631" s="2" t="s">
        <v>32</v>
      </c>
      <c r="F631" s="2" t="s">
        <v>33</v>
      </c>
      <c r="G631" s="2" t="s">
        <v>34</v>
      </c>
      <c r="H631" s="2">
        <v>10</v>
      </c>
      <c r="I631" s="2">
        <v>289.97000000000003</v>
      </c>
      <c r="J631" s="2">
        <v>0</v>
      </c>
      <c r="K631" s="2" t="s">
        <v>83</v>
      </c>
      <c r="L631" s="2" t="s">
        <v>121</v>
      </c>
    </row>
    <row r="632" spans="1:12" x14ac:dyDescent="0.2">
      <c r="A632" s="2">
        <v>101268</v>
      </c>
      <c r="B632" s="17">
        <v>45417</v>
      </c>
      <c r="C632" s="2" t="s">
        <v>226</v>
      </c>
      <c r="D632" s="2" t="s">
        <v>44</v>
      </c>
      <c r="E632" s="2" t="s">
        <v>54</v>
      </c>
      <c r="F632" s="2" t="s">
        <v>15</v>
      </c>
      <c r="G632" s="2" t="s">
        <v>205</v>
      </c>
      <c r="H632" s="2">
        <v>5</v>
      </c>
      <c r="I632" s="2">
        <v>19189.23</v>
      </c>
      <c r="J632" s="2">
        <v>0.2</v>
      </c>
      <c r="K632" s="2" t="s">
        <v>17</v>
      </c>
      <c r="L632" s="2" t="s">
        <v>42</v>
      </c>
    </row>
    <row r="633" spans="1:12" x14ac:dyDescent="0.2">
      <c r="A633" s="2">
        <v>100758</v>
      </c>
      <c r="B633" s="17">
        <v>45400</v>
      </c>
      <c r="C633" s="2" t="s">
        <v>200</v>
      </c>
      <c r="D633" s="2" t="s">
        <v>48</v>
      </c>
      <c r="E633" s="2" t="s">
        <v>79</v>
      </c>
      <c r="F633" s="2" t="s">
        <v>74</v>
      </c>
      <c r="G633" s="2" t="s">
        <v>75</v>
      </c>
      <c r="H633" s="2">
        <v>1</v>
      </c>
      <c r="I633" s="2">
        <v>3142.07</v>
      </c>
      <c r="J633" s="2">
        <v>0</v>
      </c>
      <c r="K633" s="2" t="s">
        <v>41</v>
      </c>
      <c r="L633" s="2" t="s">
        <v>25</v>
      </c>
    </row>
    <row r="634" spans="1:12" x14ac:dyDescent="0.2">
      <c r="A634" s="2">
        <v>100888</v>
      </c>
      <c r="B634" s="17">
        <v>45640</v>
      </c>
      <c r="C634" s="2" t="s">
        <v>402</v>
      </c>
      <c r="D634" s="2" t="s">
        <v>95</v>
      </c>
      <c r="E634" s="2" t="s">
        <v>133</v>
      </c>
      <c r="F634" s="2" t="s">
        <v>50</v>
      </c>
      <c r="G634" s="2" t="s">
        <v>99</v>
      </c>
      <c r="H634" s="2">
        <v>1</v>
      </c>
      <c r="I634" s="2">
        <v>9521.94</v>
      </c>
      <c r="J634" s="2">
        <v>25</v>
      </c>
      <c r="K634" s="2" t="s">
        <v>24</v>
      </c>
      <c r="L634" s="2" t="s">
        <v>18</v>
      </c>
    </row>
    <row r="635" spans="1:12" x14ac:dyDescent="0.2">
      <c r="A635" s="2">
        <v>100689</v>
      </c>
      <c r="B635" s="2" t="s">
        <v>643</v>
      </c>
      <c r="C635" s="2"/>
      <c r="D635" s="2" t="s">
        <v>92</v>
      </c>
      <c r="E635" s="2" t="s">
        <v>32</v>
      </c>
      <c r="F635" s="2" t="s">
        <v>28</v>
      </c>
      <c r="G635" s="2" t="s">
        <v>16</v>
      </c>
      <c r="H635" s="2">
        <v>4</v>
      </c>
      <c r="I635" s="2">
        <v>15124.19</v>
      </c>
      <c r="J635" s="2">
        <v>0.15</v>
      </c>
      <c r="K635" s="2" t="s">
        <v>66</v>
      </c>
      <c r="L635" s="2" t="s">
        <v>52</v>
      </c>
    </row>
    <row r="636" spans="1:12" x14ac:dyDescent="0.2">
      <c r="A636" s="2">
        <v>100685</v>
      </c>
      <c r="B636" s="18">
        <v>45644</v>
      </c>
      <c r="C636" s="2" t="s">
        <v>542</v>
      </c>
      <c r="D636" s="2" t="s">
        <v>101</v>
      </c>
      <c r="E636" s="2" t="s">
        <v>38</v>
      </c>
      <c r="F636" s="2" t="s">
        <v>223</v>
      </c>
      <c r="G636" s="2" t="s">
        <v>51</v>
      </c>
      <c r="H636" s="2">
        <v>11</v>
      </c>
      <c r="I636" s="2">
        <v>8404.7099999999991</v>
      </c>
      <c r="J636" s="2">
        <v>0</v>
      </c>
      <c r="K636" s="2" t="s">
        <v>17</v>
      </c>
      <c r="L636" s="2" t="s">
        <v>35</v>
      </c>
    </row>
    <row r="637" spans="1:12" x14ac:dyDescent="0.2">
      <c r="A637" s="2">
        <v>100972</v>
      </c>
      <c r="B637" s="18">
        <v>45430</v>
      </c>
      <c r="C637" s="2" t="s">
        <v>644</v>
      </c>
      <c r="D637" s="2" t="s">
        <v>58</v>
      </c>
      <c r="E637" s="2" t="s">
        <v>69</v>
      </c>
      <c r="F637" s="2" t="s">
        <v>15</v>
      </c>
      <c r="G637" s="2" t="s">
        <v>59</v>
      </c>
      <c r="H637" s="2">
        <v>1</v>
      </c>
      <c r="I637" s="2" t="s">
        <v>645</v>
      </c>
      <c r="J637" s="2">
        <v>10</v>
      </c>
      <c r="K637" s="2" t="s">
        <v>41</v>
      </c>
      <c r="L637" s="2" t="s">
        <v>35</v>
      </c>
    </row>
    <row r="638" spans="1:12" x14ac:dyDescent="0.2">
      <c r="A638" s="2">
        <v>100839</v>
      </c>
      <c r="B638" s="17">
        <v>45650</v>
      </c>
      <c r="C638" s="2" t="s">
        <v>530</v>
      </c>
      <c r="D638" s="2" t="s">
        <v>27</v>
      </c>
      <c r="E638" s="2" t="s">
        <v>133</v>
      </c>
      <c r="F638" s="2" t="s">
        <v>106</v>
      </c>
      <c r="G638" s="2" t="s">
        <v>135</v>
      </c>
      <c r="H638" s="2">
        <v>10</v>
      </c>
      <c r="I638" s="2">
        <v>3376.75</v>
      </c>
      <c r="J638" s="2"/>
      <c r="K638" s="2" t="s">
        <v>24</v>
      </c>
      <c r="L638" s="2" t="s">
        <v>52</v>
      </c>
    </row>
    <row r="639" spans="1:12" x14ac:dyDescent="0.2">
      <c r="A639" s="2">
        <v>101610</v>
      </c>
      <c r="B639" s="2" t="s">
        <v>238</v>
      </c>
      <c r="C639" s="2" t="s">
        <v>380</v>
      </c>
      <c r="D639" s="2" t="s">
        <v>181</v>
      </c>
      <c r="E639" s="2" t="s">
        <v>14</v>
      </c>
      <c r="F639" s="2" t="s">
        <v>15</v>
      </c>
      <c r="G639" s="2" t="s">
        <v>59</v>
      </c>
      <c r="H639" s="2">
        <v>1</v>
      </c>
      <c r="I639" s="2">
        <v>21391.360000000001</v>
      </c>
      <c r="J639" s="2">
        <v>25</v>
      </c>
      <c r="K639" s="2" t="s">
        <v>66</v>
      </c>
      <c r="L639" s="2" t="s">
        <v>42</v>
      </c>
    </row>
    <row r="640" spans="1:12" x14ac:dyDescent="0.2">
      <c r="A640" s="2">
        <v>100658</v>
      </c>
      <c r="B640" s="17">
        <v>45367</v>
      </c>
      <c r="C640" s="2" t="s">
        <v>240</v>
      </c>
      <c r="D640" s="2" t="s">
        <v>73</v>
      </c>
      <c r="E640" s="2" t="s">
        <v>49</v>
      </c>
      <c r="F640" s="2" t="s">
        <v>191</v>
      </c>
      <c r="G640" s="2" t="s">
        <v>116</v>
      </c>
      <c r="H640" s="2">
        <v>4</v>
      </c>
      <c r="I640" s="2">
        <v>18114.86</v>
      </c>
      <c r="J640" s="2">
        <v>20</v>
      </c>
      <c r="K640" s="2" t="s">
        <v>83</v>
      </c>
      <c r="L640" s="2" t="s">
        <v>87</v>
      </c>
    </row>
    <row r="641" spans="1:12" x14ac:dyDescent="0.2">
      <c r="A641" s="2">
        <v>101682</v>
      </c>
      <c r="B641" s="17">
        <v>45580</v>
      </c>
      <c r="C641" s="2" t="s">
        <v>646</v>
      </c>
      <c r="D641" s="2" t="s">
        <v>175</v>
      </c>
      <c r="E641" s="2" t="s">
        <v>38</v>
      </c>
      <c r="F641" s="2" t="s">
        <v>33</v>
      </c>
      <c r="G641" s="2" t="s">
        <v>158</v>
      </c>
      <c r="H641" s="2">
        <v>9</v>
      </c>
      <c r="I641" s="2">
        <v>146.82</v>
      </c>
      <c r="J641" s="2">
        <v>0</v>
      </c>
      <c r="K641" s="2" t="s">
        <v>17</v>
      </c>
      <c r="L641" s="2" t="s">
        <v>143</v>
      </c>
    </row>
    <row r="642" spans="1:12" x14ac:dyDescent="0.2">
      <c r="A642" s="2">
        <v>100098</v>
      </c>
      <c r="B642" s="17">
        <v>45320</v>
      </c>
      <c r="C642" s="2" t="s">
        <v>464</v>
      </c>
      <c r="D642" s="2" t="s">
        <v>48</v>
      </c>
      <c r="E642" s="2" t="s">
        <v>79</v>
      </c>
      <c r="F642" s="2" t="s">
        <v>96</v>
      </c>
      <c r="G642" s="2" t="s">
        <v>97</v>
      </c>
      <c r="H642" s="2">
        <v>8</v>
      </c>
      <c r="I642" s="2">
        <v>24844.720000000001</v>
      </c>
      <c r="J642" s="2">
        <v>25</v>
      </c>
      <c r="K642" s="2" t="s">
        <v>66</v>
      </c>
      <c r="L642" s="2" t="s">
        <v>35</v>
      </c>
    </row>
    <row r="643" spans="1:12" x14ac:dyDescent="0.2">
      <c r="A643" s="2">
        <v>100807</v>
      </c>
      <c r="B643" s="17">
        <v>45355</v>
      </c>
      <c r="C643" s="2" t="s">
        <v>396</v>
      </c>
      <c r="D643" s="2" t="s">
        <v>61</v>
      </c>
      <c r="E643" s="2" t="s">
        <v>14</v>
      </c>
      <c r="F643" s="2" t="s">
        <v>74</v>
      </c>
      <c r="G643" s="2" t="s">
        <v>232</v>
      </c>
      <c r="H643" s="2">
        <v>4</v>
      </c>
      <c r="I643" s="2">
        <v>2966.08</v>
      </c>
      <c r="J643" s="2">
        <v>0</v>
      </c>
      <c r="K643" s="2" t="s">
        <v>24</v>
      </c>
      <c r="L643" s="2" t="s">
        <v>35</v>
      </c>
    </row>
    <row r="644" spans="1:12" x14ac:dyDescent="0.2">
      <c r="A644" s="2">
        <v>101023</v>
      </c>
      <c r="B644" s="18">
        <v>45550</v>
      </c>
      <c r="C644" s="2" t="s">
        <v>229</v>
      </c>
      <c r="D644" s="2" t="s">
        <v>89</v>
      </c>
      <c r="E644" s="2" t="s">
        <v>54</v>
      </c>
      <c r="F644" s="2" t="s">
        <v>124</v>
      </c>
      <c r="G644" s="2" t="s">
        <v>62</v>
      </c>
      <c r="H644" s="2">
        <v>4</v>
      </c>
      <c r="I644" s="2">
        <v>10479.44</v>
      </c>
      <c r="J644" s="2">
        <v>15</v>
      </c>
      <c r="K644" s="2" t="s">
        <v>24</v>
      </c>
      <c r="L644" s="2" t="s">
        <v>18</v>
      </c>
    </row>
    <row r="645" spans="1:12" x14ac:dyDescent="0.2">
      <c r="A645" s="2">
        <v>101488</v>
      </c>
      <c r="B645" s="17">
        <v>45458</v>
      </c>
      <c r="C645" s="2" t="s">
        <v>235</v>
      </c>
      <c r="D645" s="2" t="s">
        <v>109</v>
      </c>
      <c r="E645" s="2" t="s">
        <v>21</v>
      </c>
      <c r="F645" s="2" t="s">
        <v>80</v>
      </c>
      <c r="G645" s="2" t="s">
        <v>81</v>
      </c>
      <c r="H645" s="2">
        <v>9</v>
      </c>
      <c r="I645" s="2">
        <v>519.88</v>
      </c>
      <c r="J645" s="2">
        <v>0</v>
      </c>
      <c r="K645" s="2" t="s">
        <v>41</v>
      </c>
      <c r="L645" s="2" t="s">
        <v>18</v>
      </c>
    </row>
    <row r="646" spans="1:12" x14ac:dyDescent="0.2">
      <c r="A646" s="2">
        <v>100140</v>
      </c>
      <c r="B646" s="17">
        <v>45292</v>
      </c>
      <c r="C646" s="2" t="s">
        <v>30</v>
      </c>
      <c r="D646" s="2" t="s">
        <v>44</v>
      </c>
      <c r="E646" s="2" t="s">
        <v>54</v>
      </c>
      <c r="F646" s="2" t="s">
        <v>124</v>
      </c>
      <c r="G646" s="2" t="s">
        <v>51</v>
      </c>
      <c r="H646" s="2">
        <v>-3</v>
      </c>
      <c r="I646" s="2"/>
      <c r="J646" s="2">
        <v>0</v>
      </c>
      <c r="K646" s="2" t="s">
        <v>17</v>
      </c>
      <c r="L646" s="2" t="s">
        <v>25</v>
      </c>
    </row>
    <row r="647" spans="1:12" x14ac:dyDescent="0.2">
      <c r="A647" s="2">
        <v>101460</v>
      </c>
      <c r="B647" s="18">
        <v>45456</v>
      </c>
      <c r="C647" s="2"/>
      <c r="D647" s="2" t="s">
        <v>95</v>
      </c>
      <c r="E647" s="2" t="s">
        <v>21</v>
      </c>
      <c r="F647" s="2" t="s">
        <v>33</v>
      </c>
      <c r="G647" s="2" t="s">
        <v>158</v>
      </c>
      <c r="H647" s="2">
        <v>7</v>
      </c>
      <c r="I647" s="2">
        <v>441.16</v>
      </c>
      <c r="J647" s="2">
        <v>0.15</v>
      </c>
      <c r="K647" s="2" t="s">
        <v>41</v>
      </c>
      <c r="L647" s="2" t="s">
        <v>18</v>
      </c>
    </row>
    <row r="648" spans="1:12" x14ac:dyDescent="0.2">
      <c r="A648" s="2">
        <v>100954</v>
      </c>
      <c r="B648" s="17">
        <v>45576</v>
      </c>
      <c r="C648" s="2" t="s">
        <v>36</v>
      </c>
      <c r="D648" s="2" t="s">
        <v>31</v>
      </c>
      <c r="E648" s="2" t="s">
        <v>54</v>
      </c>
      <c r="F648" s="2" t="s">
        <v>102</v>
      </c>
      <c r="G648" s="2" t="s">
        <v>156</v>
      </c>
      <c r="H648" s="2">
        <v>3</v>
      </c>
      <c r="I648" s="2">
        <v>3748.34</v>
      </c>
      <c r="J648" s="2">
        <v>0</v>
      </c>
      <c r="K648" s="2" t="s">
        <v>41</v>
      </c>
      <c r="L648" s="2" t="s">
        <v>35</v>
      </c>
    </row>
    <row r="649" spans="1:12" x14ac:dyDescent="0.2">
      <c r="A649" s="2">
        <v>100730</v>
      </c>
      <c r="B649" s="17">
        <v>45513</v>
      </c>
      <c r="C649" s="2" t="s">
        <v>647</v>
      </c>
      <c r="D649" s="2" t="s">
        <v>95</v>
      </c>
      <c r="E649" s="2" t="s">
        <v>21</v>
      </c>
      <c r="F649" s="2" t="s">
        <v>113</v>
      </c>
      <c r="G649" s="2" t="s">
        <v>242</v>
      </c>
      <c r="H649" s="2">
        <v>8</v>
      </c>
      <c r="I649" s="2">
        <v>789.46</v>
      </c>
      <c r="J649" s="2">
        <v>0</v>
      </c>
      <c r="K649" s="2" t="s">
        <v>29</v>
      </c>
      <c r="L649" s="2" t="s">
        <v>35</v>
      </c>
    </row>
    <row r="650" spans="1:12" x14ac:dyDescent="0.2">
      <c r="A650" s="2">
        <v>101474</v>
      </c>
      <c r="B650" s="17">
        <v>45588</v>
      </c>
      <c r="C650" s="2" t="s">
        <v>91</v>
      </c>
      <c r="D650" s="2" t="s">
        <v>13</v>
      </c>
      <c r="E650" s="2" t="s">
        <v>119</v>
      </c>
      <c r="F650" s="2" t="s">
        <v>124</v>
      </c>
      <c r="G650" s="2" t="s">
        <v>56</v>
      </c>
      <c r="H650" s="2">
        <v>8</v>
      </c>
      <c r="I650" s="2" t="s">
        <v>648</v>
      </c>
      <c r="J650" s="2">
        <v>0</v>
      </c>
      <c r="K650" s="2" t="s">
        <v>24</v>
      </c>
      <c r="L650" s="2" t="s">
        <v>42</v>
      </c>
    </row>
    <row r="651" spans="1:12" x14ac:dyDescent="0.2">
      <c r="A651" s="2">
        <v>101344</v>
      </c>
      <c r="B651" s="18">
        <v>45353</v>
      </c>
      <c r="C651" s="2" t="s">
        <v>649</v>
      </c>
      <c r="D651" s="2" t="s">
        <v>129</v>
      </c>
      <c r="E651" s="2" t="s">
        <v>79</v>
      </c>
      <c r="F651" s="2" t="s">
        <v>33</v>
      </c>
      <c r="G651" s="2" t="s">
        <v>93</v>
      </c>
      <c r="H651" s="2">
        <v>11</v>
      </c>
      <c r="I651" s="2">
        <v>312.92</v>
      </c>
      <c r="J651" s="2">
        <v>15</v>
      </c>
      <c r="K651" s="2" t="s">
        <v>17</v>
      </c>
      <c r="L651" s="2" t="s">
        <v>42</v>
      </c>
    </row>
    <row r="652" spans="1:12" x14ac:dyDescent="0.2">
      <c r="A652" s="2">
        <v>100968</v>
      </c>
      <c r="B652" s="18">
        <v>45380</v>
      </c>
      <c r="C652" s="2" t="s">
        <v>650</v>
      </c>
      <c r="D652" s="2" t="s">
        <v>31</v>
      </c>
      <c r="E652" s="2" t="s">
        <v>32</v>
      </c>
      <c r="F652" s="2" t="s">
        <v>155</v>
      </c>
      <c r="G652" s="2" t="s">
        <v>156</v>
      </c>
      <c r="H652" s="2">
        <v>1</v>
      </c>
      <c r="I652" s="2">
        <v>4206.26</v>
      </c>
      <c r="J652" s="2">
        <v>0</v>
      </c>
      <c r="K652" s="2" t="s">
        <v>83</v>
      </c>
      <c r="L652" s="2" t="s">
        <v>18</v>
      </c>
    </row>
    <row r="653" spans="1:12" x14ac:dyDescent="0.2">
      <c r="A653" s="2">
        <v>101195</v>
      </c>
      <c r="B653" s="18">
        <v>45406</v>
      </c>
      <c r="C653" s="2" t="s">
        <v>378</v>
      </c>
      <c r="D653" s="2" t="s">
        <v>73</v>
      </c>
      <c r="E653" s="2" t="s">
        <v>79</v>
      </c>
      <c r="F653" s="2" t="s">
        <v>55</v>
      </c>
      <c r="G653" s="2" t="s">
        <v>56</v>
      </c>
      <c r="H653" s="2">
        <v>10</v>
      </c>
      <c r="I653" s="2" t="s">
        <v>651</v>
      </c>
      <c r="J653" s="2">
        <v>0</v>
      </c>
      <c r="K653" s="2" t="s">
        <v>24</v>
      </c>
      <c r="L653" s="2" t="s">
        <v>35</v>
      </c>
    </row>
    <row r="654" spans="1:12" x14ac:dyDescent="0.2">
      <c r="A654" s="2">
        <v>101226</v>
      </c>
      <c r="B654" s="18">
        <v>45608</v>
      </c>
      <c r="C654" s="2" t="s">
        <v>415</v>
      </c>
      <c r="D654" s="2" t="s">
        <v>61</v>
      </c>
      <c r="E654" s="2" t="s">
        <v>14</v>
      </c>
      <c r="F654" s="2" t="s">
        <v>64</v>
      </c>
      <c r="G654" s="2" t="s">
        <v>114</v>
      </c>
      <c r="H654" s="2">
        <v>4</v>
      </c>
      <c r="I654" s="2">
        <v>550.78</v>
      </c>
      <c r="J654" s="2">
        <v>5</v>
      </c>
      <c r="K654" s="2" t="s">
        <v>41</v>
      </c>
      <c r="L654" s="2" t="s">
        <v>52</v>
      </c>
    </row>
    <row r="655" spans="1:12" x14ac:dyDescent="0.2">
      <c r="A655" s="2">
        <v>100129</v>
      </c>
      <c r="B655" s="17">
        <v>45316</v>
      </c>
      <c r="C655" s="2"/>
      <c r="D655" s="2" t="s">
        <v>48</v>
      </c>
      <c r="E655" s="2" t="s">
        <v>49</v>
      </c>
      <c r="F655" s="2" t="s">
        <v>191</v>
      </c>
      <c r="G655" s="2" t="s">
        <v>205</v>
      </c>
      <c r="H655" s="2">
        <v>9</v>
      </c>
      <c r="I655" s="2">
        <v>13378.44</v>
      </c>
      <c r="J655" s="2">
        <v>0.25</v>
      </c>
      <c r="K655" s="2" t="s">
        <v>17</v>
      </c>
      <c r="L655" s="2" t="s">
        <v>35</v>
      </c>
    </row>
    <row r="656" spans="1:12" x14ac:dyDescent="0.2">
      <c r="A656" s="2">
        <v>100706</v>
      </c>
      <c r="B656" s="17">
        <v>45543</v>
      </c>
      <c r="C656" s="2" t="s">
        <v>533</v>
      </c>
      <c r="D656" s="2" t="s">
        <v>89</v>
      </c>
      <c r="E656" s="2" t="s">
        <v>54</v>
      </c>
      <c r="F656" s="2" t="s">
        <v>155</v>
      </c>
      <c r="G656" s="2" t="s">
        <v>135</v>
      </c>
      <c r="H656" s="2">
        <v>11</v>
      </c>
      <c r="I656" s="2">
        <v>824.52</v>
      </c>
      <c r="J656" s="2">
        <v>0</v>
      </c>
      <c r="K656" s="2" t="s">
        <v>83</v>
      </c>
      <c r="L656" s="2" t="s">
        <v>87</v>
      </c>
    </row>
    <row r="657" spans="1:12" x14ac:dyDescent="0.2">
      <c r="A657" s="2">
        <v>101170</v>
      </c>
      <c r="B657" s="17">
        <v>45601</v>
      </c>
      <c r="C657" s="2" t="s">
        <v>652</v>
      </c>
      <c r="D657" s="2" t="s">
        <v>85</v>
      </c>
      <c r="E657" s="2" t="s">
        <v>14</v>
      </c>
      <c r="F657" s="2" t="s">
        <v>22</v>
      </c>
      <c r="G657" s="2" t="s">
        <v>232</v>
      </c>
      <c r="H657" s="2">
        <v>3</v>
      </c>
      <c r="I657" s="2">
        <v>3029.8</v>
      </c>
      <c r="J657" s="2">
        <v>10</v>
      </c>
      <c r="K657" s="2" t="s">
        <v>66</v>
      </c>
      <c r="L657" s="2" t="s">
        <v>87</v>
      </c>
    </row>
    <row r="658" spans="1:12" x14ac:dyDescent="0.2">
      <c r="A658" s="2">
        <v>101947</v>
      </c>
      <c r="B658" s="18">
        <v>45312</v>
      </c>
      <c r="C658" s="2" t="s">
        <v>127</v>
      </c>
      <c r="D658" s="2" t="s">
        <v>61</v>
      </c>
      <c r="E658" s="2" t="s">
        <v>14</v>
      </c>
      <c r="F658" s="2" t="s">
        <v>80</v>
      </c>
      <c r="G658" s="2" t="s">
        <v>34</v>
      </c>
      <c r="H658" s="2">
        <v>5</v>
      </c>
      <c r="I658" s="2">
        <v>355.42</v>
      </c>
      <c r="J658" s="2"/>
      <c r="K658" s="2" t="s">
        <v>83</v>
      </c>
      <c r="L658" s="2" t="s">
        <v>52</v>
      </c>
    </row>
    <row r="659" spans="1:12" x14ac:dyDescent="0.2">
      <c r="A659" s="2">
        <v>101376</v>
      </c>
      <c r="B659" s="17">
        <v>45607</v>
      </c>
      <c r="C659" s="2" t="s">
        <v>653</v>
      </c>
      <c r="D659" s="2" t="s">
        <v>181</v>
      </c>
      <c r="E659" s="2" t="s">
        <v>119</v>
      </c>
      <c r="F659" s="2" t="s">
        <v>64</v>
      </c>
      <c r="G659" s="2" t="s">
        <v>114</v>
      </c>
      <c r="H659" s="2">
        <v>9</v>
      </c>
      <c r="I659" s="2">
        <v>274.14</v>
      </c>
      <c r="J659" s="2">
        <v>0</v>
      </c>
      <c r="K659" s="2" t="s">
        <v>29</v>
      </c>
      <c r="L659" s="2" t="s">
        <v>121</v>
      </c>
    </row>
    <row r="660" spans="1:12" x14ac:dyDescent="0.2">
      <c r="A660" s="2">
        <v>100523</v>
      </c>
      <c r="B660" s="18">
        <v>45356</v>
      </c>
      <c r="C660" s="2" t="s">
        <v>309</v>
      </c>
      <c r="D660" s="2" t="s">
        <v>37</v>
      </c>
      <c r="E660" s="2" t="s">
        <v>38</v>
      </c>
      <c r="F660" s="2" t="s">
        <v>39</v>
      </c>
      <c r="G660" s="2" t="s">
        <v>40</v>
      </c>
      <c r="H660" s="2">
        <v>6</v>
      </c>
      <c r="I660" s="2">
        <v>357.6</v>
      </c>
      <c r="J660" s="2">
        <v>0.25</v>
      </c>
      <c r="K660" s="2" t="s">
        <v>66</v>
      </c>
      <c r="L660" s="2" t="s">
        <v>52</v>
      </c>
    </row>
    <row r="661" spans="1:12" x14ac:dyDescent="0.2">
      <c r="A661" s="2">
        <v>100265</v>
      </c>
      <c r="B661" s="17">
        <v>45323</v>
      </c>
      <c r="C661" s="2" t="s">
        <v>322</v>
      </c>
      <c r="D661" s="2" t="s">
        <v>27</v>
      </c>
      <c r="E661" s="2" t="s">
        <v>133</v>
      </c>
      <c r="F661" s="2" t="s">
        <v>70</v>
      </c>
      <c r="G661" s="2" t="s">
        <v>153</v>
      </c>
      <c r="H661" s="2">
        <v>7</v>
      </c>
      <c r="I661" s="2">
        <v>25646.32</v>
      </c>
      <c r="J661" s="2">
        <v>0.2</v>
      </c>
      <c r="K661" s="2" t="s">
        <v>29</v>
      </c>
      <c r="L661" s="2" t="s">
        <v>143</v>
      </c>
    </row>
    <row r="662" spans="1:12" x14ac:dyDescent="0.2">
      <c r="A662" s="2">
        <v>101019</v>
      </c>
      <c r="B662" s="17">
        <v>45571</v>
      </c>
      <c r="C662" s="2" t="s">
        <v>91</v>
      </c>
      <c r="D662" s="2" t="s">
        <v>27</v>
      </c>
      <c r="E662" s="2" t="s">
        <v>21</v>
      </c>
      <c r="F662" s="2" t="s">
        <v>80</v>
      </c>
      <c r="G662" s="2" t="s">
        <v>34</v>
      </c>
      <c r="H662" s="2">
        <v>11</v>
      </c>
      <c r="I662" s="2">
        <v>84.52</v>
      </c>
      <c r="J662" s="2"/>
      <c r="K662" s="2" t="s">
        <v>41</v>
      </c>
      <c r="L662" s="2" t="s">
        <v>42</v>
      </c>
    </row>
    <row r="663" spans="1:12" x14ac:dyDescent="0.2">
      <c r="A663" s="2">
        <v>100947</v>
      </c>
      <c r="B663" s="17">
        <v>45572</v>
      </c>
      <c r="C663" s="2" t="s">
        <v>654</v>
      </c>
      <c r="D663" s="2" t="s">
        <v>73</v>
      </c>
      <c r="E663" s="2" t="s">
        <v>49</v>
      </c>
      <c r="F663" s="2" t="s">
        <v>74</v>
      </c>
      <c r="G663" s="2" t="s">
        <v>141</v>
      </c>
      <c r="H663" s="2">
        <v>8</v>
      </c>
      <c r="I663" s="2"/>
      <c r="J663" s="2">
        <v>0.2</v>
      </c>
      <c r="K663" s="2" t="s">
        <v>17</v>
      </c>
      <c r="L663" s="2" t="s">
        <v>87</v>
      </c>
    </row>
    <row r="664" spans="1:12" x14ac:dyDescent="0.2">
      <c r="A664" s="2"/>
      <c r="B664" s="2"/>
      <c r="C664" s="2"/>
      <c r="D664" s="2"/>
      <c r="E664" s="2"/>
      <c r="F664" s="2"/>
      <c r="G664" s="2"/>
      <c r="H664" s="2"/>
      <c r="I664" s="2"/>
      <c r="J664" s="2"/>
      <c r="K664" s="2"/>
      <c r="L664" s="2"/>
    </row>
    <row r="665" spans="1:12" x14ac:dyDescent="0.2">
      <c r="A665" s="2">
        <v>100664</v>
      </c>
      <c r="B665" s="17">
        <v>45297</v>
      </c>
      <c r="C665" s="2" t="s">
        <v>655</v>
      </c>
      <c r="D665" s="2" t="s">
        <v>31</v>
      </c>
      <c r="E665" s="2" t="s">
        <v>54</v>
      </c>
      <c r="F665" s="2" t="s">
        <v>102</v>
      </c>
      <c r="G665" s="2" t="s">
        <v>103</v>
      </c>
      <c r="H665" s="2">
        <v>2</v>
      </c>
      <c r="I665" s="2">
        <v>1318.36</v>
      </c>
      <c r="J665" s="2">
        <v>0.05</v>
      </c>
      <c r="K665" s="2" t="s">
        <v>41</v>
      </c>
      <c r="L665" s="2" t="s">
        <v>42</v>
      </c>
    </row>
    <row r="666" spans="1:12" x14ac:dyDescent="0.2">
      <c r="A666" s="2">
        <v>100632</v>
      </c>
      <c r="B666" s="18">
        <v>45314</v>
      </c>
      <c r="C666" s="2" t="s">
        <v>656</v>
      </c>
      <c r="D666" s="2" t="s">
        <v>140</v>
      </c>
      <c r="E666" s="2" t="s">
        <v>79</v>
      </c>
      <c r="F666" s="2" t="s">
        <v>39</v>
      </c>
      <c r="G666" s="2" t="s">
        <v>165</v>
      </c>
      <c r="H666" s="2">
        <v>1</v>
      </c>
      <c r="I666" s="2">
        <v>422.39</v>
      </c>
      <c r="J666" s="2">
        <v>0.05</v>
      </c>
      <c r="K666" s="2" t="s">
        <v>17</v>
      </c>
      <c r="L666" s="2" t="s">
        <v>18</v>
      </c>
    </row>
    <row r="667" spans="1:12" x14ac:dyDescent="0.2">
      <c r="A667" s="2">
        <v>100499</v>
      </c>
      <c r="B667" s="2" t="s">
        <v>657</v>
      </c>
      <c r="C667" s="2"/>
      <c r="D667" s="2" t="s">
        <v>131</v>
      </c>
      <c r="E667" s="2" t="s">
        <v>21</v>
      </c>
      <c r="F667" s="2" t="s">
        <v>102</v>
      </c>
      <c r="G667" s="2" t="s">
        <v>103</v>
      </c>
      <c r="H667" s="2">
        <v>3</v>
      </c>
      <c r="I667" s="2">
        <v>1045.6099999999999</v>
      </c>
      <c r="J667" s="2">
        <v>0</v>
      </c>
      <c r="K667" s="2" t="s">
        <v>41</v>
      </c>
      <c r="L667" s="2" t="s">
        <v>87</v>
      </c>
    </row>
    <row r="668" spans="1:12" x14ac:dyDescent="0.2">
      <c r="A668" s="2">
        <v>101772</v>
      </c>
      <c r="B668" s="17">
        <v>45384</v>
      </c>
      <c r="C668" s="2" t="s">
        <v>206</v>
      </c>
      <c r="D668" s="2" t="s">
        <v>89</v>
      </c>
      <c r="E668" s="2" t="s">
        <v>32</v>
      </c>
      <c r="F668" s="2" t="s">
        <v>102</v>
      </c>
      <c r="G668" s="2" t="s">
        <v>135</v>
      </c>
      <c r="H668" s="2">
        <v>4</v>
      </c>
      <c r="I668" s="2">
        <v>689.74</v>
      </c>
      <c r="J668" s="2">
        <v>0.25</v>
      </c>
      <c r="K668" s="2" t="s">
        <v>66</v>
      </c>
      <c r="L668" s="2" t="s">
        <v>52</v>
      </c>
    </row>
    <row r="669" spans="1:12" x14ac:dyDescent="0.2">
      <c r="A669" s="2">
        <v>101964</v>
      </c>
      <c r="B669" s="18">
        <v>45474</v>
      </c>
      <c r="C669" s="2" t="s">
        <v>658</v>
      </c>
      <c r="D669" s="2" t="s">
        <v>73</v>
      </c>
      <c r="E669" s="2" t="s">
        <v>49</v>
      </c>
      <c r="F669" s="2" t="s">
        <v>113</v>
      </c>
      <c r="G669" s="2" t="s">
        <v>114</v>
      </c>
      <c r="H669" s="2">
        <v>9</v>
      </c>
      <c r="I669" s="2">
        <v>260.19</v>
      </c>
      <c r="J669" s="2">
        <v>0</v>
      </c>
      <c r="K669" s="2" t="s">
        <v>41</v>
      </c>
      <c r="L669" s="2" t="s">
        <v>42</v>
      </c>
    </row>
    <row r="670" spans="1:12" x14ac:dyDescent="0.2">
      <c r="A670" s="2">
        <v>101679</v>
      </c>
      <c r="B670" s="17">
        <v>45519</v>
      </c>
      <c r="C670" s="2" t="s">
        <v>659</v>
      </c>
      <c r="D670" s="2" t="s">
        <v>181</v>
      </c>
      <c r="E670" s="2" t="s">
        <v>14</v>
      </c>
      <c r="F670" s="2" t="s">
        <v>50</v>
      </c>
      <c r="G670" s="2" t="s">
        <v>62</v>
      </c>
      <c r="H670" s="2">
        <v>5</v>
      </c>
      <c r="I670" s="2"/>
      <c r="J670" s="2">
        <v>0.1</v>
      </c>
      <c r="K670" s="2" t="s">
        <v>29</v>
      </c>
      <c r="L670" s="2" t="s">
        <v>35</v>
      </c>
    </row>
    <row r="671" spans="1:12" x14ac:dyDescent="0.2">
      <c r="A671" s="2">
        <v>100931</v>
      </c>
      <c r="B671" s="18">
        <v>45496</v>
      </c>
      <c r="C671" s="2" t="s">
        <v>506</v>
      </c>
      <c r="D671" s="2" t="s">
        <v>160</v>
      </c>
      <c r="E671" s="2" t="s">
        <v>79</v>
      </c>
      <c r="F671" s="2" t="s">
        <v>102</v>
      </c>
      <c r="G671" s="2" t="s">
        <v>103</v>
      </c>
      <c r="H671" s="2">
        <v>6</v>
      </c>
      <c r="I671" s="2">
        <v>2268.98</v>
      </c>
      <c r="J671" s="2">
        <v>0.2</v>
      </c>
      <c r="K671" s="2" t="s">
        <v>17</v>
      </c>
      <c r="L671" s="2" t="s">
        <v>52</v>
      </c>
    </row>
    <row r="672" spans="1:12" x14ac:dyDescent="0.2">
      <c r="A672" s="2">
        <v>100433</v>
      </c>
      <c r="B672" s="18">
        <v>45496</v>
      </c>
      <c r="C672" s="2" t="s">
        <v>660</v>
      </c>
      <c r="D672" s="2" t="s">
        <v>44</v>
      </c>
      <c r="E672" s="2" t="s">
        <v>32</v>
      </c>
      <c r="F672" s="2" t="s">
        <v>28</v>
      </c>
      <c r="G672" s="2" t="s">
        <v>205</v>
      </c>
      <c r="H672" s="2">
        <v>2</v>
      </c>
      <c r="I672" s="2">
        <v>23812.639999999999</v>
      </c>
      <c r="J672" s="2">
        <v>0</v>
      </c>
      <c r="K672" s="2" t="s">
        <v>41</v>
      </c>
      <c r="L672" s="2" t="s">
        <v>121</v>
      </c>
    </row>
    <row r="673" spans="1:12" x14ac:dyDescent="0.2">
      <c r="A673" s="2">
        <v>101172</v>
      </c>
      <c r="B673" s="17">
        <v>45506</v>
      </c>
      <c r="C673" s="2"/>
      <c r="D673" s="2" t="s">
        <v>160</v>
      </c>
      <c r="E673" s="2" t="s">
        <v>79</v>
      </c>
      <c r="F673" s="2" t="s">
        <v>191</v>
      </c>
      <c r="G673" s="2" t="s">
        <v>152</v>
      </c>
      <c r="H673" s="2">
        <v>3</v>
      </c>
      <c r="I673" s="2">
        <v>24337.06</v>
      </c>
      <c r="J673" s="2">
        <v>15</v>
      </c>
      <c r="K673" s="2" t="s">
        <v>29</v>
      </c>
      <c r="L673" s="2" t="s">
        <v>42</v>
      </c>
    </row>
    <row r="674" spans="1:12" x14ac:dyDescent="0.2">
      <c r="A674" s="2">
        <v>100818</v>
      </c>
      <c r="B674" s="18">
        <v>45496</v>
      </c>
      <c r="C674" s="2" t="s">
        <v>661</v>
      </c>
      <c r="D674" s="2" t="s">
        <v>27</v>
      </c>
      <c r="E674" s="2" t="s">
        <v>21</v>
      </c>
      <c r="F674" s="2" t="s">
        <v>64</v>
      </c>
      <c r="G674" s="2" t="s">
        <v>292</v>
      </c>
      <c r="H674" s="2">
        <v>11</v>
      </c>
      <c r="I674" s="2">
        <v>478.1</v>
      </c>
      <c r="J674" s="2">
        <v>0</v>
      </c>
      <c r="K674" s="2" t="s">
        <v>24</v>
      </c>
      <c r="L674" s="2" t="s">
        <v>18</v>
      </c>
    </row>
    <row r="675" spans="1:12" x14ac:dyDescent="0.2">
      <c r="A675" s="2">
        <v>100069</v>
      </c>
      <c r="B675" s="18">
        <v>45639</v>
      </c>
      <c r="C675" s="2" t="s">
        <v>300</v>
      </c>
      <c r="D675" s="2" t="s">
        <v>31</v>
      </c>
      <c r="E675" s="2" t="s">
        <v>54</v>
      </c>
      <c r="F675" s="2" t="s">
        <v>120</v>
      </c>
      <c r="G675" s="2" t="s">
        <v>232</v>
      </c>
      <c r="H675" s="2">
        <v>8</v>
      </c>
      <c r="I675" s="2">
        <v>3405.72</v>
      </c>
      <c r="J675" s="2">
        <v>0.25</v>
      </c>
      <c r="K675" s="2" t="s">
        <v>66</v>
      </c>
      <c r="L675" s="2" t="s">
        <v>25</v>
      </c>
    </row>
    <row r="676" spans="1:12" x14ac:dyDescent="0.2">
      <c r="A676" s="2">
        <v>100809</v>
      </c>
      <c r="B676" s="17">
        <v>45556</v>
      </c>
      <c r="C676" s="2" t="s">
        <v>400</v>
      </c>
      <c r="D676" s="2" t="s">
        <v>61</v>
      </c>
      <c r="E676" s="2" t="s">
        <v>119</v>
      </c>
      <c r="F676" s="2" t="s">
        <v>15</v>
      </c>
      <c r="G676" s="2" t="s">
        <v>116</v>
      </c>
      <c r="H676" s="2">
        <v>2</v>
      </c>
      <c r="I676" s="2">
        <v>14738.4</v>
      </c>
      <c r="J676" s="2">
        <v>0</v>
      </c>
      <c r="K676" s="2" t="s">
        <v>41</v>
      </c>
      <c r="L676" s="2" t="s">
        <v>87</v>
      </c>
    </row>
    <row r="677" spans="1:12" x14ac:dyDescent="0.2">
      <c r="A677" s="2">
        <v>100688</v>
      </c>
      <c r="B677" s="17">
        <v>45582</v>
      </c>
      <c r="C677" s="2" t="s">
        <v>221</v>
      </c>
      <c r="D677" s="2" t="s">
        <v>27</v>
      </c>
      <c r="E677" s="2" t="s">
        <v>133</v>
      </c>
      <c r="F677" s="2" t="s">
        <v>50</v>
      </c>
      <c r="G677" s="2" t="s">
        <v>207</v>
      </c>
      <c r="H677" s="2">
        <v>5</v>
      </c>
      <c r="I677" s="2">
        <v>10303.64</v>
      </c>
      <c r="J677" s="2">
        <v>20</v>
      </c>
      <c r="K677" s="2" t="s">
        <v>83</v>
      </c>
      <c r="L677" s="2" t="s">
        <v>52</v>
      </c>
    </row>
    <row r="678" spans="1:12" x14ac:dyDescent="0.2">
      <c r="A678" s="2">
        <v>101282</v>
      </c>
      <c r="B678" s="18">
        <v>45555</v>
      </c>
      <c r="C678" s="2" t="s">
        <v>662</v>
      </c>
      <c r="D678" s="2" t="s">
        <v>175</v>
      </c>
      <c r="E678" s="2" t="s">
        <v>38</v>
      </c>
      <c r="F678" s="2" t="s">
        <v>80</v>
      </c>
      <c r="G678" s="2" t="s">
        <v>93</v>
      </c>
      <c r="H678" s="2">
        <v>1</v>
      </c>
      <c r="I678" s="2">
        <v>454.4</v>
      </c>
      <c r="J678" s="2">
        <v>0</v>
      </c>
      <c r="K678" s="2" t="s">
        <v>41</v>
      </c>
      <c r="L678" s="2" t="s">
        <v>52</v>
      </c>
    </row>
    <row r="679" spans="1:12" x14ac:dyDescent="0.2">
      <c r="A679" s="2">
        <v>101861</v>
      </c>
      <c r="B679" s="2" t="s">
        <v>663</v>
      </c>
      <c r="C679" s="2" t="s">
        <v>614</v>
      </c>
      <c r="D679" s="2" t="s">
        <v>37</v>
      </c>
      <c r="E679" s="2" t="s">
        <v>69</v>
      </c>
      <c r="F679" s="2" t="s">
        <v>22</v>
      </c>
      <c r="G679" s="2" t="s">
        <v>75</v>
      </c>
      <c r="H679" s="2">
        <v>12</v>
      </c>
      <c r="I679" s="2">
        <v>1982.29</v>
      </c>
      <c r="J679" s="2">
        <v>0.1</v>
      </c>
      <c r="K679" s="2" t="s">
        <v>17</v>
      </c>
      <c r="L679" s="2" t="s">
        <v>35</v>
      </c>
    </row>
    <row r="680" spans="1:12" x14ac:dyDescent="0.2">
      <c r="A680" s="2">
        <v>100574</v>
      </c>
      <c r="B680" s="17">
        <v>45528</v>
      </c>
      <c r="C680" s="2" t="s">
        <v>424</v>
      </c>
      <c r="D680" s="2" t="s">
        <v>13</v>
      </c>
      <c r="E680" s="2" t="s">
        <v>119</v>
      </c>
      <c r="F680" s="2" t="s">
        <v>113</v>
      </c>
      <c r="G680" s="2" t="s">
        <v>242</v>
      </c>
      <c r="H680" s="2">
        <v>6</v>
      </c>
      <c r="I680" s="2">
        <v>198.93</v>
      </c>
      <c r="J680" s="2">
        <v>0</v>
      </c>
      <c r="K680" s="2" t="s">
        <v>17</v>
      </c>
      <c r="L680" s="2" t="s">
        <v>35</v>
      </c>
    </row>
    <row r="681" spans="1:12" x14ac:dyDescent="0.2">
      <c r="A681" s="2">
        <v>100335</v>
      </c>
      <c r="B681" s="2" t="s">
        <v>664</v>
      </c>
      <c r="C681" s="2" t="s">
        <v>30</v>
      </c>
      <c r="D681" s="2" t="s">
        <v>175</v>
      </c>
      <c r="E681" s="2" t="s">
        <v>69</v>
      </c>
      <c r="F681" s="2" t="s">
        <v>64</v>
      </c>
      <c r="G681" s="2" t="s">
        <v>40</v>
      </c>
      <c r="H681" s="2">
        <v>8</v>
      </c>
      <c r="I681" s="2">
        <v>84.67</v>
      </c>
      <c r="J681" s="2">
        <v>0</v>
      </c>
      <c r="K681" s="2" t="s">
        <v>66</v>
      </c>
      <c r="L681" s="2" t="s">
        <v>52</v>
      </c>
    </row>
    <row r="682" spans="1:12" x14ac:dyDescent="0.2">
      <c r="A682" s="2">
        <v>100339</v>
      </c>
      <c r="B682" s="17">
        <v>45510</v>
      </c>
      <c r="C682" s="2" t="s">
        <v>665</v>
      </c>
      <c r="D682" s="2" t="s">
        <v>37</v>
      </c>
      <c r="E682" s="2" t="s">
        <v>69</v>
      </c>
      <c r="F682" s="2" t="s">
        <v>106</v>
      </c>
      <c r="G682" s="2" t="s">
        <v>103</v>
      </c>
      <c r="H682" s="2">
        <v>10</v>
      </c>
      <c r="I682" s="2">
        <v>2281.77</v>
      </c>
      <c r="J682" s="2">
        <v>0.15</v>
      </c>
      <c r="K682" s="2" t="s">
        <v>17</v>
      </c>
      <c r="L682" s="2" t="s">
        <v>121</v>
      </c>
    </row>
    <row r="683" spans="1:12" x14ac:dyDescent="0.2">
      <c r="A683" s="2">
        <v>101187</v>
      </c>
      <c r="B683" s="17">
        <v>45481</v>
      </c>
      <c r="C683" s="2" t="s">
        <v>666</v>
      </c>
      <c r="D683" s="2" t="s">
        <v>31</v>
      </c>
      <c r="E683" s="2" t="s">
        <v>32</v>
      </c>
      <c r="F683" s="2" t="s">
        <v>64</v>
      </c>
      <c r="G683" s="2" t="s">
        <v>165</v>
      </c>
      <c r="H683" s="2">
        <v>7</v>
      </c>
      <c r="I683" s="2">
        <v>594.1</v>
      </c>
      <c r="J683" s="2">
        <v>0</v>
      </c>
      <c r="K683" s="2" t="s">
        <v>17</v>
      </c>
      <c r="L683" s="2" t="s">
        <v>121</v>
      </c>
    </row>
    <row r="684" spans="1:12" x14ac:dyDescent="0.2">
      <c r="A684" s="2">
        <v>100665</v>
      </c>
      <c r="B684" s="17">
        <v>45376</v>
      </c>
      <c r="C684" s="2" t="s">
        <v>667</v>
      </c>
      <c r="D684" s="2" t="s">
        <v>85</v>
      </c>
      <c r="E684" s="2" t="s">
        <v>119</v>
      </c>
      <c r="F684" s="2" t="s">
        <v>106</v>
      </c>
      <c r="G684" s="2" t="s">
        <v>135</v>
      </c>
      <c r="H684" s="2">
        <v>4</v>
      </c>
      <c r="I684" s="2">
        <v>549.44000000000005</v>
      </c>
      <c r="J684" s="2">
        <v>0.15</v>
      </c>
      <c r="K684" s="2" t="s">
        <v>29</v>
      </c>
      <c r="L684" s="2" t="s">
        <v>42</v>
      </c>
    </row>
    <row r="685" spans="1:12" x14ac:dyDescent="0.2">
      <c r="A685" s="2">
        <v>100384</v>
      </c>
      <c r="B685" s="2" t="s">
        <v>668</v>
      </c>
      <c r="C685" s="2" t="s">
        <v>669</v>
      </c>
      <c r="D685" s="2" t="s">
        <v>129</v>
      </c>
      <c r="E685" s="2" t="s">
        <v>49</v>
      </c>
      <c r="F685" s="2" t="s">
        <v>223</v>
      </c>
      <c r="G685" s="2" t="s">
        <v>62</v>
      </c>
      <c r="H685" s="2">
        <v>1</v>
      </c>
      <c r="I685" s="2">
        <v>11398.55</v>
      </c>
      <c r="J685" s="2">
        <v>0</v>
      </c>
      <c r="K685" s="2" t="s">
        <v>66</v>
      </c>
      <c r="L685" s="2" t="s">
        <v>35</v>
      </c>
    </row>
    <row r="686" spans="1:12" x14ac:dyDescent="0.2">
      <c r="A686" s="2">
        <v>101343</v>
      </c>
      <c r="B686" s="18">
        <v>45429</v>
      </c>
      <c r="C686" s="2" t="s">
        <v>670</v>
      </c>
      <c r="D686" s="2" t="s">
        <v>95</v>
      </c>
      <c r="E686" s="2" t="s">
        <v>21</v>
      </c>
      <c r="F686" s="2" t="s">
        <v>39</v>
      </c>
      <c r="G686" s="2" t="s">
        <v>114</v>
      </c>
      <c r="H686" s="2">
        <v>6</v>
      </c>
      <c r="I686" s="2">
        <v>412.31</v>
      </c>
      <c r="J686" s="2">
        <v>5</v>
      </c>
      <c r="K686" s="2" t="s">
        <v>24</v>
      </c>
      <c r="L686" s="2" t="s">
        <v>143</v>
      </c>
    </row>
    <row r="687" spans="1:12" x14ac:dyDescent="0.2">
      <c r="A687" s="2">
        <v>100056</v>
      </c>
      <c r="B687" s="18">
        <v>45592</v>
      </c>
      <c r="C687" s="2" t="s">
        <v>335</v>
      </c>
      <c r="D687" s="2" t="s">
        <v>101</v>
      </c>
      <c r="E687" s="2" t="s">
        <v>69</v>
      </c>
      <c r="F687" s="2" t="s">
        <v>28</v>
      </c>
      <c r="G687" s="2" t="s">
        <v>116</v>
      </c>
      <c r="H687" s="2">
        <v>2</v>
      </c>
      <c r="I687" s="2">
        <v>3544.07</v>
      </c>
      <c r="J687" s="2">
        <v>0</v>
      </c>
      <c r="K687" s="2" t="s">
        <v>29</v>
      </c>
      <c r="L687" s="2" t="s">
        <v>25</v>
      </c>
    </row>
    <row r="688" spans="1:12" x14ac:dyDescent="0.2">
      <c r="A688" s="2">
        <v>101286</v>
      </c>
      <c r="B688" s="17">
        <v>45379</v>
      </c>
      <c r="C688" s="2" t="s">
        <v>212</v>
      </c>
      <c r="D688" s="2" t="s">
        <v>20</v>
      </c>
      <c r="E688" s="2" t="s">
        <v>21</v>
      </c>
      <c r="F688" s="2" t="s">
        <v>50</v>
      </c>
      <c r="G688" s="2" t="s">
        <v>62</v>
      </c>
      <c r="H688" s="2">
        <v>3</v>
      </c>
      <c r="I688" s="2">
        <v>6844.57</v>
      </c>
      <c r="J688" s="2">
        <v>0.25</v>
      </c>
      <c r="K688" s="2" t="s">
        <v>17</v>
      </c>
      <c r="L688" s="2" t="s">
        <v>143</v>
      </c>
    </row>
    <row r="689" spans="1:12" x14ac:dyDescent="0.2">
      <c r="A689" s="2">
        <v>101309</v>
      </c>
      <c r="B689" s="18">
        <v>45563</v>
      </c>
      <c r="C689" s="2" t="s">
        <v>273</v>
      </c>
      <c r="D689" s="2" t="s">
        <v>101</v>
      </c>
      <c r="E689" s="2" t="s">
        <v>38</v>
      </c>
      <c r="F689" s="2" t="s">
        <v>223</v>
      </c>
      <c r="G689" s="2" t="s">
        <v>62</v>
      </c>
      <c r="H689" s="2">
        <v>9</v>
      </c>
      <c r="I689" s="2">
        <v>9189.89</v>
      </c>
      <c r="J689" s="2">
        <v>0</v>
      </c>
      <c r="K689" s="2" t="s">
        <v>17</v>
      </c>
      <c r="L689" s="2" t="s">
        <v>42</v>
      </c>
    </row>
    <row r="690" spans="1:12" x14ac:dyDescent="0.2">
      <c r="A690" s="2">
        <v>101850</v>
      </c>
      <c r="B690" s="18">
        <v>45407</v>
      </c>
      <c r="C690" s="2" t="s">
        <v>671</v>
      </c>
      <c r="D690" s="2" t="s">
        <v>85</v>
      </c>
      <c r="E690" s="2" t="s">
        <v>14</v>
      </c>
      <c r="F690" s="2" t="s">
        <v>80</v>
      </c>
      <c r="G690" s="2" t="s">
        <v>93</v>
      </c>
      <c r="H690" s="2">
        <v>10</v>
      </c>
      <c r="I690" s="2">
        <v>329.44</v>
      </c>
      <c r="J690" s="2"/>
      <c r="K690" s="2" t="s">
        <v>83</v>
      </c>
      <c r="L690" s="2" t="s">
        <v>121</v>
      </c>
    </row>
    <row r="691" spans="1:12" x14ac:dyDescent="0.2">
      <c r="A691" s="2">
        <v>101553</v>
      </c>
      <c r="B691" s="18">
        <v>45471</v>
      </c>
      <c r="C691" s="2" t="s">
        <v>581</v>
      </c>
      <c r="D691" s="2" t="s">
        <v>44</v>
      </c>
      <c r="E691" s="2" t="s">
        <v>32</v>
      </c>
      <c r="F691" s="2" t="s">
        <v>33</v>
      </c>
      <c r="G691" s="2" t="s">
        <v>93</v>
      </c>
      <c r="H691" s="2">
        <v>7</v>
      </c>
      <c r="I691" s="2">
        <v>186.07</v>
      </c>
      <c r="J691" s="2">
        <v>0.25</v>
      </c>
      <c r="K691" s="2" t="s">
        <v>29</v>
      </c>
      <c r="L691" s="2" t="s">
        <v>25</v>
      </c>
    </row>
    <row r="692" spans="1:12" x14ac:dyDescent="0.2">
      <c r="A692" s="2">
        <v>100798</v>
      </c>
      <c r="B692" s="17">
        <v>45575</v>
      </c>
      <c r="C692" s="2" t="s">
        <v>204</v>
      </c>
      <c r="D692" s="2" t="s">
        <v>95</v>
      </c>
      <c r="E692" s="2" t="s">
        <v>21</v>
      </c>
      <c r="F692" s="2" t="s">
        <v>50</v>
      </c>
      <c r="G692" s="2" t="s">
        <v>56</v>
      </c>
      <c r="H692" s="2">
        <v>1</v>
      </c>
      <c r="I692" s="2">
        <v>9704.89</v>
      </c>
      <c r="J692" s="2">
        <v>0</v>
      </c>
      <c r="K692" s="2" t="s">
        <v>66</v>
      </c>
      <c r="L692" s="2" t="s">
        <v>35</v>
      </c>
    </row>
    <row r="693" spans="1:12" x14ac:dyDescent="0.2">
      <c r="A693" s="2">
        <v>101702</v>
      </c>
      <c r="B693" s="2" t="s">
        <v>527</v>
      </c>
      <c r="C693" s="2" t="s">
        <v>672</v>
      </c>
      <c r="D693" s="2" t="s">
        <v>13</v>
      </c>
      <c r="E693" s="2" t="s">
        <v>14</v>
      </c>
      <c r="F693" s="2" t="s">
        <v>191</v>
      </c>
      <c r="G693" s="2" t="s">
        <v>16</v>
      </c>
      <c r="H693" s="2">
        <v>8</v>
      </c>
      <c r="I693" s="2">
        <v>3080.02</v>
      </c>
      <c r="J693" s="2">
        <v>25</v>
      </c>
      <c r="K693" s="2" t="s">
        <v>66</v>
      </c>
      <c r="L693" s="2" t="s">
        <v>143</v>
      </c>
    </row>
    <row r="694" spans="1:12" x14ac:dyDescent="0.2">
      <c r="A694" s="2">
        <v>100171</v>
      </c>
      <c r="B694" s="17">
        <v>45596</v>
      </c>
      <c r="C694" s="2" t="s">
        <v>673</v>
      </c>
      <c r="D694" s="2" t="s">
        <v>95</v>
      </c>
      <c r="E694" s="2" t="s">
        <v>21</v>
      </c>
      <c r="F694" s="2" t="s">
        <v>28</v>
      </c>
      <c r="G694" s="2" t="s">
        <v>152</v>
      </c>
      <c r="H694" s="2">
        <v>11</v>
      </c>
      <c r="I694" s="2">
        <v>15562.94</v>
      </c>
      <c r="J694" s="2">
        <v>0.1</v>
      </c>
      <c r="K694" s="2" t="s">
        <v>29</v>
      </c>
      <c r="L694" s="2" t="s">
        <v>87</v>
      </c>
    </row>
    <row r="695" spans="1:12" x14ac:dyDescent="0.2">
      <c r="A695" s="2">
        <v>100174</v>
      </c>
      <c r="B695" s="18">
        <v>45440</v>
      </c>
      <c r="C695" s="2" t="s">
        <v>282</v>
      </c>
      <c r="D695" s="2" t="s">
        <v>27</v>
      </c>
      <c r="E695" s="2" t="s">
        <v>21</v>
      </c>
      <c r="F695" s="2" t="s">
        <v>33</v>
      </c>
      <c r="G695" s="2" t="s">
        <v>81</v>
      </c>
      <c r="H695" s="2">
        <v>5</v>
      </c>
      <c r="I695" s="2">
        <v>397.27</v>
      </c>
      <c r="J695" s="2">
        <v>0</v>
      </c>
      <c r="K695" s="2" t="s">
        <v>41</v>
      </c>
      <c r="L695" s="2" t="s">
        <v>143</v>
      </c>
    </row>
    <row r="696" spans="1:12" x14ac:dyDescent="0.2">
      <c r="A696" s="2">
        <v>100976</v>
      </c>
      <c r="B696" s="2" t="s">
        <v>674</v>
      </c>
      <c r="C696" s="2" t="s">
        <v>204</v>
      </c>
      <c r="D696" s="2" t="s">
        <v>129</v>
      </c>
      <c r="E696" s="2" t="s">
        <v>49</v>
      </c>
      <c r="F696" s="2" t="s">
        <v>39</v>
      </c>
      <c r="G696" s="2" t="s">
        <v>165</v>
      </c>
      <c r="H696" s="2">
        <v>6</v>
      </c>
      <c r="I696" s="2">
        <v>75.52</v>
      </c>
      <c r="J696" s="2"/>
      <c r="K696" s="2" t="s">
        <v>41</v>
      </c>
      <c r="L696" s="2" t="s">
        <v>35</v>
      </c>
    </row>
    <row r="697" spans="1:12" x14ac:dyDescent="0.2">
      <c r="A697" s="2">
        <v>100327</v>
      </c>
      <c r="B697" s="17">
        <v>45551</v>
      </c>
      <c r="C697" s="2" t="s">
        <v>675</v>
      </c>
      <c r="D697" s="2" t="s">
        <v>129</v>
      </c>
      <c r="E697" s="2" t="s">
        <v>79</v>
      </c>
      <c r="F697" s="2" t="s">
        <v>55</v>
      </c>
      <c r="G697" s="2" t="s">
        <v>62</v>
      </c>
      <c r="H697" s="2">
        <v>7</v>
      </c>
      <c r="I697" s="2">
        <v>9080.06</v>
      </c>
      <c r="J697" s="2">
        <v>0</v>
      </c>
      <c r="K697" s="2" t="s">
        <v>29</v>
      </c>
      <c r="L697" s="2" t="s">
        <v>18</v>
      </c>
    </row>
    <row r="698" spans="1:12" x14ac:dyDescent="0.2">
      <c r="A698" s="2">
        <v>100504</v>
      </c>
      <c r="B698" s="17">
        <v>45639</v>
      </c>
      <c r="C698" s="2" t="s">
        <v>218</v>
      </c>
      <c r="D698" s="2" t="s">
        <v>20</v>
      </c>
      <c r="E698" s="2" t="s">
        <v>133</v>
      </c>
      <c r="F698" s="2" t="s">
        <v>102</v>
      </c>
      <c r="G698" s="2" t="s">
        <v>103</v>
      </c>
      <c r="H698" s="2">
        <v>12</v>
      </c>
      <c r="I698" s="2" t="s">
        <v>676</v>
      </c>
      <c r="J698" s="2">
        <v>0</v>
      </c>
      <c r="K698" s="2" t="s">
        <v>29</v>
      </c>
      <c r="L698" s="2" t="s">
        <v>42</v>
      </c>
    </row>
    <row r="699" spans="1:12" x14ac:dyDescent="0.2">
      <c r="A699" s="2">
        <v>101672</v>
      </c>
      <c r="B699" s="18">
        <v>45644</v>
      </c>
      <c r="C699" s="2" t="s">
        <v>362</v>
      </c>
      <c r="D699" s="2" t="s">
        <v>61</v>
      </c>
      <c r="E699" s="2" t="s">
        <v>14</v>
      </c>
      <c r="F699" s="2" t="s">
        <v>124</v>
      </c>
      <c r="G699" s="2" t="s">
        <v>207</v>
      </c>
      <c r="H699" s="2">
        <v>9</v>
      </c>
      <c r="I699" s="2">
        <v>4323.96</v>
      </c>
      <c r="J699" s="2">
        <v>0</v>
      </c>
      <c r="K699" s="2" t="s">
        <v>24</v>
      </c>
      <c r="L699" s="2" t="s">
        <v>52</v>
      </c>
    </row>
    <row r="700" spans="1:12" x14ac:dyDescent="0.2">
      <c r="A700" s="2">
        <v>100410</v>
      </c>
      <c r="B700" s="18">
        <v>45442</v>
      </c>
      <c r="C700" s="2" t="s">
        <v>322</v>
      </c>
      <c r="D700" s="2" t="s">
        <v>92</v>
      </c>
      <c r="E700" s="2" t="s">
        <v>54</v>
      </c>
      <c r="F700" s="2" t="s">
        <v>39</v>
      </c>
      <c r="G700" s="2" t="s">
        <v>292</v>
      </c>
      <c r="H700" s="2">
        <v>8</v>
      </c>
      <c r="I700" s="2">
        <v>724.87</v>
      </c>
      <c r="J700" s="2">
        <v>0</v>
      </c>
      <c r="K700" s="2" t="s">
        <v>29</v>
      </c>
      <c r="L700" s="2" t="s">
        <v>143</v>
      </c>
    </row>
    <row r="701" spans="1:12" x14ac:dyDescent="0.2">
      <c r="A701" s="2">
        <v>101805</v>
      </c>
      <c r="B701" s="18">
        <v>45492</v>
      </c>
      <c r="C701" s="2" t="s">
        <v>221</v>
      </c>
      <c r="D701" s="2" t="s">
        <v>175</v>
      </c>
      <c r="E701" s="2" t="s">
        <v>38</v>
      </c>
      <c r="F701" s="2" t="s">
        <v>96</v>
      </c>
      <c r="G701" s="2" t="s">
        <v>97</v>
      </c>
      <c r="H701" s="2">
        <v>11</v>
      </c>
      <c r="I701" s="2">
        <v>43182.02</v>
      </c>
      <c r="J701" s="2">
        <v>15</v>
      </c>
      <c r="K701" s="2" t="s">
        <v>66</v>
      </c>
      <c r="L701" s="2" t="s">
        <v>25</v>
      </c>
    </row>
    <row r="702" spans="1:12" x14ac:dyDescent="0.2">
      <c r="A702" s="2">
        <v>100298</v>
      </c>
      <c r="B702" s="18">
        <v>45375</v>
      </c>
      <c r="C702" s="2" t="s">
        <v>331</v>
      </c>
      <c r="D702" s="2" t="s">
        <v>95</v>
      </c>
      <c r="E702" s="2" t="s">
        <v>21</v>
      </c>
      <c r="F702" s="2" t="s">
        <v>86</v>
      </c>
      <c r="G702" s="2" t="s">
        <v>97</v>
      </c>
      <c r="H702" s="2">
        <v>9</v>
      </c>
      <c r="I702" s="2">
        <v>7001.6</v>
      </c>
      <c r="J702" s="2">
        <v>15</v>
      </c>
      <c r="K702" s="2" t="s">
        <v>24</v>
      </c>
      <c r="L702" s="2" t="s">
        <v>121</v>
      </c>
    </row>
    <row r="703" spans="1:12" x14ac:dyDescent="0.2">
      <c r="A703" s="2">
        <v>101339</v>
      </c>
      <c r="B703" s="17">
        <v>45605</v>
      </c>
      <c r="C703" s="2" t="s">
        <v>677</v>
      </c>
      <c r="D703" s="2" t="s">
        <v>48</v>
      </c>
      <c r="E703" s="2" t="s">
        <v>49</v>
      </c>
      <c r="F703" s="2" t="s">
        <v>155</v>
      </c>
      <c r="G703" s="2" t="s">
        <v>103</v>
      </c>
      <c r="H703" s="2">
        <v>11</v>
      </c>
      <c r="I703" s="2">
        <v>4190.01</v>
      </c>
      <c r="J703" s="2">
        <v>25</v>
      </c>
      <c r="K703" s="2" t="s">
        <v>83</v>
      </c>
      <c r="L703" s="2" t="s">
        <v>18</v>
      </c>
    </row>
    <row r="704" spans="1:12" x14ac:dyDescent="0.2">
      <c r="A704" s="2">
        <v>100846</v>
      </c>
      <c r="B704" s="17">
        <v>45644</v>
      </c>
      <c r="C704" s="2" t="s">
        <v>397</v>
      </c>
      <c r="D704" s="2" t="s">
        <v>73</v>
      </c>
      <c r="E704" s="2" t="s">
        <v>79</v>
      </c>
      <c r="F704" s="2" t="s">
        <v>113</v>
      </c>
      <c r="G704" s="2" t="s">
        <v>242</v>
      </c>
      <c r="H704" s="2">
        <v>6</v>
      </c>
      <c r="I704" s="2">
        <v>52.98</v>
      </c>
      <c r="J704" s="2">
        <v>0.25</v>
      </c>
      <c r="K704" s="2" t="s">
        <v>24</v>
      </c>
      <c r="L704" s="2" t="s">
        <v>52</v>
      </c>
    </row>
    <row r="705" spans="1:12" x14ac:dyDescent="0.2">
      <c r="A705" s="2">
        <v>101318</v>
      </c>
      <c r="B705" s="2" t="s">
        <v>595</v>
      </c>
      <c r="C705" s="2" t="s">
        <v>154</v>
      </c>
      <c r="D705" s="2" t="s">
        <v>101</v>
      </c>
      <c r="E705" s="2" t="s">
        <v>69</v>
      </c>
      <c r="F705" s="2" t="s">
        <v>22</v>
      </c>
      <c r="G705" s="2" t="s">
        <v>23</v>
      </c>
      <c r="H705" s="2">
        <v>11</v>
      </c>
      <c r="I705" s="2">
        <v>2014.39</v>
      </c>
      <c r="J705" s="2">
        <v>15</v>
      </c>
      <c r="K705" s="2" t="s">
        <v>17</v>
      </c>
      <c r="L705" s="2" t="s">
        <v>87</v>
      </c>
    </row>
    <row r="706" spans="1:12" x14ac:dyDescent="0.2">
      <c r="A706" s="2">
        <v>100857</v>
      </c>
      <c r="B706" s="18">
        <v>45395</v>
      </c>
      <c r="C706" s="2" t="s">
        <v>161</v>
      </c>
      <c r="D706" s="2" t="s">
        <v>44</v>
      </c>
      <c r="E706" s="2" t="s">
        <v>32</v>
      </c>
      <c r="F706" s="2" t="s">
        <v>155</v>
      </c>
      <c r="G706" s="2" t="s">
        <v>135</v>
      </c>
      <c r="H706" s="2">
        <v>12</v>
      </c>
      <c r="I706" s="2">
        <v>4326.2</v>
      </c>
      <c r="J706" s="2">
        <v>0</v>
      </c>
      <c r="K706" s="2" t="s">
        <v>29</v>
      </c>
      <c r="L706" s="2" t="s">
        <v>87</v>
      </c>
    </row>
    <row r="707" spans="1:12" x14ac:dyDescent="0.2">
      <c r="A707" s="2">
        <v>101820</v>
      </c>
      <c r="B707" s="17">
        <v>45431</v>
      </c>
      <c r="C707" s="2" t="s">
        <v>429</v>
      </c>
      <c r="D707" s="2" t="s">
        <v>31</v>
      </c>
      <c r="E707" s="2" t="s">
        <v>54</v>
      </c>
      <c r="F707" s="2" t="s">
        <v>50</v>
      </c>
      <c r="G707" s="2" t="s">
        <v>62</v>
      </c>
      <c r="H707" s="2">
        <v>12</v>
      </c>
      <c r="I707" s="2">
        <v>9240.27</v>
      </c>
      <c r="J707" s="2"/>
      <c r="K707" s="2" t="s">
        <v>17</v>
      </c>
      <c r="L707" s="2" t="s">
        <v>87</v>
      </c>
    </row>
    <row r="708" spans="1:12" x14ac:dyDescent="0.2">
      <c r="A708" s="2">
        <v>101287</v>
      </c>
      <c r="B708" s="17">
        <v>45574</v>
      </c>
      <c r="C708" s="2" t="s">
        <v>188</v>
      </c>
      <c r="D708" s="2" t="s">
        <v>13</v>
      </c>
      <c r="E708" s="2" t="s">
        <v>14</v>
      </c>
      <c r="F708" s="2" t="s">
        <v>39</v>
      </c>
      <c r="G708" s="2" t="s">
        <v>114</v>
      </c>
      <c r="H708" s="2">
        <v>10</v>
      </c>
      <c r="I708" s="2" t="s">
        <v>678</v>
      </c>
      <c r="J708" s="2">
        <v>0.15</v>
      </c>
      <c r="K708" s="2" t="s">
        <v>29</v>
      </c>
      <c r="L708" s="2" t="s">
        <v>35</v>
      </c>
    </row>
    <row r="709" spans="1:12" x14ac:dyDescent="0.2">
      <c r="A709" s="2">
        <v>100672</v>
      </c>
      <c r="B709" s="17">
        <v>45500</v>
      </c>
      <c r="C709" s="2" t="s">
        <v>123</v>
      </c>
      <c r="D709" s="2" t="s">
        <v>13</v>
      </c>
      <c r="E709" s="2" t="s">
        <v>119</v>
      </c>
      <c r="F709" s="2" t="s">
        <v>80</v>
      </c>
      <c r="G709" s="2" t="s">
        <v>93</v>
      </c>
      <c r="H709" s="2">
        <v>9</v>
      </c>
      <c r="I709" s="2">
        <v>96.65</v>
      </c>
      <c r="J709" s="2">
        <v>20</v>
      </c>
      <c r="K709" s="2" t="s">
        <v>17</v>
      </c>
      <c r="L709" s="2" t="s">
        <v>143</v>
      </c>
    </row>
    <row r="710" spans="1:12" x14ac:dyDescent="0.2">
      <c r="A710" s="2">
        <v>100649</v>
      </c>
      <c r="B710" s="18">
        <v>45595</v>
      </c>
      <c r="C710" s="2" t="s">
        <v>555</v>
      </c>
      <c r="D710" s="2" t="s">
        <v>20</v>
      </c>
      <c r="E710" s="2" t="s">
        <v>21</v>
      </c>
      <c r="F710" s="2" t="s">
        <v>102</v>
      </c>
      <c r="G710" s="2" t="s">
        <v>156</v>
      </c>
      <c r="H710" s="2">
        <v>3</v>
      </c>
      <c r="I710" s="2">
        <v>3299.87</v>
      </c>
      <c r="J710" s="2">
        <v>5</v>
      </c>
      <c r="K710" s="2" t="s">
        <v>24</v>
      </c>
      <c r="L710" s="2" t="s">
        <v>52</v>
      </c>
    </row>
    <row r="711" spans="1:12" x14ac:dyDescent="0.2">
      <c r="A711" s="2"/>
      <c r="B711" s="2"/>
      <c r="C711" s="2"/>
      <c r="D711" s="2"/>
      <c r="E711" s="2"/>
      <c r="F711" s="2"/>
      <c r="G711" s="2"/>
      <c r="H711" s="2"/>
      <c r="I711" s="2"/>
      <c r="J711" s="2"/>
      <c r="K711" s="2"/>
      <c r="L711" s="2"/>
    </row>
    <row r="712" spans="1:12" x14ac:dyDescent="0.2">
      <c r="A712" s="2">
        <v>101704</v>
      </c>
      <c r="B712" s="18">
        <v>45325</v>
      </c>
      <c r="C712" s="2" t="s">
        <v>445</v>
      </c>
      <c r="D712" s="2" t="s">
        <v>20</v>
      </c>
      <c r="E712" s="2" t="s">
        <v>133</v>
      </c>
      <c r="F712" s="2" t="s">
        <v>55</v>
      </c>
      <c r="G712" s="2" t="s">
        <v>56</v>
      </c>
      <c r="H712" s="2">
        <v>6</v>
      </c>
      <c r="I712" s="2">
        <v>3344.43</v>
      </c>
      <c r="J712" s="2">
        <v>0.2</v>
      </c>
      <c r="K712" s="2" t="s">
        <v>24</v>
      </c>
      <c r="L712" s="2" t="s">
        <v>18</v>
      </c>
    </row>
    <row r="713" spans="1:12" x14ac:dyDescent="0.2">
      <c r="A713" s="2">
        <v>101560</v>
      </c>
      <c r="B713" s="17">
        <v>45387</v>
      </c>
      <c r="C713" s="2" t="s">
        <v>679</v>
      </c>
      <c r="D713" s="2" t="s">
        <v>101</v>
      </c>
      <c r="E713" s="2" t="s">
        <v>69</v>
      </c>
      <c r="F713" s="2" t="s">
        <v>102</v>
      </c>
      <c r="G713" s="2" t="s">
        <v>156</v>
      </c>
      <c r="H713" s="2">
        <v>6</v>
      </c>
      <c r="I713" s="2" t="s">
        <v>680</v>
      </c>
      <c r="J713" s="2">
        <v>0</v>
      </c>
      <c r="K713" s="2" t="s">
        <v>24</v>
      </c>
      <c r="L713" s="2" t="s">
        <v>35</v>
      </c>
    </row>
    <row r="714" spans="1:12" x14ac:dyDescent="0.2">
      <c r="A714" s="2">
        <v>101991</v>
      </c>
      <c r="B714" s="18">
        <v>45516</v>
      </c>
      <c r="C714" s="2" t="s">
        <v>571</v>
      </c>
      <c r="D714" s="2" t="s">
        <v>129</v>
      </c>
      <c r="E714" s="2" t="s">
        <v>79</v>
      </c>
      <c r="F714" s="2" t="s">
        <v>155</v>
      </c>
      <c r="G714" s="2" t="s">
        <v>137</v>
      </c>
      <c r="H714" s="2">
        <v>4</v>
      </c>
      <c r="I714" s="2">
        <v>1778.41</v>
      </c>
      <c r="J714" s="2"/>
      <c r="K714" s="2" t="s">
        <v>83</v>
      </c>
      <c r="L714" s="2" t="s">
        <v>143</v>
      </c>
    </row>
    <row r="715" spans="1:12" x14ac:dyDescent="0.2">
      <c r="A715" s="2">
        <v>100732</v>
      </c>
      <c r="B715" s="18">
        <v>45481</v>
      </c>
      <c r="C715" s="2" t="s">
        <v>681</v>
      </c>
      <c r="D715" s="2" t="s">
        <v>44</v>
      </c>
      <c r="E715" s="2" t="s">
        <v>32</v>
      </c>
      <c r="F715" s="2" t="s">
        <v>64</v>
      </c>
      <c r="G715" s="2" t="s">
        <v>40</v>
      </c>
      <c r="H715" s="2">
        <v>4</v>
      </c>
      <c r="I715" s="2" t="s">
        <v>682</v>
      </c>
      <c r="J715" s="2">
        <v>0</v>
      </c>
      <c r="K715" s="2" t="s">
        <v>83</v>
      </c>
      <c r="L715" s="2" t="s">
        <v>25</v>
      </c>
    </row>
    <row r="716" spans="1:12" x14ac:dyDescent="0.2">
      <c r="A716" s="2">
        <v>101741</v>
      </c>
      <c r="B716" s="17">
        <v>45492</v>
      </c>
      <c r="C716" s="2" t="s">
        <v>179</v>
      </c>
      <c r="D716" s="2" t="s">
        <v>181</v>
      </c>
      <c r="E716" s="2" t="s">
        <v>14</v>
      </c>
      <c r="F716" s="2" t="s">
        <v>102</v>
      </c>
      <c r="G716" s="2" t="s">
        <v>103</v>
      </c>
      <c r="H716" s="2">
        <v>1</v>
      </c>
      <c r="I716" s="2"/>
      <c r="J716" s="2">
        <v>0.1</v>
      </c>
      <c r="K716" s="2" t="s">
        <v>17</v>
      </c>
      <c r="L716" s="2" t="s">
        <v>25</v>
      </c>
    </row>
    <row r="717" spans="1:12" x14ac:dyDescent="0.2">
      <c r="A717" s="2">
        <v>100532</v>
      </c>
      <c r="B717" s="17">
        <v>45334</v>
      </c>
      <c r="C717" s="2" t="s">
        <v>683</v>
      </c>
      <c r="D717" s="2" t="s">
        <v>160</v>
      </c>
      <c r="E717" s="2" t="s">
        <v>79</v>
      </c>
      <c r="F717" s="2" t="s">
        <v>39</v>
      </c>
      <c r="G717" s="2" t="s">
        <v>292</v>
      </c>
      <c r="H717" s="2">
        <v>5</v>
      </c>
      <c r="I717" s="2">
        <v>227.26</v>
      </c>
      <c r="J717" s="2">
        <v>0.05</v>
      </c>
      <c r="K717" s="2" t="s">
        <v>29</v>
      </c>
      <c r="L717" s="2" t="s">
        <v>35</v>
      </c>
    </row>
    <row r="718" spans="1:12" x14ac:dyDescent="0.2">
      <c r="A718" s="2">
        <v>100408</v>
      </c>
      <c r="B718" s="18">
        <v>45474</v>
      </c>
      <c r="C718" s="2"/>
      <c r="D718" s="2" t="s">
        <v>44</v>
      </c>
      <c r="E718" s="2" t="s">
        <v>54</v>
      </c>
      <c r="F718" s="2" t="s">
        <v>113</v>
      </c>
      <c r="G718" s="2" t="s">
        <v>292</v>
      </c>
      <c r="H718" s="2">
        <v>6</v>
      </c>
      <c r="I718" s="2">
        <v>415.04</v>
      </c>
      <c r="J718" s="2"/>
      <c r="K718" s="2" t="s">
        <v>24</v>
      </c>
      <c r="L718" s="2" t="s">
        <v>121</v>
      </c>
    </row>
    <row r="719" spans="1:12" x14ac:dyDescent="0.2">
      <c r="A719" s="2">
        <v>100200</v>
      </c>
      <c r="B719" s="17">
        <v>45367</v>
      </c>
      <c r="C719" s="2" t="s">
        <v>228</v>
      </c>
      <c r="D719" s="2" t="s">
        <v>89</v>
      </c>
      <c r="E719" s="2" t="s">
        <v>32</v>
      </c>
      <c r="F719" s="2" t="s">
        <v>106</v>
      </c>
      <c r="G719" s="2" t="s">
        <v>103</v>
      </c>
      <c r="H719" s="2">
        <v>10</v>
      </c>
      <c r="I719" s="2" t="s">
        <v>684</v>
      </c>
      <c r="J719" s="2">
        <v>0</v>
      </c>
      <c r="K719" s="2" t="s">
        <v>24</v>
      </c>
      <c r="L719" s="2" t="s">
        <v>143</v>
      </c>
    </row>
    <row r="720" spans="1:12" x14ac:dyDescent="0.2">
      <c r="A720" s="2">
        <v>100474</v>
      </c>
      <c r="B720" s="17">
        <v>45444</v>
      </c>
      <c r="C720" s="2" t="s">
        <v>307</v>
      </c>
      <c r="D720" s="2" t="s">
        <v>160</v>
      </c>
      <c r="E720" s="2" t="s">
        <v>79</v>
      </c>
      <c r="F720" s="2" t="s">
        <v>64</v>
      </c>
      <c r="G720" s="2" t="s">
        <v>40</v>
      </c>
      <c r="H720" s="2">
        <v>11</v>
      </c>
      <c r="I720" s="2" t="s">
        <v>685</v>
      </c>
      <c r="J720" s="2">
        <v>0.25</v>
      </c>
      <c r="K720" s="2" t="s">
        <v>41</v>
      </c>
      <c r="L720" s="2" t="s">
        <v>18</v>
      </c>
    </row>
    <row r="721" spans="1:12" x14ac:dyDescent="0.2">
      <c r="A721" s="2">
        <v>100906</v>
      </c>
      <c r="B721" s="17">
        <v>45393</v>
      </c>
      <c r="C721" s="2" t="s">
        <v>686</v>
      </c>
      <c r="D721" s="2" t="s">
        <v>160</v>
      </c>
      <c r="E721" s="2" t="s">
        <v>79</v>
      </c>
      <c r="F721" s="2" t="s">
        <v>113</v>
      </c>
      <c r="G721" s="2" t="s">
        <v>40</v>
      </c>
      <c r="H721" s="2">
        <v>6</v>
      </c>
      <c r="I721" s="2" t="s">
        <v>687</v>
      </c>
      <c r="J721" s="2">
        <v>0.15</v>
      </c>
      <c r="K721" s="2" t="s">
        <v>66</v>
      </c>
      <c r="L721" s="2" t="s">
        <v>121</v>
      </c>
    </row>
    <row r="722" spans="1:12" x14ac:dyDescent="0.2">
      <c r="A722" s="2">
        <v>101122</v>
      </c>
      <c r="B722" s="2" t="s">
        <v>668</v>
      </c>
      <c r="C722" s="2" t="s">
        <v>312</v>
      </c>
      <c r="D722" s="2" t="s">
        <v>27</v>
      </c>
      <c r="E722" s="2" t="s">
        <v>133</v>
      </c>
      <c r="F722" s="2" t="s">
        <v>102</v>
      </c>
      <c r="G722" s="2" t="s">
        <v>156</v>
      </c>
      <c r="H722" s="2">
        <v>6</v>
      </c>
      <c r="I722" s="2">
        <v>3342.68</v>
      </c>
      <c r="J722" s="2">
        <v>0.1</v>
      </c>
      <c r="K722" s="2" t="s">
        <v>29</v>
      </c>
      <c r="L722" s="2" t="s">
        <v>18</v>
      </c>
    </row>
    <row r="723" spans="1:12" x14ac:dyDescent="0.2">
      <c r="A723" s="2">
        <v>100748</v>
      </c>
      <c r="B723" s="18">
        <v>45608</v>
      </c>
      <c r="C723" s="2" t="s">
        <v>688</v>
      </c>
      <c r="D723" s="2" t="s">
        <v>92</v>
      </c>
      <c r="E723" s="2" t="s">
        <v>32</v>
      </c>
      <c r="F723" s="2" t="s">
        <v>39</v>
      </c>
      <c r="G723" s="2" t="s">
        <v>242</v>
      </c>
      <c r="H723" s="2">
        <v>5</v>
      </c>
      <c r="I723" s="2" t="s">
        <v>689</v>
      </c>
      <c r="J723" s="2">
        <v>0</v>
      </c>
      <c r="K723" s="2" t="s">
        <v>29</v>
      </c>
      <c r="L723" s="2" t="s">
        <v>52</v>
      </c>
    </row>
    <row r="724" spans="1:12" x14ac:dyDescent="0.2">
      <c r="A724" s="2">
        <v>101316</v>
      </c>
      <c r="B724" s="17">
        <v>45415</v>
      </c>
      <c r="C724" s="2" t="s">
        <v>420</v>
      </c>
      <c r="D724" s="2" t="s">
        <v>109</v>
      </c>
      <c r="E724" s="2" t="s">
        <v>21</v>
      </c>
      <c r="F724" s="2" t="s">
        <v>80</v>
      </c>
      <c r="G724" s="2" t="s">
        <v>81</v>
      </c>
      <c r="H724" s="2">
        <v>9</v>
      </c>
      <c r="I724" s="2">
        <v>433.3</v>
      </c>
      <c r="J724" s="2">
        <v>0.2</v>
      </c>
      <c r="K724" s="2" t="s">
        <v>17</v>
      </c>
      <c r="L724" s="2" t="s">
        <v>18</v>
      </c>
    </row>
    <row r="725" spans="1:12" x14ac:dyDescent="0.2">
      <c r="A725" s="2">
        <v>100217</v>
      </c>
      <c r="B725" s="2" t="s">
        <v>690</v>
      </c>
      <c r="C725" s="2" t="s">
        <v>691</v>
      </c>
      <c r="D725" s="2" t="s">
        <v>160</v>
      </c>
      <c r="E725" s="2" t="s">
        <v>49</v>
      </c>
      <c r="F725" s="2" t="s">
        <v>39</v>
      </c>
      <c r="G725" s="2" t="s">
        <v>242</v>
      </c>
      <c r="H725" s="2">
        <v>7</v>
      </c>
      <c r="I725" s="2">
        <v>788.02</v>
      </c>
      <c r="J725" s="2"/>
      <c r="K725" s="2" t="s">
        <v>66</v>
      </c>
      <c r="L725" s="2" t="s">
        <v>25</v>
      </c>
    </row>
    <row r="726" spans="1:12" x14ac:dyDescent="0.2">
      <c r="A726" s="2">
        <v>100254</v>
      </c>
      <c r="B726" s="18">
        <v>45546</v>
      </c>
      <c r="C726" s="2" t="s">
        <v>692</v>
      </c>
      <c r="D726" s="2" t="s">
        <v>48</v>
      </c>
      <c r="E726" s="2" t="s">
        <v>79</v>
      </c>
      <c r="F726" s="2" t="s">
        <v>39</v>
      </c>
      <c r="G726" s="2" t="s">
        <v>292</v>
      </c>
      <c r="H726" s="2">
        <v>10</v>
      </c>
      <c r="I726" s="2">
        <v>843.81</v>
      </c>
      <c r="J726" s="2">
        <v>0.15</v>
      </c>
      <c r="K726" s="2" t="s">
        <v>66</v>
      </c>
      <c r="L726" s="2" t="s">
        <v>42</v>
      </c>
    </row>
    <row r="727" spans="1:12" x14ac:dyDescent="0.2">
      <c r="A727" s="2">
        <v>100153</v>
      </c>
      <c r="B727" s="18">
        <v>45339</v>
      </c>
      <c r="C727" s="2" t="s">
        <v>390</v>
      </c>
      <c r="D727" s="2" t="s">
        <v>109</v>
      </c>
      <c r="E727" s="2" t="s">
        <v>21</v>
      </c>
      <c r="F727" s="2" t="s">
        <v>50</v>
      </c>
      <c r="G727" s="2" t="s">
        <v>99</v>
      </c>
      <c r="H727" s="2">
        <v>6</v>
      </c>
      <c r="I727" s="2">
        <v>1122.8699999999999</v>
      </c>
      <c r="J727" s="2">
        <v>0</v>
      </c>
      <c r="K727" s="2" t="s">
        <v>24</v>
      </c>
      <c r="L727" s="2" t="s">
        <v>121</v>
      </c>
    </row>
    <row r="728" spans="1:12" x14ac:dyDescent="0.2">
      <c r="A728" s="2">
        <v>101652</v>
      </c>
      <c r="B728" s="2" t="s">
        <v>693</v>
      </c>
      <c r="C728" s="2"/>
      <c r="D728" s="2" t="s">
        <v>109</v>
      </c>
      <c r="E728" s="2" t="s">
        <v>21</v>
      </c>
      <c r="F728" s="2" t="s">
        <v>22</v>
      </c>
      <c r="G728" s="2" t="s">
        <v>232</v>
      </c>
      <c r="H728" s="2">
        <v>6</v>
      </c>
      <c r="I728" s="2" t="s">
        <v>694</v>
      </c>
      <c r="J728" s="2">
        <v>0</v>
      </c>
      <c r="K728" s="2" t="s">
        <v>29</v>
      </c>
      <c r="L728" s="2" t="s">
        <v>25</v>
      </c>
    </row>
    <row r="729" spans="1:12" x14ac:dyDescent="0.2">
      <c r="A729" s="2">
        <v>100944</v>
      </c>
      <c r="B729" s="18">
        <v>45346</v>
      </c>
      <c r="C729" s="2" t="s">
        <v>675</v>
      </c>
      <c r="D729" s="2" t="s">
        <v>61</v>
      </c>
      <c r="E729" s="2" t="s">
        <v>119</v>
      </c>
      <c r="F729" s="2" t="s">
        <v>96</v>
      </c>
      <c r="G729" s="2" t="s">
        <v>111</v>
      </c>
      <c r="H729" s="2">
        <v>9</v>
      </c>
      <c r="I729" s="2">
        <v>36495.660000000003</v>
      </c>
      <c r="J729" s="2">
        <v>25</v>
      </c>
      <c r="K729" s="2" t="s">
        <v>17</v>
      </c>
      <c r="L729" s="2" t="s">
        <v>35</v>
      </c>
    </row>
    <row r="730" spans="1:12" x14ac:dyDescent="0.2">
      <c r="A730" s="2">
        <v>100948</v>
      </c>
      <c r="B730" s="18">
        <v>45629</v>
      </c>
      <c r="C730" s="2" t="s">
        <v>695</v>
      </c>
      <c r="D730" s="2" t="s">
        <v>101</v>
      </c>
      <c r="E730" s="2" t="s">
        <v>69</v>
      </c>
      <c r="F730" s="2" t="s">
        <v>55</v>
      </c>
      <c r="G730" s="2" t="s">
        <v>56</v>
      </c>
      <c r="H730" s="2"/>
      <c r="I730" s="2">
        <v>4401.2299999999996</v>
      </c>
      <c r="J730" s="2">
        <v>5</v>
      </c>
      <c r="K730" s="2" t="s">
        <v>24</v>
      </c>
      <c r="L730" s="2" t="s">
        <v>52</v>
      </c>
    </row>
    <row r="731" spans="1:12" x14ac:dyDescent="0.2">
      <c r="A731" s="2">
        <v>101270</v>
      </c>
      <c r="B731" s="18">
        <v>45656</v>
      </c>
      <c r="C731" s="2" t="s">
        <v>201</v>
      </c>
      <c r="D731" s="2" t="s">
        <v>85</v>
      </c>
      <c r="E731" s="2" t="s">
        <v>119</v>
      </c>
      <c r="F731" s="2" t="s">
        <v>102</v>
      </c>
      <c r="G731" s="2" t="s">
        <v>103</v>
      </c>
      <c r="H731" s="2">
        <v>6</v>
      </c>
      <c r="I731" s="2">
        <v>3754.87</v>
      </c>
      <c r="J731" s="2">
        <v>0.05</v>
      </c>
      <c r="K731" s="2" t="s">
        <v>29</v>
      </c>
      <c r="L731" s="2" t="s">
        <v>35</v>
      </c>
    </row>
    <row r="732" spans="1:12" x14ac:dyDescent="0.2">
      <c r="A732" s="2">
        <v>101459</v>
      </c>
      <c r="B732" s="18">
        <v>45304</v>
      </c>
      <c r="C732" s="2" t="s">
        <v>416</v>
      </c>
      <c r="D732" s="2" t="s">
        <v>140</v>
      </c>
      <c r="E732" s="2" t="s">
        <v>49</v>
      </c>
      <c r="F732" s="2" t="s">
        <v>15</v>
      </c>
      <c r="G732" s="2" t="s">
        <v>16</v>
      </c>
      <c r="H732" s="2">
        <v>11</v>
      </c>
      <c r="I732" s="2">
        <v>8020.72</v>
      </c>
      <c r="J732" s="2">
        <v>20</v>
      </c>
      <c r="K732" s="2" t="s">
        <v>29</v>
      </c>
      <c r="L732" s="2" t="s">
        <v>143</v>
      </c>
    </row>
    <row r="733" spans="1:12" x14ac:dyDescent="0.2">
      <c r="A733" s="2">
        <v>101622</v>
      </c>
      <c r="B733" s="17">
        <v>45378</v>
      </c>
      <c r="C733" s="2"/>
      <c r="D733" s="2" t="s">
        <v>37</v>
      </c>
      <c r="E733" s="2" t="s">
        <v>69</v>
      </c>
      <c r="F733" s="2" t="s">
        <v>45</v>
      </c>
      <c r="G733" s="2" t="s">
        <v>46</v>
      </c>
      <c r="H733" s="2">
        <v>7</v>
      </c>
      <c r="I733" s="2">
        <v>36977.18</v>
      </c>
      <c r="J733" s="2">
        <v>0</v>
      </c>
      <c r="K733" s="2" t="s">
        <v>17</v>
      </c>
      <c r="L733" s="2" t="s">
        <v>143</v>
      </c>
    </row>
    <row r="734" spans="1:12" x14ac:dyDescent="0.2">
      <c r="A734" s="2">
        <v>100735</v>
      </c>
      <c r="B734" s="2" t="s">
        <v>511</v>
      </c>
      <c r="C734" s="2" t="s">
        <v>293</v>
      </c>
      <c r="D734" s="2" t="s">
        <v>37</v>
      </c>
      <c r="E734" s="2" t="s">
        <v>69</v>
      </c>
      <c r="F734" s="2" t="s">
        <v>74</v>
      </c>
      <c r="G734" s="2" t="s">
        <v>232</v>
      </c>
      <c r="H734" s="2">
        <v>-1</v>
      </c>
      <c r="I734" s="2">
        <v>2050.71</v>
      </c>
      <c r="J734" s="2">
        <v>0</v>
      </c>
      <c r="K734" s="2" t="s">
        <v>41</v>
      </c>
      <c r="L734" s="2" t="s">
        <v>35</v>
      </c>
    </row>
    <row r="735" spans="1:12" x14ac:dyDescent="0.2">
      <c r="A735" s="2">
        <v>101633</v>
      </c>
      <c r="B735" s="17">
        <v>45502</v>
      </c>
      <c r="C735" s="2" t="s">
        <v>696</v>
      </c>
      <c r="D735" s="2" t="s">
        <v>129</v>
      </c>
      <c r="E735" s="2" t="s">
        <v>79</v>
      </c>
      <c r="F735" s="2" t="s">
        <v>74</v>
      </c>
      <c r="G735" s="2" t="s">
        <v>23</v>
      </c>
      <c r="H735" s="2">
        <v>2</v>
      </c>
      <c r="I735" s="2">
        <v>2203.69</v>
      </c>
      <c r="J735" s="2"/>
      <c r="K735" s="2" t="s">
        <v>24</v>
      </c>
      <c r="L735" s="2" t="s">
        <v>42</v>
      </c>
    </row>
    <row r="736" spans="1:12" x14ac:dyDescent="0.2">
      <c r="A736" s="2">
        <v>101253</v>
      </c>
      <c r="B736" s="2" t="s">
        <v>580</v>
      </c>
      <c r="C736" s="2" t="s">
        <v>359</v>
      </c>
      <c r="D736" s="2" t="s">
        <v>31</v>
      </c>
      <c r="E736" s="2" t="s">
        <v>54</v>
      </c>
      <c r="F736" s="2" t="s">
        <v>33</v>
      </c>
      <c r="G736" s="2" t="s">
        <v>34</v>
      </c>
      <c r="H736" s="2">
        <v>1</v>
      </c>
      <c r="I736" s="2">
        <v>302.93</v>
      </c>
      <c r="J736" s="2">
        <v>0</v>
      </c>
      <c r="K736" s="2" t="s">
        <v>29</v>
      </c>
      <c r="L736" s="2" t="s">
        <v>42</v>
      </c>
    </row>
    <row r="737" spans="1:12" x14ac:dyDescent="0.2">
      <c r="A737" s="2">
        <v>100531</v>
      </c>
      <c r="B737" s="2" t="s">
        <v>163</v>
      </c>
      <c r="C737" s="2" t="s">
        <v>492</v>
      </c>
      <c r="D737" s="2" t="s">
        <v>61</v>
      </c>
      <c r="E737" s="2" t="s">
        <v>119</v>
      </c>
      <c r="F737" s="2" t="s">
        <v>15</v>
      </c>
      <c r="G737" s="2" t="s">
        <v>16</v>
      </c>
      <c r="H737" s="2">
        <v>5</v>
      </c>
      <c r="I737" s="2">
        <v>10652.81</v>
      </c>
      <c r="J737" s="2">
        <v>0</v>
      </c>
      <c r="K737" s="2" t="s">
        <v>29</v>
      </c>
      <c r="L737" s="2" t="s">
        <v>42</v>
      </c>
    </row>
    <row r="738" spans="1:12" x14ac:dyDescent="0.2">
      <c r="A738" s="2">
        <v>101937</v>
      </c>
      <c r="B738" s="18">
        <v>45618</v>
      </c>
      <c r="C738" s="2" t="s">
        <v>697</v>
      </c>
      <c r="D738" s="2" t="s">
        <v>129</v>
      </c>
      <c r="E738" s="2" t="s">
        <v>79</v>
      </c>
      <c r="F738" s="2" t="s">
        <v>106</v>
      </c>
      <c r="G738" s="2" t="s">
        <v>137</v>
      </c>
      <c r="H738" s="2">
        <v>12</v>
      </c>
      <c r="I738" s="2">
        <v>4201.63</v>
      </c>
      <c r="J738" s="2">
        <v>0.05</v>
      </c>
      <c r="K738" s="2" t="s">
        <v>66</v>
      </c>
      <c r="L738" s="2" t="s">
        <v>87</v>
      </c>
    </row>
    <row r="739" spans="1:12" x14ac:dyDescent="0.2">
      <c r="A739" s="2">
        <v>101267</v>
      </c>
      <c r="B739" s="17">
        <v>45654</v>
      </c>
      <c r="C739" s="2" t="s">
        <v>622</v>
      </c>
      <c r="D739" s="2" t="s">
        <v>73</v>
      </c>
      <c r="E739" s="2" t="s">
        <v>49</v>
      </c>
      <c r="F739" s="2" t="s">
        <v>102</v>
      </c>
      <c r="G739" s="2" t="s">
        <v>103</v>
      </c>
      <c r="H739" s="2">
        <v>11</v>
      </c>
      <c r="I739" s="2">
        <v>2904.33</v>
      </c>
      <c r="J739" s="2">
        <v>15</v>
      </c>
      <c r="K739" s="2" t="s">
        <v>41</v>
      </c>
      <c r="L739" s="2" t="s">
        <v>42</v>
      </c>
    </row>
    <row r="740" spans="1:12" x14ac:dyDescent="0.2">
      <c r="A740" s="2">
        <v>100241</v>
      </c>
      <c r="B740" s="2" t="s">
        <v>365</v>
      </c>
      <c r="C740" s="2" t="s">
        <v>373</v>
      </c>
      <c r="D740" s="2" t="s">
        <v>44</v>
      </c>
      <c r="E740" s="2" t="s">
        <v>54</v>
      </c>
      <c r="F740" s="2" t="s">
        <v>50</v>
      </c>
      <c r="G740" s="2" t="s">
        <v>207</v>
      </c>
      <c r="H740" s="2">
        <v>7</v>
      </c>
      <c r="I740" s="2">
        <v>4146.7</v>
      </c>
      <c r="J740" s="2">
        <v>0.15</v>
      </c>
      <c r="K740" s="2" t="s">
        <v>29</v>
      </c>
      <c r="L740" s="2" t="s">
        <v>143</v>
      </c>
    </row>
    <row r="741" spans="1:12" x14ac:dyDescent="0.2">
      <c r="A741" s="2">
        <v>101997</v>
      </c>
      <c r="B741" s="18">
        <v>45417</v>
      </c>
      <c r="C741" s="2" t="s">
        <v>698</v>
      </c>
      <c r="D741" s="2" t="s">
        <v>131</v>
      </c>
      <c r="E741" s="2" t="s">
        <v>21</v>
      </c>
      <c r="F741" s="2" t="s">
        <v>70</v>
      </c>
      <c r="G741" s="2" t="s">
        <v>149</v>
      </c>
      <c r="H741" s="2">
        <v>12</v>
      </c>
      <c r="I741" s="2">
        <v>34930.46</v>
      </c>
      <c r="J741" s="2">
        <v>10</v>
      </c>
      <c r="K741" s="2" t="s">
        <v>83</v>
      </c>
      <c r="L741" s="2" t="s">
        <v>35</v>
      </c>
    </row>
    <row r="742" spans="1:12" x14ac:dyDescent="0.2">
      <c r="A742" s="2">
        <v>101912</v>
      </c>
      <c r="B742" s="17">
        <v>45488</v>
      </c>
      <c r="C742" s="2" t="s">
        <v>307</v>
      </c>
      <c r="D742" s="2" t="s">
        <v>140</v>
      </c>
      <c r="E742" s="2" t="s">
        <v>79</v>
      </c>
      <c r="F742" s="2" t="s">
        <v>74</v>
      </c>
      <c r="G742" s="2" t="s">
        <v>23</v>
      </c>
      <c r="H742" s="2"/>
      <c r="I742" s="2">
        <v>680.97</v>
      </c>
      <c r="J742" s="2">
        <v>20</v>
      </c>
      <c r="K742" s="2" t="s">
        <v>29</v>
      </c>
      <c r="L742" s="2" t="s">
        <v>52</v>
      </c>
    </row>
    <row r="743" spans="1:12" x14ac:dyDescent="0.2">
      <c r="A743" s="2">
        <v>100188</v>
      </c>
      <c r="B743" s="17">
        <v>45456</v>
      </c>
      <c r="C743" s="2" t="s">
        <v>189</v>
      </c>
      <c r="D743" s="2" t="s">
        <v>101</v>
      </c>
      <c r="E743" s="2" t="s">
        <v>38</v>
      </c>
      <c r="F743" s="2" t="s">
        <v>55</v>
      </c>
      <c r="G743" s="2" t="s">
        <v>51</v>
      </c>
      <c r="H743" s="2">
        <v>11</v>
      </c>
      <c r="I743" s="2"/>
      <c r="J743" s="2">
        <v>0.05</v>
      </c>
      <c r="K743" s="2" t="s">
        <v>83</v>
      </c>
      <c r="L743" s="2" t="s">
        <v>143</v>
      </c>
    </row>
    <row r="744" spans="1:12" x14ac:dyDescent="0.2">
      <c r="A744" s="2">
        <v>100247</v>
      </c>
      <c r="B744" s="17">
        <v>45523</v>
      </c>
      <c r="C744" s="2" t="s">
        <v>476</v>
      </c>
      <c r="D744" s="2" t="s">
        <v>109</v>
      </c>
      <c r="E744" s="2" t="s">
        <v>133</v>
      </c>
      <c r="F744" s="2" t="s">
        <v>50</v>
      </c>
      <c r="G744" s="2" t="s">
        <v>51</v>
      </c>
      <c r="H744" s="2">
        <v>10</v>
      </c>
      <c r="I744" s="2">
        <v>9062.18</v>
      </c>
      <c r="J744" s="2">
        <v>0</v>
      </c>
      <c r="K744" s="2" t="s">
        <v>66</v>
      </c>
      <c r="L744" s="2" t="s">
        <v>25</v>
      </c>
    </row>
    <row r="745" spans="1:12" x14ac:dyDescent="0.2">
      <c r="A745" s="2">
        <v>101184</v>
      </c>
      <c r="B745" s="18">
        <v>45339</v>
      </c>
      <c r="C745" s="2" t="s">
        <v>198</v>
      </c>
      <c r="D745" s="2" t="s">
        <v>101</v>
      </c>
      <c r="E745" s="2" t="s">
        <v>69</v>
      </c>
      <c r="F745" s="2" t="s">
        <v>80</v>
      </c>
      <c r="G745" s="2" t="s">
        <v>158</v>
      </c>
      <c r="H745" s="2">
        <v>11</v>
      </c>
      <c r="I745" s="2">
        <v>242.94</v>
      </c>
      <c r="J745" s="2">
        <v>0.05</v>
      </c>
      <c r="K745" s="2" t="s">
        <v>17</v>
      </c>
      <c r="L745" s="2" t="s">
        <v>42</v>
      </c>
    </row>
    <row r="746" spans="1:12" x14ac:dyDescent="0.2">
      <c r="A746" s="2">
        <v>101593</v>
      </c>
      <c r="B746" s="2" t="s">
        <v>511</v>
      </c>
      <c r="C746" s="2" t="s">
        <v>699</v>
      </c>
      <c r="D746" s="2" t="s">
        <v>58</v>
      </c>
      <c r="E746" s="2" t="s">
        <v>38</v>
      </c>
      <c r="F746" s="2" t="s">
        <v>124</v>
      </c>
      <c r="G746" s="2" t="s">
        <v>207</v>
      </c>
      <c r="H746" s="2">
        <v>5</v>
      </c>
      <c r="I746" s="2">
        <v>4045.95</v>
      </c>
      <c r="J746" s="2">
        <v>0.2</v>
      </c>
      <c r="K746" s="2" t="s">
        <v>83</v>
      </c>
      <c r="L746" s="2" t="s">
        <v>18</v>
      </c>
    </row>
    <row r="747" spans="1:12" x14ac:dyDescent="0.2">
      <c r="A747" s="2">
        <v>101057</v>
      </c>
      <c r="B747" s="2" t="s">
        <v>700</v>
      </c>
      <c r="C747" s="2" t="s">
        <v>698</v>
      </c>
      <c r="D747" s="2" t="s">
        <v>73</v>
      </c>
      <c r="E747" s="2" t="s">
        <v>49</v>
      </c>
      <c r="F747" s="2" t="s">
        <v>113</v>
      </c>
      <c r="G747" s="2" t="s">
        <v>242</v>
      </c>
      <c r="H747" s="2">
        <v>3</v>
      </c>
      <c r="I747" s="2" t="s">
        <v>701</v>
      </c>
      <c r="J747" s="2">
        <v>0</v>
      </c>
      <c r="K747" s="2" t="s">
        <v>83</v>
      </c>
      <c r="L747" s="2" t="s">
        <v>52</v>
      </c>
    </row>
    <row r="748" spans="1:12" x14ac:dyDescent="0.2">
      <c r="A748" s="2">
        <v>100919</v>
      </c>
      <c r="B748" s="2" t="s">
        <v>702</v>
      </c>
      <c r="C748" s="2" t="s">
        <v>613</v>
      </c>
      <c r="D748" s="2" t="s">
        <v>27</v>
      </c>
      <c r="E748" s="2" t="s">
        <v>21</v>
      </c>
      <c r="F748" s="2" t="s">
        <v>120</v>
      </c>
      <c r="G748" s="2" t="s">
        <v>232</v>
      </c>
      <c r="H748" s="2">
        <v>10</v>
      </c>
      <c r="I748" s="2">
        <v>544.66999999999996</v>
      </c>
      <c r="J748" s="2"/>
      <c r="K748" s="2" t="s">
        <v>41</v>
      </c>
      <c r="L748" s="2" t="s">
        <v>35</v>
      </c>
    </row>
    <row r="749" spans="1:12" x14ac:dyDescent="0.2">
      <c r="A749" s="2">
        <v>100693</v>
      </c>
      <c r="B749" s="18">
        <v>45591</v>
      </c>
      <c r="C749" s="2" t="s">
        <v>703</v>
      </c>
      <c r="D749" s="2" t="s">
        <v>58</v>
      </c>
      <c r="E749" s="2" t="s">
        <v>38</v>
      </c>
      <c r="F749" s="2" t="s">
        <v>113</v>
      </c>
      <c r="G749" s="2" t="s">
        <v>40</v>
      </c>
      <c r="H749" s="2">
        <v>4</v>
      </c>
      <c r="I749" s="2">
        <v>822.81</v>
      </c>
      <c r="J749" s="2">
        <v>0.1</v>
      </c>
      <c r="K749" s="2" t="s">
        <v>24</v>
      </c>
      <c r="L749" s="2" t="s">
        <v>18</v>
      </c>
    </row>
    <row r="750" spans="1:12" x14ac:dyDescent="0.2">
      <c r="A750" s="2">
        <v>100303</v>
      </c>
      <c r="B750" s="17">
        <v>45439</v>
      </c>
      <c r="C750" s="2" t="s">
        <v>167</v>
      </c>
      <c r="D750" s="2" t="s">
        <v>101</v>
      </c>
      <c r="E750" s="2" t="s">
        <v>69</v>
      </c>
      <c r="F750" s="2" t="s">
        <v>102</v>
      </c>
      <c r="G750" s="2" t="s">
        <v>103</v>
      </c>
      <c r="H750" s="2">
        <v>5</v>
      </c>
      <c r="I750" s="2">
        <v>1398.08</v>
      </c>
      <c r="J750" s="2">
        <v>25</v>
      </c>
      <c r="K750" s="2" t="s">
        <v>41</v>
      </c>
      <c r="L750" s="2" t="s">
        <v>87</v>
      </c>
    </row>
    <row r="751" spans="1:12" x14ac:dyDescent="0.2">
      <c r="A751" s="2">
        <v>100284</v>
      </c>
      <c r="B751" s="18">
        <v>45615</v>
      </c>
      <c r="C751" s="2"/>
      <c r="D751" s="2" t="s">
        <v>37</v>
      </c>
      <c r="E751" s="2" t="s">
        <v>38</v>
      </c>
      <c r="F751" s="2" t="s">
        <v>22</v>
      </c>
      <c r="G751" s="2" t="s">
        <v>75</v>
      </c>
      <c r="H751" s="2">
        <v>4</v>
      </c>
      <c r="I751" s="2">
        <v>920.96</v>
      </c>
      <c r="J751" s="2">
        <v>0</v>
      </c>
      <c r="K751" s="2" t="s">
        <v>41</v>
      </c>
      <c r="L751" s="2" t="s">
        <v>143</v>
      </c>
    </row>
    <row r="752" spans="1:12" x14ac:dyDescent="0.2">
      <c r="A752" s="2">
        <v>100916</v>
      </c>
      <c r="B752" s="18">
        <v>45521</v>
      </c>
      <c r="C752" s="2" t="s">
        <v>688</v>
      </c>
      <c r="D752" s="2" t="s">
        <v>27</v>
      </c>
      <c r="E752" s="2" t="s">
        <v>133</v>
      </c>
      <c r="F752" s="2" t="s">
        <v>191</v>
      </c>
      <c r="G752" s="2" t="s">
        <v>152</v>
      </c>
      <c r="H752" s="2">
        <v>6</v>
      </c>
      <c r="I752" s="2">
        <v>5568.81</v>
      </c>
      <c r="J752" s="2">
        <v>0.1</v>
      </c>
      <c r="K752" s="2" t="s">
        <v>17</v>
      </c>
      <c r="L752" s="2" t="s">
        <v>42</v>
      </c>
    </row>
    <row r="753" spans="1:12" x14ac:dyDescent="0.2">
      <c r="A753" s="2">
        <v>100506</v>
      </c>
      <c r="B753" s="17">
        <v>45634</v>
      </c>
      <c r="C753" s="2" t="s">
        <v>704</v>
      </c>
      <c r="D753" s="2" t="s">
        <v>20</v>
      </c>
      <c r="E753" s="2" t="s">
        <v>133</v>
      </c>
      <c r="F753" s="2" t="s">
        <v>39</v>
      </c>
      <c r="G753" s="2" t="s">
        <v>165</v>
      </c>
      <c r="H753" s="2">
        <v>9</v>
      </c>
      <c r="I753" s="2">
        <v>241.67</v>
      </c>
      <c r="J753" s="2">
        <v>0</v>
      </c>
      <c r="K753" s="2" t="s">
        <v>83</v>
      </c>
      <c r="L753" s="2" t="s">
        <v>25</v>
      </c>
    </row>
    <row r="754" spans="1:12" x14ac:dyDescent="0.2">
      <c r="A754" s="2">
        <v>101951</v>
      </c>
      <c r="B754" s="18">
        <v>45621</v>
      </c>
      <c r="C754" s="2" t="s">
        <v>541</v>
      </c>
      <c r="D754" s="2" t="s">
        <v>181</v>
      </c>
      <c r="E754" s="2" t="s">
        <v>14</v>
      </c>
      <c r="F754" s="2" t="s">
        <v>64</v>
      </c>
      <c r="G754" s="2" t="s">
        <v>242</v>
      </c>
      <c r="H754" s="2">
        <v>9</v>
      </c>
      <c r="I754" s="2">
        <v>357.89</v>
      </c>
      <c r="J754" s="2">
        <v>0.2</v>
      </c>
      <c r="K754" s="2" t="s">
        <v>29</v>
      </c>
      <c r="L754" s="2" t="s">
        <v>42</v>
      </c>
    </row>
    <row r="755" spans="1:12" x14ac:dyDescent="0.2">
      <c r="A755" s="2">
        <v>100322</v>
      </c>
      <c r="B755" s="2" t="s">
        <v>227</v>
      </c>
      <c r="C755" s="2" t="s">
        <v>480</v>
      </c>
      <c r="D755" s="2" t="s">
        <v>92</v>
      </c>
      <c r="E755" s="2" t="s">
        <v>32</v>
      </c>
      <c r="F755" s="2" t="s">
        <v>15</v>
      </c>
      <c r="G755" s="2" t="s">
        <v>152</v>
      </c>
      <c r="H755" s="2">
        <v>9</v>
      </c>
      <c r="I755" s="2">
        <v>7648.49</v>
      </c>
      <c r="J755" s="2">
        <v>0</v>
      </c>
      <c r="K755" s="2" t="s">
        <v>66</v>
      </c>
      <c r="L755" s="2" t="s">
        <v>121</v>
      </c>
    </row>
    <row r="756" spans="1:12" x14ac:dyDescent="0.2">
      <c r="A756" s="2">
        <v>101868</v>
      </c>
      <c r="B756" s="17">
        <v>45547</v>
      </c>
      <c r="C756" s="2" t="s">
        <v>705</v>
      </c>
      <c r="D756" s="2" t="s">
        <v>37</v>
      </c>
      <c r="E756" s="2" t="s">
        <v>38</v>
      </c>
      <c r="F756" s="2" t="s">
        <v>120</v>
      </c>
      <c r="G756" s="2" t="s">
        <v>23</v>
      </c>
      <c r="H756" s="2">
        <v>11</v>
      </c>
      <c r="I756" s="2">
        <v>737.5</v>
      </c>
      <c r="J756" s="2">
        <v>0.25</v>
      </c>
      <c r="K756" s="2" t="s">
        <v>29</v>
      </c>
      <c r="L756" s="2" t="s">
        <v>25</v>
      </c>
    </row>
    <row r="757" spans="1:12" x14ac:dyDescent="0.2">
      <c r="A757" s="2">
        <v>101275</v>
      </c>
      <c r="B757" s="18">
        <v>45528</v>
      </c>
      <c r="C757" s="2" t="s">
        <v>599</v>
      </c>
      <c r="D757" s="2" t="s">
        <v>89</v>
      </c>
      <c r="E757" s="2" t="s">
        <v>32</v>
      </c>
      <c r="F757" s="2" t="s">
        <v>120</v>
      </c>
      <c r="G757" s="2" t="s">
        <v>141</v>
      </c>
      <c r="H757" s="2">
        <v>11</v>
      </c>
      <c r="I757" s="2">
        <v>1858.19</v>
      </c>
      <c r="J757" s="2">
        <v>0.25</v>
      </c>
      <c r="K757" s="2" t="s">
        <v>24</v>
      </c>
      <c r="L757" s="2" t="s">
        <v>121</v>
      </c>
    </row>
    <row r="758" spans="1:12" x14ac:dyDescent="0.2">
      <c r="A758" s="2">
        <v>101059</v>
      </c>
      <c r="B758" s="17">
        <v>45484</v>
      </c>
      <c r="C758" s="2" t="s">
        <v>656</v>
      </c>
      <c r="D758" s="2" t="s">
        <v>61</v>
      </c>
      <c r="E758" s="2" t="s">
        <v>119</v>
      </c>
      <c r="F758" s="2" t="s">
        <v>191</v>
      </c>
      <c r="G758" s="2" t="s">
        <v>59</v>
      </c>
      <c r="H758" s="2">
        <v>10</v>
      </c>
      <c r="I758" s="2">
        <v>7718.81</v>
      </c>
      <c r="J758" s="2">
        <v>0</v>
      </c>
      <c r="K758" s="2" t="s">
        <v>24</v>
      </c>
      <c r="L758" s="2" t="s">
        <v>18</v>
      </c>
    </row>
    <row r="759" spans="1:12" x14ac:dyDescent="0.2">
      <c r="A759" s="2">
        <v>100622</v>
      </c>
      <c r="B759" s="17">
        <v>45577</v>
      </c>
      <c r="C759" s="2" t="s">
        <v>706</v>
      </c>
      <c r="D759" s="2" t="s">
        <v>58</v>
      </c>
      <c r="E759" s="2" t="s">
        <v>38</v>
      </c>
      <c r="F759" s="2" t="s">
        <v>191</v>
      </c>
      <c r="G759" s="2" t="s">
        <v>116</v>
      </c>
      <c r="H759" s="2">
        <v>2</v>
      </c>
      <c r="I759" s="2">
        <v>6613.97</v>
      </c>
      <c r="J759" s="2">
        <v>10</v>
      </c>
      <c r="K759" s="2" t="s">
        <v>66</v>
      </c>
      <c r="L759" s="2" t="s">
        <v>143</v>
      </c>
    </row>
    <row r="760" spans="1:12" x14ac:dyDescent="0.2">
      <c r="A760" s="2">
        <v>101126</v>
      </c>
      <c r="B760" s="17">
        <v>45388</v>
      </c>
      <c r="C760" s="2" t="s">
        <v>638</v>
      </c>
      <c r="D760" s="2" t="s">
        <v>27</v>
      </c>
      <c r="E760" s="2" t="s">
        <v>21</v>
      </c>
      <c r="F760" s="2" t="s">
        <v>39</v>
      </c>
      <c r="G760" s="2" t="s">
        <v>165</v>
      </c>
      <c r="H760" s="2">
        <v>11</v>
      </c>
      <c r="I760" s="2">
        <v>873.86</v>
      </c>
      <c r="J760" s="2">
        <v>0</v>
      </c>
      <c r="K760" s="2" t="s">
        <v>24</v>
      </c>
      <c r="L760" s="2" t="s">
        <v>25</v>
      </c>
    </row>
    <row r="761" spans="1:12" x14ac:dyDescent="0.2">
      <c r="A761" s="2">
        <v>101119</v>
      </c>
      <c r="B761" s="17">
        <v>45566</v>
      </c>
      <c r="C761" s="2" t="s">
        <v>60</v>
      </c>
      <c r="D761" s="2" t="s">
        <v>140</v>
      </c>
      <c r="E761" s="2" t="s">
        <v>49</v>
      </c>
      <c r="F761" s="2" t="s">
        <v>86</v>
      </c>
      <c r="G761" s="2" t="s">
        <v>71</v>
      </c>
      <c r="H761" s="2">
        <v>3</v>
      </c>
      <c r="I761" s="2">
        <v>42867.360000000001</v>
      </c>
      <c r="J761" s="2">
        <v>0.15</v>
      </c>
      <c r="K761" s="2" t="s">
        <v>66</v>
      </c>
      <c r="L761" s="2" t="s">
        <v>87</v>
      </c>
    </row>
    <row r="762" spans="1:12" x14ac:dyDescent="0.2">
      <c r="A762" s="2">
        <v>100123</v>
      </c>
      <c r="B762" s="17">
        <v>45332</v>
      </c>
      <c r="C762" s="2" t="s">
        <v>380</v>
      </c>
      <c r="D762" s="2" t="s">
        <v>61</v>
      </c>
      <c r="E762" s="2" t="s">
        <v>119</v>
      </c>
      <c r="F762" s="2" t="s">
        <v>22</v>
      </c>
      <c r="G762" s="2" t="s">
        <v>232</v>
      </c>
      <c r="H762" s="2">
        <v>9</v>
      </c>
      <c r="I762" s="2">
        <v>1346.68</v>
      </c>
      <c r="J762" s="2">
        <v>0.2</v>
      </c>
      <c r="K762" s="2" t="s">
        <v>83</v>
      </c>
      <c r="L762" s="2" t="s">
        <v>35</v>
      </c>
    </row>
    <row r="763" spans="1:12" x14ac:dyDescent="0.2">
      <c r="A763" s="2">
        <v>101322</v>
      </c>
      <c r="B763" s="17">
        <v>45497</v>
      </c>
      <c r="C763" s="2" t="s">
        <v>707</v>
      </c>
      <c r="D763" s="2" t="s">
        <v>181</v>
      </c>
      <c r="E763" s="2" t="s">
        <v>119</v>
      </c>
      <c r="F763" s="2" t="s">
        <v>96</v>
      </c>
      <c r="G763" s="2" t="s">
        <v>111</v>
      </c>
      <c r="H763" s="2">
        <v>7</v>
      </c>
      <c r="I763" s="2">
        <v>8539.83</v>
      </c>
      <c r="J763" s="2">
        <v>10</v>
      </c>
      <c r="K763" s="2" t="s">
        <v>83</v>
      </c>
      <c r="L763" s="2" t="s">
        <v>143</v>
      </c>
    </row>
    <row r="764" spans="1:12" x14ac:dyDescent="0.2">
      <c r="A764" s="2">
        <v>100511</v>
      </c>
      <c r="B764" s="2" t="s">
        <v>708</v>
      </c>
      <c r="C764" s="2" t="s">
        <v>709</v>
      </c>
      <c r="D764" s="2" t="s">
        <v>48</v>
      </c>
      <c r="E764" s="2" t="s">
        <v>49</v>
      </c>
      <c r="F764" s="2" t="s">
        <v>70</v>
      </c>
      <c r="G764" s="2" t="s">
        <v>71</v>
      </c>
      <c r="H764" s="2">
        <v>3</v>
      </c>
      <c r="I764" s="2">
        <v>31751.66</v>
      </c>
      <c r="J764" s="2">
        <v>0.15</v>
      </c>
      <c r="K764" s="2" t="s">
        <v>29</v>
      </c>
      <c r="L764" s="2" t="s">
        <v>143</v>
      </c>
    </row>
    <row r="765" spans="1:12" x14ac:dyDescent="0.2">
      <c r="A765" s="2">
        <v>100281</v>
      </c>
      <c r="B765" s="17">
        <v>45522</v>
      </c>
      <c r="C765" s="2"/>
      <c r="D765" s="2" t="s">
        <v>160</v>
      </c>
      <c r="E765" s="2" t="s">
        <v>79</v>
      </c>
      <c r="F765" s="2" t="s">
        <v>15</v>
      </c>
      <c r="G765" s="2" t="s">
        <v>205</v>
      </c>
      <c r="H765" s="2">
        <v>7</v>
      </c>
      <c r="I765" s="2">
        <v>2583.39</v>
      </c>
      <c r="J765" s="2">
        <v>0.1</v>
      </c>
      <c r="K765" s="2" t="s">
        <v>41</v>
      </c>
      <c r="L765" s="2" t="s">
        <v>25</v>
      </c>
    </row>
    <row r="766" spans="1:12" x14ac:dyDescent="0.2">
      <c r="A766" s="2">
        <v>101269</v>
      </c>
      <c r="B766" s="17">
        <v>45528</v>
      </c>
      <c r="C766" s="2" t="s">
        <v>217</v>
      </c>
      <c r="D766" s="2" t="s">
        <v>58</v>
      </c>
      <c r="E766" s="2" t="s">
        <v>69</v>
      </c>
      <c r="F766" s="2" t="s">
        <v>70</v>
      </c>
      <c r="G766" s="2" t="s">
        <v>111</v>
      </c>
      <c r="H766" s="2">
        <v>4</v>
      </c>
      <c r="I766" s="2">
        <v>38136.230000000003</v>
      </c>
      <c r="J766" s="2">
        <v>10</v>
      </c>
      <c r="K766" s="2" t="s">
        <v>24</v>
      </c>
      <c r="L766" s="2" t="s">
        <v>35</v>
      </c>
    </row>
    <row r="767" spans="1:12" x14ac:dyDescent="0.2">
      <c r="A767" s="2">
        <v>101864</v>
      </c>
      <c r="B767" s="18">
        <v>45380</v>
      </c>
      <c r="C767" s="2" t="s">
        <v>705</v>
      </c>
      <c r="D767" s="2" t="s">
        <v>73</v>
      </c>
      <c r="E767" s="2" t="s">
        <v>79</v>
      </c>
      <c r="F767" s="2" t="s">
        <v>191</v>
      </c>
      <c r="G767" s="2" t="s">
        <v>16</v>
      </c>
      <c r="H767" s="2">
        <v>8</v>
      </c>
      <c r="I767" s="2">
        <v>21419.05</v>
      </c>
      <c r="J767" s="2">
        <v>0</v>
      </c>
      <c r="K767" s="2" t="s">
        <v>41</v>
      </c>
      <c r="L767" s="2" t="s">
        <v>35</v>
      </c>
    </row>
    <row r="768" spans="1:12" x14ac:dyDescent="0.2">
      <c r="A768" s="2">
        <v>101466</v>
      </c>
      <c r="B768" s="18">
        <v>45536</v>
      </c>
      <c r="C768" s="2" t="s">
        <v>710</v>
      </c>
      <c r="D768" s="2" t="s">
        <v>73</v>
      </c>
      <c r="E768" s="2" t="s">
        <v>79</v>
      </c>
      <c r="F768" s="2" t="s">
        <v>50</v>
      </c>
      <c r="G768" s="2" t="s">
        <v>99</v>
      </c>
      <c r="H768" s="2">
        <v>10</v>
      </c>
      <c r="I768" s="2">
        <v>8874.57</v>
      </c>
      <c r="J768" s="2">
        <v>0</v>
      </c>
      <c r="K768" s="2" t="s">
        <v>29</v>
      </c>
      <c r="L768" s="2" t="s">
        <v>42</v>
      </c>
    </row>
    <row r="769" spans="1:12" x14ac:dyDescent="0.2">
      <c r="A769" s="2">
        <v>101582</v>
      </c>
      <c r="B769" s="18">
        <v>45459</v>
      </c>
      <c r="C769" s="2" t="s">
        <v>711</v>
      </c>
      <c r="D769" s="2" t="s">
        <v>37</v>
      </c>
      <c r="E769" s="2" t="s">
        <v>69</v>
      </c>
      <c r="F769" s="2" t="s">
        <v>39</v>
      </c>
      <c r="G769" s="2" t="s">
        <v>292</v>
      </c>
      <c r="H769" s="2">
        <v>8</v>
      </c>
      <c r="I769" s="2">
        <v>215.01</v>
      </c>
      <c r="J769" s="2">
        <v>0.05</v>
      </c>
      <c r="K769" s="2" t="s">
        <v>83</v>
      </c>
      <c r="L769" s="2" t="s">
        <v>52</v>
      </c>
    </row>
    <row r="770" spans="1:12" x14ac:dyDescent="0.2">
      <c r="A770" s="2">
        <v>101790</v>
      </c>
      <c r="B770" s="17">
        <v>45507</v>
      </c>
      <c r="C770" s="2" t="s">
        <v>572</v>
      </c>
      <c r="D770" s="2" t="s">
        <v>48</v>
      </c>
      <c r="E770" s="2" t="s">
        <v>49</v>
      </c>
      <c r="F770" s="2" t="s">
        <v>45</v>
      </c>
      <c r="G770" s="2" t="s">
        <v>149</v>
      </c>
      <c r="H770" s="2">
        <v>4</v>
      </c>
      <c r="I770" s="2">
        <v>15188.33</v>
      </c>
      <c r="J770" s="2">
        <v>0.15</v>
      </c>
      <c r="K770" s="2" t="s">
        <v>66</v>
      </c>
      <c r="L770" s="2" t="s">
        <v>143</v>
      </c>
    </row>
    <row r="771" spans="1:12" x14ac:dyDescent="0.2">
      <c r="A771" s="2">
        <v>101811</v>
      </c>
      <c r="B771" s="18">
        <v>45359</v>
      </c>
      <c r="C771" s="2" t="s">
        <v>712</v>
      </c>
      <c r="D771" s="2" t="s">
        <v>89</v>
      </c>
      <c r="E771" s="2" t="s">
        <v>32</v>
      </c>
      <c r="F771" s="2" t="s">
        <v>223</v>
      </c>
      <c r="G771" s="2" t="s">
        <v>62</v>
      </c>
      <c r="H771" s="2">
        <v>-2</v>
      </c>
      <c r="I771" s="2">
        <v>3822.81</v>
      </c>
      <c r="J771" s="2">
        <v>0.05</v>
      </c>
      <c r="K771" s="2" t="s">
        <v>17</v>
      </c>
      <c r="L771" s="2" t="s">
        <v>42</v>
      </c>
    </row>
    <row r="772" spans="1:12" x14ac:dyDescent="0.2">
      <c r="A772" s="2">
        <v>100757</v>
      </c>
      <c r="B772" s="17">
        <v>45341</v>
      </c>
      <c r="C772" s="2" t="s">
        <v>430</v>
      </c>
      <c r="D772" s="2" t="s">
        <v>131</v>
      </c>
      <c r="E772" s="2" t="s">
        <v>133</v>
      </c>
      <c r="F772" s="2" t="s">
        <v>33</v>
      </c>
      <c r="G772" s="2" t="s">
        <v>81</v>
      </c>
      <c r="H772" s="2">
        <v>8</v>
      </c>
      <c r="I772" s="2">
        <v>389.37</v>
      </c>
      <c r="J772" s="2">
        <v>0</v>
      </c>
      <c r="K772" s="2" t="s">
        <v>41</v>
      </c>
      <c r="L772" s="2" t="s">
        <v>42</v>
      </c>
    </row>
    <row r="773" spans="1:12" x14ac:dyDescent="0.2">
      <c r="A773" s="2">
        <v>100678</v>
      </c>
      <c r="B773" s="18">
        <v>45647</v>
      </c>
      <c r="C773" s="2" t="s">
        <v>713</v>
      </c>
      <c r="D773" s="2" t="s">
        <v>109</v>
      </c>
      <c r="E773" s="2" t="s">
        <v>21</v>
      </c>
      <c r="F773" s="2" t="s">
        <v>96</v>
      </c>
      <c r="G773" s="2" t="s">
        <v>46</v>
      </c>
      <c r="H773" s="2">
        <v>1</v>
      </c>
      <c r="I773" s="2">
        <v>7241.96</v>
      </c>
      <c r="J773" s="2">
        <v>20</v>
      </c>
      <c r="K773" s="2" t="s">
        <v>83</v>
      </c>
      <c r="L773" s="2" t="s">
        <v>25</v>
      </c>
    </row>
    <row r="774" spans="1:12" x14ac:dyDescent="0.2">
      <c r="A774" s="2">
        <v>100519</v>
      </c>
      <c r="B774" s="18">
        <v>45472</v>
      </c>
      <c r="C774" s="2" t="s">
        <v>714</v>
      </c>
      <c r="D774" s="2" t="s">
        <v>27</v>
      </c>
      <c r="E774" s="2" t="s">
        <v>21</v>
      </c>
      <c r="F774" s="2" t="s">
        <v>28</v>
      </c>
      <c r="G774" s="2" t="s">
        <v>16</v>
      </c>
      <c r="H774" s="2">
        <v>12</v>
      </c>
      <c r="I774" s="2"/>
      <c r="J774" s="2"/>
      <c r="K774" s="2" t="s">
        <v>41</v>
      </c>
      <c r="L774" s="2" t="s">
        <v>35</v>
      </c>
    </row>
    <row r="775" spans="1:12" x14ac:dyDescent="0.2">
      <c r="A775" s="2">
        <v>101588</v>
      </c>
      <c r="B775" s="17">
        <v>45458</v>
      </c>
      <c r="C775" s="2" t="s">
        <v>590</v>
      </c>
      <c r="D775" s="2" t="s">
        <v>27</v>
      </c>
      <c r="E775" s="2" t="s">
        <v>21</v>
      </c>
      <c r="F775" s="2" t="s">
        <v>22</v>
      </c>
      <c r="G775" s="2" t="s">
        <v>23</v>
      </c>
      <c r="H775" s="2">
        <v>8</v>
      </c>
      <c r="I775" s="2">
        <v>3440.12</v>
      </c>
      <c r="J775" s="2"/>
      <c r="K775" s="2" t="s">
        <v>83</v>
      </c>
      <c r="L775" s="2" t="s">
        <v>143</v>
      </c>
    </row>
    <row r="776" spans="1:12" x14ac:dyDescent="0.2">
      <c r="A776" s="2">
        <v>101527</v>
      </c>
      <c r="B776" s="17">
        <v>45490</v>
      </c>
      <c r="C776" s="2" t="s">
        <v>715</v>
      </c>
      <c r="D776" s="2" t="s">
        <v>131</v>
      </c>
      <c r="E776" s="2" t="s">
        <v>133</v>
      </c>
      <c r="F776" s="2" t="s">
        <v>70</v>
      </c>
      <c r="G776" s="2" t="s">
        <v>153</v>
      </c>
      <c r="H776" s="2">
        <v>10</v>
      </c>
      <c r="I776" s="2">
        <v>30744.880000000001</v>
      </c>
      <c r="J776" s="2">
        <v>20</v>
      </c>
      <c r="K776" s="2" t="s">
        <v>66</v>
      </c>
      <c r="L776" s="2" t="s">
        <v>25</v>
      </c>
    </row>
    <row r="777" spans="1:12" x14ac:dyDescent="0.2">
      <c r="A777" s="2">
        <v>100068</v>
      </c>
      <c r="B777" s="17">
        <v>45637</v>
      </c>
      <c r="C777" s="2" t="s">
        <v>716</v>
      </c>
      <c r="D777" s="2" t="s">
        <v>92</v>
      </c>
      <c r="E777" s="2" t="s">
        <v>32</v>
      </c>
      <c r="F777" s="2" t="s">
        <v>15</v>
      </c>
      <c r="G777" s="2" t="s">
        <v>152</v>
      </c>
      <c r="H777" s="2">
        <v>9</v>
      </c>
      <c r="I777" s="2">
        <v>8803.2199999999993</v>
      </c>
      <c r="J777" s="2">
        <v>0</v>
      </c>
      <c r="K777" s="2" t="s">
        <v>29</v>
      </c>
      <c r="L777" s="2" t="s">
        <v>121</v>
      </c>
    </row>
    <row r="778" spans="1:12" x14ac:dyDescent="0.2">
      <c r="A778" s="2">
        <v>100333</v>
      </c>
      <c r="B778" s="18">
        <v>45454</v>
      </c>
      <c r="C778" s="2" t="s">
        <v>717</v>
      </c>
      <c r="D778" s="2" t="s">
        <v>129</v>
      </c>
      <c r="E778" s="2" t="s">
        <v>49</v>
      </c>
      <c r="F778" s="2" t="s">
        <v>74</v>
      </c>
      <c r="G778" s="2" t="s">
        <v>141</v>
      </c>
      <c r="H778" s="2">
        <v>3</v>
      </c>
      <c r="I778" s="2"/>
      <c r="J778" s="2">
        <v>0.15</v>
      </c>
      <c r="K778" s="2" t="s">
        <v>17</v>
      </c>
      <c r="L778" s="2" t="s">
        <v>35</v>
      </c>
    </row>
    <row r="779" spans="1:12" x14ac:dyDescent="0.2">
      <c r="A779" s="2">
        <v>100569</v>
      </c>
      <c r="B779" s="18">
        <v>45579</v>
      </c>
      <c r="C779" s="2" t="s">
        <v>567</v>
      </c>
      <c r="D779" s="2" t="s">
        <v>58</v>
      </c>
      <c r="E779" s="2" t="s">
        <v>38</v>
      </c>
      <c r="F779" s="2" t="s">
        <v>39</v>
      </c>
      <c r="G779" s="2" t="s">
        <v>40</v>
      </c>
      <c r="H779" s="2">
        <v>5</v>
      </c>
      <c r="I779" s="2">
        <v>229.04</v>
      </c>
      <c r="J779" s="2">
        <v>0</v>
      </c>
      <c r="K779" s="2" t="s">
        <v>83</v>
      </c>
      <c r="L779" s="2" t="s">
        <v>52</v>
      </c>
    </row>
    <row r="780" spans="1:12" x14ac:dyDescent="0.2">
      <c r="A780" s="2">
        <v>101237</v>
      </c>
      <c r="B780" s="18">
        <v>45295</v>
      </c>
      <c r="C780" s="2" t="s">
        <v>718</v>
      </c>
      <c r="D780" s="2" t="s">
        <v>31</v>
      </c>
      <c r="E780" s="2" t="s">
        <v>54</v>
      </c>
      <c r="F780" s="2" t="s">
        <v>70</v>
      </c>
      <c r="G780" s="2" t="s">
        <v>46</v>
      </c>
      <c r="H780" s="2">
        <v>11</v>
      </c>
      <c r="I780" s="2">
        <v>13201.25</v>
      </c>
      <c r="J780" s="2">
        <v>15</v>
      </c>
      <c r="K780" s="2" t="s">
        <v>66</v>
      </c>
      <c r="L780" s="2" t="s">
        <v>87</v>
      </c>
    </row>
    <row r="781" spans="1:12" x14ac:dyDescent="0.2">
      <c r="A781" s="2">
        <v>101480</v>
      </c>
      <c r="B781" s="17">
        <v>45418</v>
      </c>
      <c r="C781" s="2" t="s">
        <v>543</v>
      </c>
      <c r="D781" s="2" t="s">
        <v>140</v>
      </c>
      <c r="E781" s="2" t="s">
        <v>79</v>
      </c>
      <c r="F781" s="2" t="s">
        <v>39</v>
      </c>
      <c r="G781" s="2" t="s">
        <v>114</v>
      </c>
      <c r="H781" s="2">
        <v>5</v>
      </c>
      <c r="I781" s="2">
        <v>715.29</v>
      </c>
      <c r="J781" s="2">
        <v>10</v>
      </c>
      <c r="K781" s="2" t="s">
        <v>17</v>
      </c>
      <c r="L781" s="2" t="s">
        <v>35</v>
      </c>
    </row>
    <row r="782" spans="1:12" x14ac:dyDescent="0.2">
      <c r="A782" s="2">
        <v>101448</v>
      </c>
      <c r="B782" s="17">
        <v>45410</v>
      </c>
      <c r="C782" s="2" t="s">
        <v>522</v>
      </c>
      <c r="D782" s="2" t="s">
        <v>89</v>
      </c>
      <c r="E782" s="2" t="s">
        <v>32</v>
      </c>
      <c r="F782" s="2" t="s">
        <v>33</v>
      </c>
      <c r="G782" s="2" t="s">
        <v>158</v>
      </c>
      <c r="H782" s="2">
        <v>-2</v>
      </c>
      <c r="I782" s="2" t="s">
        <v>719</v>
      </c>
      <c r="J782" s="2">
        <v>0.1</v>
      </c>
      <c r="K782" s="2" t="s">
        <v>29</v>
      </c>
      <c r="L782" s="2" t="s">
        <v>52</v>
      </c>
    </row>
    <row r="783" spans="1:12" x14ac:dyDescent="0.2">
      <c r="A783" s="2">
        <v>101045</v>
      </c>
      <c r="B783" s="18">
        <v>45556</v>
      </c>
      <c r="C783" s="2" t="s">
        <v>214</v>
      </c>
      <c r="D783" s="2" t="s">
        <v>58</v>
      </c>
      <c r="E783" s="2" t="s">
        <v>69</v>
      </c>
      <c r="F783" s="2" t="s">
        <v>28</v>
      </c>
      <c r="G783" s="2" t="s">
        <v>116</v>
      </c>
      <c r="H783" s="2">
        <v>2</v>
      </c>
      <c r="I783" s="2">
        <v>19365.419999999998</v>
      </c>
      <c r="J783" s="2">
        <v>0</v>
      </c>
      <c r="K783" s="2" t="s">
        <v>24</v>
      </c>
      <c r="L783" s="2" t="s">
        <v>121</v>
      </c>
    </row>
    <row r="784" spans="1:12" x14ac:dyDescent="0.2">
      <c r="A784" s="2">
        <v>100473</v>
      </c>
      <c r="B784" s="17">
        <v>45384</v>
      </c>
      <c r="C784" s="2" t="s">
        <v>243</v>
      </c>
      <c r="D784" s="2" t="s">
        <v>129</v>
      </c>
      <c r="E784" s="2" t="s">
        <v>79</v>
      </c>
      <c r="F784" s="2" t="s">
        <v>28</v>
      </c>
      <c r="G784" s="2" t="s">
        <v>152</v>
      </c>
      <c r="H784" s="2">
        <v>8</v>
      </c>
      <c r="I784" s="2">
        <v>16682.89</v>
      </c>
      <c r="J784" s="2">
        <v>0</v>
      </c>
      <c r="K784" s="2" t="s">
        <v>17</v>
      </c>
      <c r="L784" s="2" t="s">
        <v>25</v>
      </c>
    </row>
    <row r="785" spans="1:12" x14ac:dyDescent="0.2">
      <c r="A785" s="2">
        <v>101289</v>
      </c>
      <c r="B785" s="17">
        <v>45426</v>
      </c>
      <c r="C785" s="2" t="s">
        <v>128</v>
      </c>
      <c r="D785" s="2" t="s">
        <v>181</v>
      </c>
      <c r="E785" s="2" t="s">
        <v>119</v>
      </c>
      <c r="F785" s="2" t="s">
        <v>55</v>
      </c>
      <c r="G785" s="2" t="s">
        <v>207</v>
      </c>
      <c r="H785" s="2">
        <v>3</v>
      </c>
      <c r="I785" s="2" t="s">
        <v>720</v>
      </c>
      <c r="J785" s="2">
        <v>0.15</v>
      </c>
      <c r="K785" s="2" t="s">
        <v>83</v>
      </c>
      <c r="L785" s="2" t="s">
        <v>143</v>
      </c>
    </row>
    <row r="786" spans="1:12" x14ac:dyDescent="0.2">
      <c r="A786" s="2">
        <v>100512</v>
      </c>
      <c r="B786" s="17">
        <v>45628</v>
      </c>
      <c r="C786" s="2" t="s">
        <v>721</v>
      </c>
      <c r="D786" s="2" t="s">
        <v>73</v>
      </c>
      <c r="E786" s="2" t="s">
        <v>79</v>
      </c>
      <c r="F786" s="2" t="s">
        <v>45</v>
      </c>
      <c r="G786" s="2" t="s">
        <v>46</v>
      </c>
      <c r="H786" s="2">
        <v>10</v>
      </c>
      <c r="I786" s="2">
        <v>20577.18</v>
      </c>
      <c r="J786" s="2">
        <v>10</v>
      </c>
      <c r="K786" s="2" t="s">
        <v>17</v>
      </c>
      <c r="L786" s="2" t="s">
        <v>35</v>
      </c>
    </row>
    <row r="787" spans="1:12" x14ac:dyDescent="0.2">
      <c r="A787" s="2">
        <v>100478</v>
      </c>
      <c r="B787" s="18">
        <v>45297</v>
      </c>
      <c r="C787" s="2" t="s">
        <v>610</v>
      </c>
      <c r="D787" s="2" t="s">
        <v>31</v>
      </c>
      <c r="E787" s="2" t="s">
        <v>32</v>
      </c>
      <c r="F787" s="2" t="s">
        <v>191</v>
      </c>
      <c r="G787" s="2" t="s">
        <v>116</v>
      </c>
      <c r="H787" s="2">
        <v>11</v>
      </c>
      <c r="I787" s="2">
        <v>20190.62</v>
      </c>
      <c r="J787" s="2">
        <v>15</v>
      </c>
      <c r="K787" s="2" t="s">
        <v>17</v>
      </c>
      <c r="L787" s="2" t="s">
        <v>87</v>
      </c>
    </row>
    <row r="788" spans="1:12" x14ac:dyDescent="0.2">
      <c r="A788" s="2">
        <v>100922</v>
      </c>
      <c r="B788" s="17">
        <v>45575</v>
      </c>
      <c r="C788" s="2"/>
      <c r="D788" s="2" t="s">
        <v>31</v>
      </c>
      <c r="E788" s="2" t="s">
        <v>32</v>
      </c>
      <c r="F788" s="2" t="s">
        <v>96</v>
      </c>
      <c r="G788" s="2" t="s">
        <v>149</v>
      </c>
      <c r="H788" s="2">
        <v>9</v>
      </c>
      <c r="I788" s="2" t="s">
        <v>722</v>
      </c>
      <c r="J788" s="2">
        <v>0.05</v>
      </c>
      <c r="K788" s="2" t="s">
        <v>41</v>
      </c>
      <c r="L788" s="2" t="s">
        <v>35</v>
      </c>
    </row>
    <row r="789" spans="1:12" x14ac:dyDescent="0.2">
      <c r="A789" s="2">
        <v>101963</v>
      </c>
      <c r="B789" s="17">
        <v>45648</v>
      </c>
      <c r="C789" s="2" t="s">
        <v>307</v>
      </c>
      <c r="D789" s="2" t="s">
        <v>61</v>
      </c>
      <c r="E789" s="2" t="s">
        <v>119</v>
      </c>
      <c r="F789" s="2" t="s">
        <v>191</v>
      </c>
      <c r="G789" s="2" t="s">
        <v>59</v>
      </c>
      <c r="H789" s="2">
        <v>12</v>
      </c>
      <c r="I789" s="2">
        <v>7329.06</v>
      </c>
      <c r="J789" s="2"/>
      <c r="K789" s="2" t="s">
        <v>66</v>
      </c>
      <c r="L789" s="2" t="s">
        <v>87</v>
      </c>
    </row>
    <row r="790" spans="1:12" x14ac:dyDescent="0.2">
      <c r="A790" s="2">
        <v>100319</v>
      </c>
      <c r="B790" s="17">
        <v>45588</v>
      </c>
      <c r="C790" s="2" t="s">
        <v>43</v>
      </c>
      <c r="D790" s="2" t="s">
        <v>58</v>
      </c>
      <c r="E790" s="2" t="s">
        <v>38</v>
      </c>
      <c r="F790" s="2" t="s">
        <v>39</v>
      </c>
      <c r="G790" s="2" t="s">
        <v>114</v>
      </c>
      <c r="H790" s="2">
        <v>1</v>
      </c>
      <c r="I790" s="2">
        <v>764.32</v>
      </c>
      <c r="J790" s="2">
        <v>0.05</v>
      </c>
      <c r="K790" s="2" t="s">
        <v>66</v>
      </c>
      <c r="L790" s="2" t="s">
        <v>35</v>
      </c>
    </row>
    <row r="791" spans="1:12" x14ac:dyDescent="0.2">
      <c r="A791" s="2">
        <v>101211</v>
      </c>
      <c r="B791" s="18">
        <v>45486</v>
      </c>
      <c r="C791" s="2" t="s">
        <v>402</v>
      </c>
      <c r="D791" s="2" t="s">
        <v>44</v>
      </c>
      <c r="E791" s="2" t="s">
        <v>32</v>
      </c>
      <c r="F791" s="2" t="s">
        <v>223</v>
      </c>
      <c r="G791" s="2" t="s">
        <v>51</v>
      </c>
      <c r="H791" s="2">
        <v>8</v>
      </c>
      <c r="I791" s="2">
        <v>6843.61</v>
      </c>
      <c r="J791" s="2">
        <v>0.15</v>
      </c>
      <c r="K791" s="2" t="s">
        <v>83</v>
      </c>
      <c r="L791" s="2" t="s">
        <v>143</v>
      </c>
    </row>
    <row r="792" spans="1:12" x14ac:dyDescent="0.2">
      <c r="A792" s="2">
        <v>101739</v>
      </c>
      <c r="B792" s="17">
        <v>45455</v>
      </c>
      <c r="C792" s="2" t="s">
        <v>502</v>
      </c>
      <c r="D792" s="2" t="s">
        <v>181</v>
      </c>
      <c r="E792" s="2" t="s">
        <v>119</v>
      </c>
      <c r="F792" s="2" t="s">
        <v>113</v>
      </c>
      <c r="G792" s="2" t="s">
        <v>114</v>
      </c>
      <c r="H792" s="2"/>
      <c r="I792" s="2">
        <v>411.03</v>
      </c>
      <c r="J792" s="2">
        <v>0</v>
      </c>
      <c r="K792" s="2" t="s">
        <v>83</v>
      </c>
      <c r="L792" s="2" t="s">
        <v>143</v>
      </c>
    </row>
    <row r="793" spans="1:12" x14ac:dyDescent="0.2">
      <c r="A793" s="2">
        <v>101029</v>
      </c>
      <c r="B793" s="17">
        <v>45364</v>
      </c>
      <c r="C793" s="2" t="s">
        <v>723</v>
      </c>
      <c r="D793" s="2" t="s">
        <v>44</v>
      </c>
      <c r="E793" s="2" t="s">
        <v>32</v>
      </c>
      <c r="F793" s="2" t="s">
        <v>80</v>
      </c>
      <c r="G793" s="2" t="s">
        <v>158</v>
      </c>
      <c r="H793" s="2">
        <v>6</v>
      </c>
      <c r="I793" s="2">
        <v>568.16999999999996</v>
      </c>
      <c r="J793" s="2">
        <v>20</v>
      </c>
      <c r="K793" s="2" t="s">
        <v>17</v>
      </c>
      <c r="L793" s="2" t="s">
        <v>143</v>
      </c>
    </row>
    <row r="794" spans="1:12" x14ac:dyDescent="0.2">
      <c r="A794" s="2">
        <v>100582</v>
      </c>
      <c r="B794" s="17">
        <v>45293</v>
      </c>
      <c r="C794" s="2" t="s">
        <v>319</v>
      </c>
      <c r="D794" s="2" t="s">
        <v>95</v>
      </c>
      <c r="E794" s="2" t="s">
        <v>133</v>
      </c>
      <c r="F794" s="2" t="s">
        <v>15</v>
      </c>
      <c r="G794" s="2" t="s">
        <v>16</v>
      </c>
      <c r="H794" s="2">
        <v>12</v>
      </c>
      <c r="I794" s="2">
        <v>8112.56</v>
      </c>
      <c r="J794" s="2">
        <v>0</v>
      </c>
      <c r="K794" s="2" t="s">
        <v>24</v>
      </c>
      <c r="L794" s="2" t="s">
        <v>87</v>
      </c>
    </row>
    <row r="795" spans="1:12" x14ac:dyDescent="0.2">
      <c r="A795" s="2">
        <v>100133</v>
      </c>
      <c r="B795" s="18">
        <v>45492</v>
      </c>
      <c r="C795" s="2" t="s">
        <v>546</v>
      </c>
      <c r="D795" s="2" t="s">
        <v>95</v>
      </c>
      <c r="E795" s="2" t="s">
        <v>133</v>
      </c>
      <c r="F795" s="2" t="s">
        <v>33</v>
      </c>
      <c r="G795" s="2" t="s">
        <v>158</v>
      </c>
      <c r="H795" s="2">
        <v>-3</v>
      </c>
      <c r="I795" s="2">
        <v>345.44</v>
      </c>
      <c r="J795" s="2">
        <v>0.05</v>
      </c>
      <c r="K795" s="2" t="s">
        <v>17</v>
      </c>
      <c r="L795" s="2" t="s">
        <v>35</v>
      </c>
    </row>
    <row r="796" spans="1:12" x14ac:dyDescent="0.2">
      <c r="A796" s="2">
        <v>101745</v>
      </c>
      <c r="B796" s="18">
        <v>45358</v>
      </c>
      <c r="C796" s="2" t="s">
        <v>504</v>
      </c>
      <c r="D796" s="2" t="s">
        <v>44</v>
      </c>
      <c r="E796" s="2" t="s">
        <v>32</v>
      </c>
      <c r="F796" s="2" t="s">
        <v>124</v>
      </c>
      <c r="G796" s="2" t="s">
        <v>207</v>
      </c>
      <c r="H796" s="2">
        <v>3</v>
      </c>
      <c r="I796" s="2">
        <v>1532.04</v>
      </c>
      <c r="J796" s="2">
        <v>0.1</v>
      </c>
      <c r="K796" s="2" t="s">
        <v>66</v>
      </c>
      <c r="L796" s="2" t="s">
        <v>42</v>
      </c>
    </row>
    <row r="797" spans="1:12" x14ac:dyDescent="0.2">
      <c r="A797" s="2">
        <v>100863</v>
      </c>
      <c r="B797" s="18">
        <v>45643</v>
      </c>
      <c r="C797" s="2" t="s">
        <v>235</v>
      </c>
      <c r="D797" s="2" t="s">
        <v>140</v>
      </c>
      <c r="E797" s="2" t="s">
        <v>79</v>
      </c>
      <c r="F797" s="2" t="s">
        <v>55</v>
      </c>
      <c r="G797" s="2" t="s">
        <v>207</v>
      </c>
      <c r="H797" s="2">
        <v>12</v>
      </c>
      <c r="I797" s="2">
        <v>1776.23</v>
      </c>
      <c r="J797" s="2">
        <v>0.15</v>
      </c>
      <c r="K797" s="2" t="s">
        <v>41</v>
      </c>
      <c r="L797" s="2" t="s">
        <v>35</v>
      </c>
    </row>
    <row r="798" spans="1:12" x14ac:dyDescent="0.2">
      <c r="A798" s="2">
        <v>101110</v>
      </c>
      <c r="B798" s="17">
        <v>45628</v>
      </c>
      <c r="C798" s="2" t="s">
        <v>718</v>
      </c>
      <c r="D798" s="2" t="s">
        <v>109</v>
      </c>
      <c r="E798" s="2" t="s">
        <v>133</v>
      </c>
      <c r="F798" s="2" t="s">
        <v>55</v>
      </c>
      <c r="G798" s="2" t="s">
        <v>99</v>
      </c>
      <c r="H798" s="2"/>
      <c r="I798" s="2">
        <v>11201.82</v>
      </c>
      <c r="J798" s="2">
        <v>20</v>
      </c>
      <c r="K798" s="2" t="s">
        <v>41</v>
      </c>
      <c r="L798" s="2" t="s">
        <v>35</v>
      </c>
    </row>
    <row r="799" spans="1:12" x14ac:dyDescent="0.2">
      <c r="A799" s="2">
        <v>101415</v>
      </c>
      <c r="B799" s="18">
        <v>45626</v>
      </c>
      <c r="C799" s="2" t="s">
        <v>569</v>
      </c>
      <c r="D799" s="2" t="s">
        <v>131</v>
      </c>
      <c r="E799" s="2" t="s">
        <v>133</v>
      </c>
      <c r="F799" s="2" t="s">
        <v>39</v>
      </c>
      <c r="G799" s="2" t="s">
        <v>242</v>
      </c>
      <c r="H799" s="2">
        <v>-1</v>
      </c>
      <c r="I799" s="2">
        <v>93.48</v>
      </c>
      <c r="J799" s="2">
        <v>0.1</v>
      </c>
      <c r="K799" s="2" t="s">
        <v>29</v>
      </c>
      <c r="L799" s="2" t="s">
        <v>52</v>
      </c>
    </row>
    <row r="800" spans="1:12" x14ac:dyDescent="0.2">
      <c r="A800" s="2">
        <v>101972</v>
      </c>
      <c r="B800" s="17">
        <v>45334</v>
      </c>
      <c r="C800" s="2" t="s">
        <v>563</v>
      </c>
      <c r="D800" s="2" t="s">
        <v>31</v>
      </c>
      <c r="E800" s="2" t="s">
        <v>54</v>
      </c>
      <c r="F800" s="2" t="s">
        <v>15</v>
      </c>
      <c r="G800" s="2" t="s">
        <v>205</v>
      </c>
      <c r="H800" s="2">
        <v>8</v>
      </c>
      <c r="I800" s="2">
        <v>23705.56</v>
      </c>
      <c r="J800" s="2">
        <v>0.25</v>
      </c>
      <c r="K800" s="2" t="s">
        <v>41</v>
      </c>
      <c r="L800" s="2" t="s">
        <v>121</v>
      </c>
    </row>
    <row r="801" spans="1:12" x14ac:dyDescent="0.2">
      <c r="A801" s="2">
        <v>100369</v>
      </c>
      <c r="B801" s="18">
        <v>45646</v>
      </c>
      <c r="C801" s="2" t="s">
        <v>603</v>
      </c>
      <c r="D801" s="2" t="s">
        <v>13</v>
      </c>
      <c r="E801" s="2" t="s">
        <v>119</v>
      </c>
      <c r="F801" s="2" t="s">
        <v>106</v>
      </c>
      <c r="G801" s="2" t="s">
        <v>137</v>
      </c>
      <c r="H801" s="2">
        <v>9</v>
      </c>
      <c r="I801" s="2">
        <v>1009.72</v>
      </c>
      <c r="J801" s="2">
        <v>0</v>
      </c>
      <c r="K801" s="2" t="s">
        <v>41</v>
      </c>
      <c r="L801" s="2" t="s">
        <v>25</v>
      </c>
    </row>
    <row r="802" spans="1:12" x14ac:dyDescent="0.2">
      <c r="A802" s="2">
        <v>100733</v>
      </c>
      <c r="B802" s="17">
        <v>45562</v>
      </c>
      <c r="C802" s="2" t="s">
        <v>264</v>
      </c>
      <c r="D802" s="2" t="s">
        <v>140</v>
      </c>
      <c r="E802" s="2" t="s">
        <v>79</v>
      </c>
      <c r="F802" s="2" t="s">
        <v>191</v>
      </c>
      <c r="G802" s="2" t="s">
        <v>59</v>
      </c>
      <c r="H802" s="2">
        <v>9</v>
      </c>
      <c r="I802" s="2">
        <v>20623.330000000002</v>
      </c>
      <c r="J802" s="2">
        <v>0</v>
      </c>
      <c r="K802" s="2" t="s">
        <v>66</v>
      </c>
      <c r="L802" s="2" t="s">
        <v>25</v>
      </c>
    </row>
    <row r="803" spans="1:12" x14ac:dyDescent="0.2">
      <c r="A803" s="2">
        <v>101378</v>
      </c>
      <c r="B803" s="17">
        <v>45432</v>
      </c>
      <c r="C803" s="2" t="s">
        <v>128</v>
      </c>
      <c r="D803" s="2" t="s">
        <v>95</v>
      </c>
      <c r="E803" s="2" t="s">
        <v>133</v>
      </c>
      <c r="F803" s="2" t="s">
        <v>33</v>
      </c>
      <c r="G803" s="2" t="s">
        <v>93</v>
      </c>
      <c r="H803" s="2">
        <v>8</v>
      </c>
      <c r="I803" s="2">
        <v>528.11</v>
      </c>
      <c r="J803" s="2">
        <v>0</v>
      </c>
      <c r="K803" s="2" t="s">
        <v>66</v>
      </c>
      <c r="L803" s="2" t="s">
        <v>35</v>
      </c>
    </row>
    <row r="804" spans="1:12" x14ac:dyDescent="0.2">
      <c r="A804" s="2">
        <v>100126</v>
      </c>
      <c r="B804" s="17">
        <v>45481</v>
      </c>
      <c r="C804" s="2" t="s">
        <v>423</v>
      </c>
      <c r="D804" s="2" t="s">
        <v>160</v>
      </c>
      <c r="E804" s="2" t="s">
        <v>49</v>
      </c>
      <c r="F804" s="2" t="s">
        <v>22</v>
      </c>
      <c r="G804" s="2" t="s">
        <v>75</v>
      </c>
      <c r="H804" s="2">
        <v>4</v>
      </c>
      <c r="I804" s="2">
        <v>3082.4</v>
      </c>
      <c r="J804" s="2">
        <v>0.15</v>
      </c>
      <c r="K804" s="2" t="s">
        <v>41</v>
      </c>
      <c r="L804" s="2" t="s">
        <v>18</v>
      </c>
    </row>
    <row r="805" spans="1:12" x14ac:dyDescent="0.2">
      <c r="A805" s="2">
        <v>101262</v>
      </c>
      <c r="B805" s="18">
        <v>45513</v>
      </c>
      <c r="C805" s="2" t="s">
        <v>118</v>
      </c>
      <c r="D805" s="2" t="s">
        <v>58</v>
      </c>
      <c r="E805" s="2" t="s">
        <v>69</v>
      </c>
      <c r="F805" s="2" t="s">
        <v>155</v>
      </c>
      <c r="G805" s="2" t="s">
        <v>103</v>
      </c>
      <c r="H805" s="2">
        <v>-3</v>
      </c>
      <c r="I805" s="2">
        <v>2299.9</v>
      </c>
      <c r="J805" s="2">
        <v>0</v>
      </c>
      <c r="K805" s="2" t="s">
        <v>41</v>
      </c>
      <c r="L805" s="2" t="s">
        <v>87</v>
      </c>
    </row>
    <row r="806" spans="1:12" x14ac:dyDescent="0.2">
      <c r="A806" s="2">
        <v>101089</v>
      </c>
      <c r="B806" s="18">
        <v>45399</v>
      </c>
      <c r="C806" s="2" t="s">
        <v>724</v>
      </c>
      <c r="D806" s="2" t="s">
        <v>13</v>
      </c>
      <c r="E806" s="2" t="s">
        <v>119</v>
      </c>
      <c r="F806" s="2" t="s">
        <v>86</v>
      </c>
      <c r="G806" s="2" t="s">
        <v>71</v>
      </c>
      <c r="H806" s="2">
        <v>3</v>
      </c>
      <c r="I806" s="2">
        <v>22765.8</v>
      </c>
      <c r="J806" s="2">
        <v>25</v>
      </c>
      <c r="K806" s="2" t="s">
        <v>66</v>
      </c>
      <c r="L806" s="2" t="s">
        <v>121</v>
      </c>
    </row>
    <row r="807" spans="1:12" x14ac:dyDescent="0.2">
      <c r="A807" s="2">
        <v>100257</v>
      </c>
      <c r="B807" s="18">
        <v>45307</v>
      </c>
      <c r="C807" s="2" t="s">
        <v>725</v>
      </c>
      <c r="D807" s="2" t="s">
        <v>89</v>
      </c>
      <c r="E807" s="2" t="s">
        <v>32</v>
      </c>
      <c r="F807" s="2" t="s">
        <v>223</v>
      </c>
      <c r="G807" s="2" t="s">
        <v>51</v>
      </c>
      <c r="H807" s="2">
        <v>4</v>
      </c>
      <c r="I807" s="2">
        <v>8947.1</v>
      </c>
      <c r="J807" s="2">
        <v>15</v>
      </c>
      <c r="K807" s="2" t="s">
        <v>24</v>
      </c>
      <c r="L807" s="2" t="s">
        <v>121</v>
      </c>
    </row>
    <row r="808" spans="1:12" x14ac:dyDescent="0.2">
      <c r="A808" s="2">
        <v>101989</v>
      </c>
      <c r="B808" s="18">
        <v>45509</v>
      </c>
      <c r="C808" s="2" t="s">
        <v>726</v>
      </c>
      <c r="D808" s="2" t="s">
        <v>61</v>
      </c>
      <c r="E808" s="2" t="s">
        <v>14</v>
      </c>
      <c r="F808" s="2" t="s">
        <v>33</v>
      </c>
      <c r="G808" s="2" t="s">
        <v>34</v>
      </c>
      <c r="H808" s="2">
        <v>8</v>
      </c>
      <c r="I808" s="2" t="s">
        <v>727</v>
      </c>
      <c r="J808" s="2">
        <v>0</v>
      </c>
      <c r="K808" s="2" t="s">
        <v>41</v>
      </c>
      <c r="L808" s="2" t="s">
        <v>18</v>
      </c>
    </row>
    <row r="809" spans="1:12" x14ac:dyDescent="0.2">
      <c r="A809" s="2">
        <v>101124</v>
      </c>
      <c r="B809" s="17">
        <v>45340</v>
      </c>
      <c r="C809" s="2" t="s">
        <v>728</v>
      </c>
      <c r="D809" s="2" t="s">
        <v>160</v>
      </c>
      <c r="E809" s="2" t="s">
        <v>49</v>
      </c>
      <c r="F809" s="2" t="s">
        <v>33</v>
      </c>
      <c r="G809" s="2" t="s">
        <v>93</v>
      </c>
      <c r="H809" s="2">
        <v>1</v>
      </c>
      <c r="I809" s="2" t="s">
        <v>729</v>
      </c>
      <c r="J809" s="2">
        <v>0</v>
      </c>
      <c r="K809" s="2" t="s">
        <v>83</v>
      </c>
      <c r="L809" s="2" t="s">
        <v>87</v>
      </c>
    </row>
    <row r="810" spans="1:12" x14ac:dyDescent="0.2">
      <c r="A810" s="2">
        <v>100290</v>
      </c>
      <c r="B810" s="18">
        <v>45405</v>
      </c>
      <c r="C810" s="2" t="s">
        <v>201</v>
      </c>
      <c r="D810" s="2" t="s">
        <v>13</v>
      </c>
      <c r="E810" s="2" t="s">
        <v>119</v>
      </c>
      <c r="F810" s="2" t="s">
        <v>39</v>
      </c>
      <c r="G810" s="2" t="s">
        <v>40</v>
      </c>
      <c r="H810" s="2">
        <v>8</v>
      </c>
      <c r="I810" s="2">
        <v>782.87</v>
      </c>
      <c r="J810" s="2">
        <v>5</v>
      </c>
      <c r="K810" s="2" t="s">
        <v>41</v>
      </c>
      <c r="L810" s="2" t="s">
        <v>143</v>
      </c>
    </row>
    <row r="811" spans="1:12" x14ac:dyDescent="0.2">
      <c r="A811" s="2">
        <v>101297</v>
      </c>
      <c r="B811" s="17">
        <v>45625</v>
      </c>
      <c r="C811" s="2" t="s">
        <v>468</v>
      </c>
      <c r="D811" s="2" t="s">
        <v>181</v>
      </c>
      <c r="E811" s="2" t="s">
        <v>14</v>
      </c>
      <c r="F811" s="2" t="s">
        <v>45</v>
      </c>
      <c r="G811" s="2" t="s">
        <v>111</v>
      </c>
      <c r="H811" s="2">
        <v>3</v>
      </c>
      <c r="I811" s="2">
        <v>29170.94</v>
      </c>
      <c r="J811" s="2">
        <v>0</v>
      </c>
      <c r="K811" s="2" t="s">
        <v>83</v>
      </c>
      <c r="L811" s="2" t="s">
        <v>42</v>
      </c>
    </row>
    <row r="812" spans="1:12" x14ac:dyDescent="0.2">
      <c r="A812" s="2">
        <v>100778</v>
      </c>
      <c r="B812" s="17">
        <v>45310</v>
      </c>
      <c r="C812" s="2" t="s">
        <v>372</v>
      </c>
      <c r="D812" s="2" t="s">
        <v>85</v>
      </c>
      <c r="E812" s="2" t="s">
        <v>119</v>
      </c>
      <c r="F812" s="2" t="s">
        <v>120</v>
      </c>
      <c r="G812" s="2" t="s">
        <v>141</v>
      </c>
      <c r="H812" s="2">
        <v>2</v>
      </c>
      <c r="I812" s="2">
        <v>3023.02</v>
      </c>
      <c r="J812" s="2">
        <v>0.25</v>
      </c>
      <c r="K812" s="2" t="s">
        <v>66</v>
      </c>
      <c r="L812" s="2" t="s">
        <v>25</v>
      </c>
    </row>
    <row r="813" spans="1:12" x14ac:dyDescent="0.2">
      <c r="A813" s="2">
        <v>100082</v>
      </c>
      <c r="B813" s="18">
        <v>45611</v>
      </c>
      <c r="C813" s="2"/>
      <c r="D813" s="2" t="s">
        <v>101</v>
      </c>
      <c r="E813" s="2" t="s">
        <v>38</v>
      </c>
      <c r="F813" s="2" t="s">
        <v>22</v>
      </c>
      <c r="G813" s="2" t="s">
        <v>145</v>
      </c>
      <c r="H813" s="2">
        <v>2</v>
      </c>
      <c r="I813" s="2">
        <v>1250.8</v>
      </c>
      <c r="J813" s="2">
        <v>0</v>
      </c>
      <c r="K813" s="2" t="s">
        <v>41</v>
      </c>
      <c r="L813" s="2" t="s">
        <v>143</v>
      </c>
    </row>
    <row r="814" spans="1:12" x14ac:dyDescent="0.2">
      <c r="A814" s="2">
        <v>100054</v>
      </c>
      <c r="B814" s="18">
        <v>45456</v>
      </c>
      <c r="C814" s="2" t="s">
        <v>730</v>
      </c>
      <c r="D814" s="2" t="s">
        <v>85</v>
      </c>
      <c r="E814" s="2" t="s">
        <v>14</v>
      </c>
      <c r="F814" s="2" t="s">
        <v>33</v>
      </c>
      <c r="G814" s="2" t="s">
        <v>34</v>
      </c>
      <c r="H814" s="2">
        <v>2</v>
      </c>
      <c r="I814" s="2">
        <v>599.19000000000005</v>
      </c>
      <c r="J814" s="2">
        <v>0</v>
      </c>
      <c r="K814" s="2" t="s">
        <v>66</v>
      </c>
      <c r="L814" s="2" t="s">
        <v>18</v>
      </c>
    </row>
    <row r="815" spans="1:12" x14ac:dyDescent="0.2">
      <c r="A815" s="2">
        <v>101555</v>
      </c>
      <c r="B815" s="17">
        <v>45308</v>
      </c>
      <c r="C815" s="2" t="s">
        <v>154</v>
      </c>
      <c r="D815" s="2" t="s">
        <v>61</v>
      </c>
      <c r="E815" s="2" t="s">
        <v>14</v>
      </c>
      <c r="F815" s="2" t="s">
        <v>80</v>
      </c>
      <c r="G815" s="2" t="s">
        <v>81</v>
      </c>
      <c r="H815" s="2">
        <v>1</v>
      </c>
      <c r="I815" s="2">
        <v>530.74</v>
      </c>
      <c r="J815" s="2">
        <v>15</v>
      </c>
      <c r="K815" s="2" t="s">
        <v>17</v>
      </c>
      <c r="L815" s="2" t="s">
        <v>18</v>
      </c>
    </row>
    <row r="816" spans="1:12" x14ac:dyDescent="0.2">
      <c r="A816" s="2">
        <v>101808</v>
      </c>
      <c r="B816" s="18">
        <v>45302</v>
      </c>
      <c r="C816" s="2" t="s">
        <v>659</v>
      </c>
      <c r="D816" s="2" t="s">
        <v>95</v>
      </c>
      <c r="E816" s="2" t="s">
        <v>21</v>
      </c>
      <c r="F816" s="2" t="s">
        <v>155</v>
      </c>
      <c r="G816" s="2" t="s">
        <v>135</v>
      </c>
      <c r="H816" s="2">
        <v>4</v>
      </c>
      <c r="I816" s="2">
        <v>3784.52</v>
      </c>
      <c r="J816" s="2">
        <v>0</v>
      </c>
      <c r="K816" s="2" t="s">
        <v>24</v>
      </c>
      <c r="L816" s="2" t="s">
        <v>87</v>
      </c>
    </row>
    <row r="817" spans="1:12" x14ac:dyDescent="0.2">
      <c r="A817" s="2">
        <v>100558</v>
      </c>
      <c r="B817" s="18">
        <v>45370</v>
      </c>
      <c r="C817" s="2"/>
      <c r="D817" s="2" t="s">
        <v>20</v>
      </c>
      <c r="E817" s="2" t="s">
        <v>133</v>
      </c>
      <c r="F817" s="2" t="s">
        <v>64</v>
      </c>
      <c r="G817" s="2" t="s">
        <v>40</v>
      </c>
      <c r="H817" s="2">
        <v>5</v>
      </c>
      <c r="I817" s="2">
        <v>50.72</v>
      </c>
      <c r="J817" s="2">
        <v>0.05</v>
      </c>
      <c r="K817" s="2" t="s">
        <v>41</v>
      </c>
      <c r="L817" s="2" t="s">
        <v>35</v>
      </c>
    </row>
    <row r="818" spans="1:12" x14ac:dyDescent="0.2">
      <c r="A818" s="2">
        <v>100041</v>
      </c>
      <c r="B818" s="17">
        <v>45433</v>
      </c>
      <c r="C818" s="2" t="s">
        <v>731</v>
      </c>
      <c r="D818" s="2" t="s">
        <v>73</v>
      </c>
      <c r="E818" s="2" t="s">
        <v>49</v>
      </c>
      <c r="F818" s="2" t="s">
        <v>80</v>
      </c>
      <c r="G818" s="2" t="s">
        <v>81</v>
      </c>
      <c r="H818" s="2">
        <v>8</v>
      </c>
      <c r="I818" s="2">
        <v>266.83</v>
      </c>
      <c r="J818" s="2">
        <v>0</v>
      </c>
      <c r="K818" s="2" t="s">
        <v>29</v>
      </c>
      <c r="L818" s="2" t="s">
        <v>52</v>
      </c>
    </row>
    <row r="819" spans="1:12" x14ac:dyDescent="0.2">
      <c r="A819" s="2">
        <v>101518</v>
      </c>
      <c r="B819" s="17">
        <v>45651</v>
      </c>
      <c r="C819" s="2" t="s">
        <v>555</v>
      </c>
      <c r="D819" s="2" t="s">
        <v>48</v>
      </c>
      <c r="E819" s="2" t="s">
        <v>79</v>
      </c>
      <c r="F819" s="2" t="s">
        <v>80</v>
      </c>
      <c r="G819" s="2" t="s">
        <v>158</v>
      </c>
      <c r="H819" s="2">
        <v>9</v>
      </c>
      <c r="I819" s="2">
        <v>370.54</v>
      </c>
      <c r="J819" s="2">
        <v>15</v>
      </c>
      <c r="K819" s="2" t="s">
        <v>17</v>
      </c>
      <c r="L819" s="2" t="s">
        <v>42</v>
      </c>
    </row>
    <row r="820" spans="1:12" x14ac:dyDescent="0.2">
      <c r="A820" s="2">
        <v>100262</v>
      </c>
      <c r="B820" s="17">
        <v>45649</v>
      </c>
      <c r="C820" s="2" t="s">
        <v>296</v>
      </c>
      <c r="D820" s="2" t="s">
        <v>131</v>
      </c>
      <c r="E820" s="2" t="s">
        <v>133</v>
      </c>
      <c r="F820" s="2" t="s">
        <v>155</v>
      </c>
      <c r="G820" s="2" t="s">
        <v>135</v>
      </c>
      <c r="H820" s="2">
        <v>9</v>
      </c>
      <c r="I820" s="2">
        <v>1829.33</v>
      </c>
      <c r="J820" s="2"/>
      <c r="K820" s="2" t="s">
        <v>24</v>
      </c>
      <c r="L820" s="2" t="s">
        <v>35</v>
      </c>
    </row>
    <row r="821" spans="1:12" x14ac:dyDescent="0.2">
      <c r="A821" s="2">
        <v>101012</v>
      </c>
      <c r="B821" s="18">
        <v>45408</v>
      </c>
      <c r="C821" s="2" t="s">
        <v>376</v>
      </c>
      <c r="D821" s="2" t="s">
        <v>181</v>
      </c>
      <c r="E821" s="2" t="s">
        <v>119</v>
      </c>
      <c r="F821" s="2" t="s">
        <v>74</v>
      </c>
      <c r="G821" s="2" t="s">
        <v>141</v>
      </c>
      <c r="H821" s="2">
        <v>4</v>
      </c>
      <c r="I821" s="2">
        <v>2739.57</v>
      </c>
      <c r="J821" s="2">
        <v>5</v>
      </c>
      <c r="K821" s="2" t="s">
        <v>41</v>
      </c>
      <c r="L821" s="2" t="s">
        <v>52</v>
      </c>
    </row>
    <row r="822" spans="1:12" x14ac:dyDescent="0.2">
      <c r="A822" s="2">
        <v>101451</v>
      </c>
      <c r="B822" s="18">
        <v>45453</v>
      </c>
      <c r="C822" s="2" t="s">
        <v>732</v>
      </c>
      <c r="D822" s="2" t="s">
        <v>37</v>
      </c>
      <c r="E822" s="2" t="s">
        <v>38</v>
      </c>
      <c r="F822" s="2" t="s">
        <v>28</v>
      </c>
      <c r="G822" s="2" t="s">
        <v>16</v>
      </c>
      <c r="H822" s="2">
        <v>3</v>
      </c>
      <c r="I822" s="2">
        <v>17655.23</v>
      </c>
      <c r="J822" s="2"/>
      <c r="K822" s="2" t="s">
        <v>66</v>
      </c>
      <c r="L822" s="2" t="s">
        <v>52</v>
      </c>
    </row>
    <row r="823" spans="1:12" x14ac:dyDescent="0.2">
      <c r="A823" s="2">
        <v>100084</v>
      </c>
      <c r="B823" s="17">
        <v>45448</v>
      </c>
      <c r="C823" s="2" t="s">
        <v>733</v>
      </c>
      <c r="D823" s="2" t="s">
        <v>175</v>
      </c>
      <c r="E823" s="2" t="s">
        <v>69</v>
      </c>
      <c r="F823" s="2" t="s">
        <v>223</v>
      </c>
      <c r="G823" s="2" t="s">
        <v>99</v>
      </c>
      <c r="H823" s="2">
        <v>9</v>
      </c>
      <c r="I823" s="2">
        <v>11726.65</v>
      </c>
      <c r="J823" s="2">
        <v>0</v>
      </c>
      <c r="K823" s="2" t="s">
        <v>66</v>
      </c>
      <c r="L823" s="2" t="s">
        <v>25</v>
      </c>
    </row>
    <row r="824" spans="1:12" x14ac:dyDescent="0.2">
      <c r="A824" s="2">
        <v>101135</v>
      </c>
      <c r="B824" s="18">
        <v>45645</v>
      </c>
      <c r="C824" s="2" t="s">
        <v>734</v>
      </c>
      <c r="D824" s="2" t="s">
        <v>101</v>
      </c>
      <c r="E824" s="2" t="s">
        <v>38</v>
      </c>
      <c r="F824" s="2" t="s">
        <v>33</v>
      </c>
      <c r="G824" s="2" t="s">
        <v>34</v>
      </c>
      <c r="H824" s="2">
        <v>4</v>
      </c>
      <c r="I824" s="2" t="s">
        <v>735</v>
      </c>
      <c r="J824" s="2">
        <v>0.2</v>
      </c>
      <c r="K824" s="2" t="s">
        <v>17</v>
      </c>
      <c r="L824" s="2" t="s">
        <v>121</v>
      </c>
    </row>
    <row r="825" spans="1:12" x14ac:dyDescent="0.2">
      <c r="A825" s="2">
        <v>101228</v>
      </c>
      <c r="B825" s="17">
        <v>45413</v>
      </c>
      <c r="C825" s="2" t="s">
        <v>219</v>
      </c>
      <c r="D825" s="2" t="s">
        <v>101</v>
      </c>
      <c r="E825" s="2" t="s">
        <v>38</v>
      </c>
      <c r="F825" s="2" t="s">
        <v>80</v>
      </c>
      <c r="G825" s="2" t="s">
        <v>158</v>
      </c>
      <c r="H825" s="2">
        <v>7</v>
      </c>
      <c r="I825" s="2">
        <v>62.6</v>
      </c>
      <c r="J825" s="2">
        <v>0</v>
      </c>
      <c r="K825" s="2" t="s">
        <v>83</v>
      </c>
      <c r="L825" s="2" t="s">
        <v>35</v>
      </c>
    </row>
    <row r="826" spans="1:12" x14ac:dyDescent="0.2">
      <c r="A826" s="2">
        <v>101703</v>
      </c>
      <c r="B826" s="17">
        <v>45353</v>
      </c>
      <c r="C826" s="2" t="s">
        <v>479</v>
      </c>
      <c r="D826" s="2" t="s">
        <v>160</v>
      </c>
      <c r="E826" s="2" t="s">
        <v>79</v>
      </c>
      <c r="F826" s="2" t="s">
        <v>33</v>
      </c>
      <c r="G826" s="2" t="s">
        <v>81</v>
      </c>
      <c r="H826" s="2">
        <v>8</v>
      </c>
      <c r="I826" s="2">
        <v>323.25</v>
      </c>
      <c r="J826" s="2">
        <v>0.1</v>
      </c>
      <c r="K826" s="2" t="s">
        <v>29</v>
      </c>
      <c r="L826" s="2" t="s">
        <v>143</v>
      </c>
    </row>
    <row r="827" spans="1:12" x14ac:dyDescent="0.2">
      <c r="A827" s="2">
        <v>100841</v>
      </c>
      <c r="B827" s="18">
        <v>45371</v>
      </c>
      <c r="C827" s="2" t="s">
        <v>494</v>
      </c>
      <c r="D827" s="2" t="s">
        <v>129</v>
      </c>
      <c r="E827" s="2" t="s">
        <v>79</v>
      </c>
      <c r="F827" s="2" t="s">
        <v>33</v>
      </c>
      <c r="G827" s="2" t="s">
        <v>158</v>
      </c>
      <c r="H827" s="2">
        <v>5</v>
      </c>
      <c r="I827" s="2">
        <v>335.88</v>
      </c>
      <c r="J827" s="2">
        <v>0.2</v>
      </c>
      <c r="K827" s="2" t="s">
        <v>66</v>
      </c>
      <c r="L827" s="2" t="s">
        <v>121</v>
      </c>
    </row>
    <row r="828" spans="1:12" x14ac:dyDescent="0.2">
      <c r="A828" s="2">
        <v>100031</v>
      </c>
      <c r="B828" s="18">
        <v>45433</v>
      </c>
      <c r="C828" s="2" t="s">
        <v>531</v>
      </c>
      <c r="D828" s="2" t="s">
        <v>92</v>
      </c>
      <c r="E828" s="2" t="s">
        <v>54</v>
      </c>
      <c r="F828" s="2" t="s">
        <v>102</v>
      </c>
      <c r="G828" s="2" t="s">
        <v>103</v>
      </c>
      <c r="H828" s="2">
        <v>8</v>
      </c>
      <c r="I828" s="2">
        <v>1845.59</v>
      </c>
      <c r="J828" s="2">
        <v>15</v>
      </c>
      <c r="K828" s="2" t="s">
        <v>29</v>
      </c>
      <c r="L828" s="2" t="s">
        <v>25</v>
      </c>
    </row>
    <row r="829" spans="1:12" x14ac:dyDescent="0.2">
      <c r="A829" s="2">
        <v>100514</v>
      </c>
      <c r="B829" s="17">
        <v>45593</v>
      </c>
      <c r="C829" s="2"/>
      <c r="D829" s="2" t="s">
        <v>175</v>
      </c>
      <c r="E829" s="2" t="s">
        <v>38</v>
      </c>
      <c r="F829" s="2" t="s">
        <v>120</v>
      </c>
      <c r="G829" s="2" t="s">
        <v>232</v>
      </c>
      <c r="H829" s="2">
        <v>8</v>
      </c>
      <c r="I829" s="2">
        <v>511.19</v>
      </c>
      <c r="J829" s="2">
        <v>0</v>
      </c>
      <c r="K829" s="2" t="s">
        <v>24</v>
      </c>
      <c r="L829" s="2" t="s">
        <v>35</v>
      </c>
    </row>
    <row r="830" spans="1:12" x14ac:dyDescent="0.2">
      <c r="A830" s="2">
        <v>101467</v>
      </c>
      <c r="B830" s="17">
        <v>45479</v>
      </c>
      <c r="C830" s="2" t="s">
        <v>567</v>
      </c>
      <c r="D830" s="2" t="s">
        <v>20</v>
      </c>
      <c r="E830" s="2" t="s">
        <v>133</v>
      </c>
      <c r="F830" s="2" t="s">
        <v>64</v>
      </c>
      <c r="G830" s="2" t="s">
        <v>114</v>
      </c>
      <c r="H830" s="2">
        <v>2</v>
      </c>
      <c r="I830" s="2">
        <v>520.63</v>
      </c>
      <c r="J830" s="2">
        <v>5</v>
      </c>
      <c r="K830" s="2" t="s">
        <v>66</v>
      </c>
      <c r="L830" s="2" t="s">
        <v>25</v>
      </c>
    </row>
    <row r="831" spans="1:12" x14ac:dyDescent="0.2">
      <c r="A831" s="2">
        <v>101370</v>
      </c>
      <c r="B831" s="17">
        <v>45589</v>
      </c>
      <c r="C831" s="2" t="s">
        <v>736</v>
      </c>
      <c r="D831" s="2" t="s">
        <v>131</v>
      </c>
      <c r="E831" s="2" t="s">
        <v>133</v>
      </c>
      <c r="F831" s="2" t="s">
        <v>191</v>
      </c>
      <c r="G831" s="2" t="s">
        <v>116</v>
      </c>
      <c r="H831" s="2">
        <v>5</v>
      </c>
      <c r="I831" s="2">
        <v>4240.12</v>
      </c>
      <c r="J831" s="2"/>
      <c r="K831" s="2" t="s">
        <v>66</v>
      </c>
      <c r="L831" s="2" t="s">
        <v>42</v>
      </c>
    </row>
    <row r="832" spans="1:12" x14ac:dyDescent="0.2">
      <c r="A832" s="2">
        <v>101840</v>
      </c>
      <c r="B832" s="17">
        <v>45387</v>
      </c>
      <c r="C832" s="2" t="s">
        <v>255</v>
      </c>
      <c r="D832" s="2" t="s">
        <v>95</v>
      </c>
      <c r="E832" s="2" t="s">
        <v>21</v>
      </c>
      <c r="F832" s="2" t="s">
        <v>124</v>
      </c>
      <c r="G832" s="2" t="s">
        <v>207</v>
      </c>
      <c r="H832" s="2">
        <v>12</v>
      </c>
      <c r="I832" s="2">
        <v>6136.58</v>
      </c>
      <c r="J832" s="2"/>
      <c r="K832" s="2" t="s">
        <v>83</v>
      </c>
      <c r="L832" s="2" t="s">
        <v>35</v>
      </c>
    </row>
    <row r="833" spans="1:12" x14ac:dyDescent="0.2">
      <c r="A833" s="2">
        <v>101035</v>
      </c>
      <c r="B833" s="18">
        <v>45583</v>
      </c>
      <c r="C833" s="2"/>
      <c r="D833" s="2" t="s">
        <v>20</v>
      </c>
      <c r="E833" s="2" t="s">
        <v>133</v>
      </c>
      <c r="F833" s="2" t="s">
        <v>28</v>
      </c>
      <c r="G833" s="2" t="s">
        <v>116</v>
      </c>
      <c r="H833" s="2">
        <v>-1</v>
      </c>
      <c r="I833" s="2">
        <v>6340.17</v>
      </c>
      <c r="J833" s="2"/>
      <c r="K833" s="2" t="s">
        <v>29</v>
      </c>
      <c r="L833" s="2" t="s">
        <v>25</v>
      </c>
    </row>
    <row r="834" spans="1:12" x14ac:dyDescent="0.2">
      <c r="A834" s="2">
        <v>101771</v>
      </c>
      <c r="B834" s="18">
        <v>45371</v>
      </c>
      <c r="C834" s="2" t="s">
        <v>653</v>
      </c>
      <c r="D834" s="2" t="s">
        <v>61</v>
      </c>
      <c r="E834" s="2" t="s">
        <v>119</v>
      </c>
      <c r="F834" s="2" t="s">
        <v>80</v>
      </c>
      <c r="G834" s="2" t="s">
        <v>34</v>
      </c>
      <c r="H834" s="2">
        <v>11</v>
      </c>
      <c r="I834" s="2">
        <v>504.58</v>
      </c>
      <c r="J834" s="2">
        <v>0</v>
      </c>
      <c r="K834" s="2" t="s">
        <v>29</v>
      </c>
      <c r="L834" s="2" t="s">
        <v>18</v>
      </c>
    </row>
    <row r="835" spans="1:12" x14ac:dyDescent="0.2">
      <c r="A835" s="2">
        <v>101319</v>
      </c>
      <c r="B835" s="17">
        <v>45306</v>
      </c>
      <c r="C835" s="2" t="s">
        <v>343</v>
      </c>
      <c r="D835" s="2" t="s">
        <v>13</v>
      </c>
      <c r="E835" s="2" t="s">
        <v>14</v>
      </c>
      <c r="F835" s="2" t="s">
        <v>55</v>
      </c>
      <c r="G835" s="2" t="s">
        <v>51</v>
      </c>
      <c r="H835" s="2">
        <v>5</v>
      </c>
      <c r="I835" s="2">
        <v>4240.08</v>
      </c>
      <c r="J835" s="2">
        <v>0.1</v>
      </c>
      <c r="K835" s="2" t="s">
        <v>83</v>
      </c>
      <c r="L835" s="2" t="s">
        <v>143</v>
      </c>
    </row>
    <row r="836" spans="1:12" x14ac:dyDescent="0.2">
      <c r="A836" s="2">
        <v>101611</v>
      </c>
      <c r="B836" s="18">
        <v>45417</v>
      </c>
      <c r="C836" s="2" t="s">
        <v>72</v>
      </c>
      <c r="D836" s="2" t="s">
        <v>101</v>
      </c>
      <c r="E836" s="2" t="s">
        <v>38</v>
      </c>
      <c r="F836" s="2" t="s">
        <v>64</v>
      </c>
      <c r="G836" s="2" t="s">
        <v>292</v>
      </c>
      <c r="H836" s="2">
        <v>4</v>
      </c>
      <c r="I836" s="2">
        <v>877.52</v>
      </c>
      <c r="J836" s="2">
        <v>0.2</v>
      </c>
      <c r="K836" s="2" t="s">
        <v>24</v>
      </c>
      <c r="L836" s="2" t="s">
        <v>18</v>
      </c>
    </row>
    <row r="837" spans="1:12" x14ac:dyDescent="0.2">
      <c r="A837" s="2">
        <v>101352</v>
      </c>
      <c r="B837" s="17">
        <v>45536</v>
      </c>
      <c r="C837" s="2" t="s">
        <v>737</v>
      </c>
      <c r="D837" s="2" t="s">
        <v>44</v>
      </c>
      <c r="E837" s="2" t="s">
        <v>32</v>
      </c>
      <c r="F837" s="2" t="s">
        <v>28</v>
      </c>
      <c r="G837" s="2" t="s">
        <v>16</v>
      </c>
      <c r="H837" s="2">
        <v>11</v>
      </c>
      <c r="I837" s="2">
        <v>16659.54</v>
      </c>
      <c r="J837" s="2">
        <v>0.2</v>
      </c>
      <c r="K837" s="2" t="s">
        <v>17</v>
      </c>
      <c r="L837" s="2" t="s">
        <v>121</v>
      </c>
    </row>
    <row r="838" spans="1:12" x14ac:dyDescent="0.2">
      <c r="A838" s="2">
        <v>101216</v>
      </c>
      <c r="B838" s="18">
        <v>45433</v>
      </c>
      <c r="C838" s="2" t="s">
        <v>262</v>
      </c>
      <c r="D838" s="2" t="s">
        <v>20</v>
      </c>
      <c r="E838" s="2" t="s">
        <v>133</v>
      </c>
      <c r="F838" s="2" t="s">
        <v>22</v>
      </c>
      <c r="G838" s="2" t="s">
        <v>75</v>
      </c>
      <c r="H838" s="2">
        <v>1</v>
      </c>
      <c r="I838" s="2">
        <v>3330.09</v>
      </c>
      <c r="J838" s="2">
        <v>0</v>
      </c>
      <c r="K838" s="2" t="s">
        <v>24</v>
      </c>
      <c r="L838" s="2" t="s">
        <v>52</v>
      </c>
    </row>
    <row r="839" spans="1:12" x14ac:dyDescent="0.2">
      <c r="A839" s="2">
        <v>101854</v>
      </c>
      <c r="B839" s="18">
        <v>45609</v>
      </c>
      <c r="C839" s="2" t="s">
        <v>738</v>
      </c>
      <c r="D839" s="2" t="s">
        <v>58</v>
      </c>
      <c r="E839" s="2" t="s">
        <v>38</v>
      </c>
      <c r="F839" s="2" t="s">
        <v>22</v>
      </c>
      <c r="G839" s="2" t="s">
        <v>232</v>
      </c>
      <c r="H839" s="2">
        <v>12</v>
      </c>
      <c r="I839" s="2">
        <v>1899.69</v>
      </c>
      <c r="J839" s="2">
        <v>0.2</v>
      </c>
      <c r="K839" s="2" t="s">
        <v>83</v>
      </c>
      <c r="L839" s="2" t="s">
        <v>87</v>
      </c>
    </row>
    <row r="840" spans="1:12" x14ac:dyDescent="0.2">
      <c r="A840" s="2">
        <v>101894</v>
      </c>
      <c r="B840" s="18">
        <v>45480</v>
      </c>
      <c r="C840" s="2" t="s">
        <v>705</v>
      </c>
      <c r="D840" s="2" t="s">
        <v>129</v>
      </c>
      <c r="E840" s="2" t="s">
        <v>79</v>
      </c>
      <c r="F840" s="2" t="s">
        <v>113</v>
      </c>
      <c r="G840" s="2" t="s">
        <v>165</v>
      </c>
      <c r="H840" s="2">
        <v>11</v>
      </c>
      <c r="I840" s="2">
        <v>873.26</v>
      </c>
      <c r="J840" s="2">
        <v>0.2</v>
      </c>
      <c r="K840" s="2" t="s">
        <v>17</v>
      </c>
      <c r="L840" s="2" t="s">
        <v>35</v>
      </c>
    </row>
    <row r="841" spans="1:12" x14ac:dyDescent="0.2">
      <c r="A841" s="2">
        <v>100049</v>
      </c>
      <c r="B841" s="17">
        <v>45591</v>
      </c>
      <c r="C841" s="2" t="s">
        <v>561</v>
      </c>
      <c r="D841" s="2" t="s">
        <v>31</v>
      </c>
      <c r="E841" s="2" t="s">
        <v>32</v>
      </c>
      <c r="F841" s="2" t="s">
        <v>124</v>
      </c>
      <c r="G841" s="2" t="s">
        <v>62</v>
      </c>
      <c r="H841" s="2">
        <v>-3</v>
      </c>
      <c r="I841" s="2">
        <v>11636.69</v>
      </c>
      <c r="J841" s="2">
        <v>0.15</v>
      </c>
      <c r="K841" s="2" t="s">
        <v>41</v>
      </c>
      <c r="L841" s="2" t="s">
        <v>18</v>
      </c>
    </row>
    <row r="842" spans="1:12" x14ac:dyDescent="0.2">
      <c r="A842" s="2">
        <v>101341</v>
      </c>
      <c r="B842" s="17">
        <v>45629</v>
      </c>
      <c r="C842" s="2" t="s">
        <v>659</v>
      </c>
      <c r="D842" s="2" t="s">
        <v>27</v>
      </c>
      <c r="E842" s="2" t="s">
        <v>21</v>
      </c>
      <c r="F842" s="2" t="s">
        <v>33</v>
      </c>
      <c r="G842" s="2" t="s">
        <v>34</v>
      </c>
      <c r="H842" s="2">
        <v>6</v>
      </c>
      <c r="I842" s="2">
        <v>76.89</v>
      </c>
      <c r="J842" s="2">
        <v>0.1</v>
      </c>
      <c r="K842" s="2" t="s">
        <v>24</v>
      </c>
      <c r="L842" s="2" t="s">
        <v>18</v>
      </c>
    </row>
    <row r="843" spans="1:12" x14ac:dyDescent="0.2">
      <c r="A843" s="2">
        <v>101875</v>
      </c>
      <c r="B843" s="17">
        <v>45356</v>
      </c>
      <c r="C843" s="2" t="s">
        <v>246</v>
      </c>
      <c r="D843" s="2" t="s">
        <v>92</v>
      </c>
      <c r="E843" s="2" t="s">
        <v>54</v>
      </c>
      <c r="F843" s="2" t="s">
        <v>120</v>
      </c>
      <c r="G843" s="2" t="s">
        <v>141</v>
      </c>
      <c r="H843" s="2">
        <v>10</v>
      </c>
      <c r="I843" s="2">
        <v>1281.5899999999999</v>
      </c>
      <c r="J843" s="2">
        <v>0</v>
      </c>
      <c r="K843" s="2" t="s">
        <v>41</v>
      </c>
      <c r="L843" s="2" t="s">
        <v>25</v>
      </c>
    </row>
    <row r="844" spans="1:12" x14ac:dyDescent="0.2">
      <c r="A844" s="2">
        <v>100468</v>
      </c>
      <c r="B844" s="18">
        <v>45549</v>
      </c>
      <c r="C844" s="2" t="s">
        <v>739</v>
      </c>
      <c r="D844" s="2" t="s">
        <v>44</v>
      </c>
      <c r="E844" s="2" t="s">
        <v>54</v>
      </c>
      <c r="F844" s="2" t="s">
        <v>80</v>
      </c>
      <c r="G844" s="2" t="s">
        <v>34</v>
      </c>
      <c r="H844" s="2">
        <v>-2</v>
      </c>
      <c r="I844" s="2">
        <v>597.36</v>
      </c>
      <c r="J844" s="2">
        <v>0</v>
      </c>
      <c r="K844" s="2" t="s">
        <v>17</v>
      </c>
      <c r="L844" s="2" t="s">
        <v>42</v>
      </c>
    </row>
    <row r="845" spans="1:12" x14ac:dyDescent="0.2">
      <c r="A845" s="2">
        <v>100154</v>
      </c>
      <c r="B845" s="18">
        <v>45493</v>
      </c>
      <c r="C845" s="2" t="s">
        <v>740</v>
      </c>
      <c r="D845" s="2" t="s">
        <v>181</v>
      </c>
      <c r="E845" s="2" t="s">
        <v>119</v>
      </c>
      <c r="F845" s="2" t="s">
        <v>45</v>
      </c>
      <c r="G845" s="2" t="s">
        <v>153</v>
      </c>
      <c r="H845" s="2">
        <v>12</v>
      </c>
      <c r="I845" s="2">
        <v>10441.450000000001</v>
      </c>
      <c r="J845" s="2"/>
      <c r="K845" s="2" t="s">
        <v>24</v>
      </c>
      <c r="L845" s="2" t="s">
        <v>87</v>
      </c>
    </row>
    <row r="846" spans="1:12" x14ac:dyDescent="0.2">
      <c r="A846" s="2">
        <v>101587</v>
      </c>
      <c r="B846" s="17">
        <v>45480</v>
      </c>
      <c r="C846" s="2" t="s">
        <v>344</v>
      </c>
      <c r="D846" s="2" t="s">
        <v>73</v>
      </c>
      <c r="E846" s="2" t="s">
        <v>49</v>
      </c>
      <c r="F846" s="2" t="s">
        <v>80</v>
      </c>
      <c r="G846" s="2" t="s">
        <v>93</v>
      </c>
      <c r="H846" s="2">
        <v>4</v>
      </c>
      <c r="I846" s="2">
        <v>178.85</v>
      </c>
      <c r="J846" s="2">
        <v>0</v>
      </c>
      <c r="K846" s="2" t="s">
        <v>83</v>
      </c>
      <c r="L846" s="2" t="s">
        <v>52</v>
      </c>
    </row>
    <row r="847" spans="1:12" x14ac:dyDescent="0.2">
      <c r="A847" s="2">
        <v>101895</v>
      </c>
      <c r="B847" s="17">
        <v>45510</v>
      </c>
      <c r="C847" s="2" t="s">
        <v>741</v>
      </c>
      <c r="D847" s="2" t="s">
        <v>61</v>
      </c>
      <c r="E847" s="2" t="s">
        <v>14</v>
      </c>
      <c r="F847" s="2" t="s">
        <v>102</v>
      </c>
      <c r="G847" s="2" t="s">
        <v>103</v>
      </c>
      <c r="H847" s="2">
        <v>9</v>
      </c>
      <c r="I847" s="2">
        <v>3813.96</v>
      </c>
      <c r="J847" s="2">
        <v>0.2</v>
      </c>
      <c r="K847" s="2" t="s">
        <v>24</v>
      </c>
      <c r="L847" s="2" t="s">
        <v>52</v>
      </c>
    </row>
    <row r="848" spans="1:12" x14ac:dyDescent="0.2">
      <c r="A848" s="2">
        <v>100395</v>
      </c>
      <c r="B848" s="18">
        <v>45628</v>
      </c>
      <c r="C848" s="2" t="s">
        <v>742</v>
      </c>
      <c r="D848" s="2" t="s">
        <v>13</v>
      </c>
      <c r="E848" s="2" t="s">
        <v>119</v>
      </c>
      <c r="F848" s="2" t="s">
        <v>155</v>
      </c>
      <c r="G848" s="2" t="s">
        <v>103</v>
      </c>
      <c r="H848" s="2">
        <v>-3</v>
      </c>
      <c r="I848" s="2">
        <v>983.22</v>
      </c>
      <c r="J848" s="2">
        <v>20</v>
      </c>
      <c r="K848" s="2" t="s">
        <v>17</v>
      </c>
      <c r="L848" s="2" t="s">
        <v>25</v>
      </c>
    </row>
    <row r="849" spans="1:12" x14ac:dyDescent="0.2">
      <c r="A849" s="2">
        <v>100124</v>
      </c>
      <c r="B849" s="17">
        <v>45377</v>
      </c>
      <c r="C849" s="2" t="s">
        <v>142</v>
      </c>
      <c r="D849" s="2" t="s">
        <v>61</v>
      </c>
      <c r="E849" s="2" t="s">
        <v>14</v>
      </c>
      <c r="F849" s="2" t="s">
        <v>70</v>
      </c>
      <c r="G849" s="2" t="s">
        <v>46</v>
      </c>
      <c r="H849" s="2">
        <v>11</v>
      </c>
      <c r="I849" s="2">
        <v>9988.09</v>
      </c>
      <c r="J849" s="2">
        <v>0.2</v>
      </c>
      <c r="K849" s="2" t="s">
        <v>41</v>
      </c>
      <c r="L849" s="2" t="s">
        <v>52</v>
      </c>
    </row>
    <row r="850" spans="1:12" x14ac:dyDescent="0.2">
      <c r="A850" s="2">
        <v>100356</v>
      </c>
      <c r="B850" s="17">
        <v>45542</v>
      </c>
      <c r="C850" s="2" t="s">
        <v>385</v>
      </c>
      <c r="D850" s="2" t="s">
        <v>109</v>
      </c>
      <c r="E850" s="2" t="s">
        <v>21</v>
      </c>
      <c r="F850" s="2" t="s">
        <v>64</v>
      </c>
      <c r="G850" s="2" t="s">
        <v>165</v>
      </c>
      <c r="H850" s="2">
        <v>7</v>
      </c>
      <c r="I850" s="2">
        <v>625.29999999999995</v>
      </c>
      <c r="J850" s="2">
        <v>0.2</v>
      </c>
      <c r="K850" s="2" t="s">
        <v>29</v>
      </c>
      <c r="L850" s="2" t="s">
        <v>35</v>
      </c>
    </row>
    <row r="851" spans="1:12" x14ac:dyDescent="0.2">
      <c r="A851" s="2">
        <v>100135</v>
      </c>
      <c r="B851" s="17">
        <v>45459</v>
      </c>
      <c r="C851" s="2" t="s">
        <v>743</v>
      </c>
      <c r="D851" s="2" t="s">
        <v>44</v>
      </c>
      <c r="E851" s="2" t="s">
        <v>54</v>
      </c>
      <c r="F851" s="2" t="s">
        <v>39</v>
      </c>
      <c r="G851" s="2" t="s">
        <v>40</v>
      </c>
      <c r="H851" s="2">
        <v>5</v>
      </c>
      <c r="I851" s="2">
        <v>120.06</v>
      </c>
      <c r="J851" s="2">
        <v>0.05</v>
      </c>
      <c r="K851" s="2" t="s">
        <v>17</v>
      </c>
      <c r="L851" s="2" t="s">
        <v>143</v>
      </c>
    </row>
    <row r="852" spans="1:12" x14ac:dyDescent="0.2">
      <c r="A852" s="2">
        <v>100269</v>
      </c>
      <c r="B852" s="17">
        <v>45479</v>
      </c>
      <c r="C852" s="2" t="s">
        <v>744</v>
      </c>
      <c r="D852" s="2" t="s">
        <v>181</v>
      </c>
      <c r="E852" s="2" t="s">
        <v>14</v>
      </c>
      <c r="F852" s="2" t="s">
        <v>22</v>
      </c>
      <c r="G852" s="2" t="s">
        <v>232</v>
      </c>
      <c r="H852" s="2">
        <v>8</v>
      </c>
      <c r="I852" s="2" t="s">
        <v>745</v>
      </c>
      <c r="J852" s="2">
        <v>0.1</v>
      </c>
      <c r="K852" s="2" t="s">
        <v>66</v>
      </c>
      <c r="L852" s="2" t="s">
        <v>35</v>
      </c>
    </row>
    <row r="853" spans="1:12" x14ac:dyDescent="0.2">
      <c r="A853" s="2">
        <v>100386</v>
      </c>
      <c r="B853" s="18">
        <v>45603</v>
      </c>
      <c r="C853" s="2" t="s">
        <v>724</v>
      </c>
      <c r="D853" s="2" t="s">
        <v>109</v>
      </c>
      <c r="E853" s="2" t="s">
        <v>133</v>
      </c>
      <c r="F853" s="2" t="s">
        <v>80</v>
      </c>
      <c r="G853" s="2" t="s">
        <v>81</v>
      </c>
      <c r="H853" s="2">
        <v>1</v>
      </c>
      <c r="I853" s="2" t="s">
        <v>746</v>
      </c>
      <c r="J853" s="2">
        <v>0.15</v>
      </c>
      <c r="K853" s="2" t="s">
        <v>24</v>
      </c>
      <c r="L853" s="2" t="s">
        <v>87</v>
      </c>
    </row>
    <row r="854" spans="1:12" x14ac:dyDescent="0.2">
      <c r="A854" s="2">
        <v>100610</v>
      </c>
      <c r="B854" s="17">
        <v>45657</v>
      </c>
      <c r="C854" s="2" t="s">
        <v>474</v>
      </c>
      <c r="D854" s="2" t="s">
        <v>31</v>
      </c>
      <c r="E854" s="2" t="s">
        <v>32</v>
      </c>
      <c r="F854" s="2" t="s">
        <v>223</v>
      </c>
      <c r="G854" s="2" t="s">
        <v>99</v>
      </c>
      <c r="H854" s="2">
        <v>11</v>
      </c>
      <c r="I854" s="2">
        <v>10942.52</v>
      </c>
      <c r="J854" s="2"/>
      <c r="K854" s="2" t="s">
        <v>29</v>
      </c>
      <c r="L854" s="2" t="s">
        <v>52</v>
      </c>
    </row>
    <row r="855" spans="1:12" x14ac:dyDescent="0.2">
      <c r="A855" s="2">
        <v>100221</v>
      </c>
      <c r="B855" s="18">
        <v>45572</v>
      </c>
      <c r="C855" s="2" t="s">
        <v>272</v>
      </c>
      <c r="D855" s="2" t="s">
        <v>48</v>
      </c>
      <c r="E855" s="2" t="s">
        <v>79</v>
      </c>
      <c r="F855" s="2" t="s">
        <v>74</v>
      </c>
      <c r="G855" s="2" t="s">
        <v>75</v>
      </c>
      <c r="H855" s="2">
        <v>8</v>
      </c>
      <c r="I855" s="2">
        <v>2058.81</v>
      </c>
      <c r="J855" s="2">
        <v>0.1</v>
      </c>
      <c r="K855" s="2" t="s">
        <v>17</v>
      </c>
      <c r="L855" s="2" t="s">
        <v>121</v>
      </c>
    </row>
    <row r="856" spans="1:12" x14ac:dyDescent="0.2">
      <c r="A856" s="2">
        <v>100042</v>
      </c>
      <c r="B856" s="17">
        <v>45502</v>
      </c>
      <c r="C856" s="2" t="s">
        <v>377</v>
      </c>
      <c r="D856" s="2" t="s">
        <v>181</v>
      </c>
      <c r="E856" s="2" t="s">
        <v>119</v>
      </c>
      <c r="F856" s="2" t="s">
        <v>39</v>
      </c>
      <c r="G856" s="2" t="s">
        <v>40</v>
      </c>
      <c r="H856" s="2">
        <v>8</v>
      </c>
      <c r="I856" s="2">
        <v>343.36</v>
      </c>
      <c r="J856" s="2">
        <v>0.05</v>
      </c>
      <c r="K856" s="2" t="s">
        <v>24</v>
      </c>
      <c r="L856" s="2" t="s">
        <v>121</v>
      </c>
    </row>
    <row r="857" spans="1:12" x14ac:dyDescent="0.2">
      <c r="A857" s="2">
        <v>100220</v>
      </c>
      <c r="B857" s="17">
        <v>45408</v>
      </c>
      <c r="C857" s="2" t="s">
        <v>346</v>
      </c>
      <c r="D857" s="2" t="s">
        <v>85</v>
      </c>
      <c r="E857" s="2" t="s">
        <v>14</v>
      </c>
      <c r="F857" s="2" t="s">
        <v>28</v>
      </c>
      <c r="G857" s="2" t="s">
        <v>16</v>
      </c>
      <c r="H857" s="2">
        <v>11</v>
      </c>
      <c r="I857" s="2">
        <v>6071.84</v>
      </c>
      <c r="J857" s="2">
        <v>0.1</v>
      </c>
      <c r="K857" s="2" t="s">
        <v>83</v>
      </c>
      <c r="L857" s="2" t="s">
        <v>143</v>
      </c>
    </row>
    <row r="858" spans="1:12" x14ac:dyDescent="0.2">
      <c r="A858" s="2">
        <v>100598</v>
      </c>
      <c r="B858" s="18">
        <v>45399</v>
      </c>
      <c r="C858" s="2" t="s">
        <v>197</v>
      </c>
      <c r="D858" s="2" t="s">
        <v>31</v>
      </c>
      <c r="E858" s="2" t="s">
        <v>54</v>
      </c>
      <c r="F858" s="2" t="s">
        <v>80</v>
      </c>
      <c r="G858" s="2" t="s">
        <v>34</v>
      </c>
      <c r="H858" s="2">
        <v>3</v>
      </c>
      <c r="I858" s="2">
        <v>110.22</v>
      </c>
      <c r="J858" s="2"/>
      <c r="K858" s="2" t="s">
        <v>17</v>
      </c>
      <c r="L858" s="2" t="s">
        <v>121</v>
      </c>
    </row>
    <row r="859" spans="1:12" x14ac:dyDescent="0.2">
      <c r="A859" s="2">
        <v>101272</v>
      </c>
      <c r="B859" s="18">
        <v>45440</v>
      </c>
      <c r="C859" s="2" t="s">
        <v>218</v>
      </c>
      <c r="D859" s="2" t="s">
        <v>48</v>
      </c>
      <c r="E859" s="2" t="s">
        <v>79</v>
      </c>
      <c r="F859" s="2" t="s">
        <v>50</v>
      </c>
      <c r="G859" s="2" t="s">
        <v>207</v>
      </c>
      <c r="H859" s="2">
        <v>7</v>
      </c>
      <c r="I859" s="2"/>
      <c r="J859" s="2">
        <v>0</v>
      </c>
      <c r="K859" s="2" t="s">
        <v>83</v>
      </c>
      <c r="L859" s="2" t="s">
        <v>25</v>
      </c>
    </row>
    <row r="860" spans="1:12" x14ac:dyDescent="0.2">
      <c r="A860" s="2">
        <v>101261</v>
      </c>
      <c r="B860" s="18">
        <v>45593</v>
      </c>
      <c r="C860" s="2" t="s">
        <v>301</v>
      </c>
      <c r="D860" s="2" t="s">
        <v>175</v>
      </c>
      <c r="E860" s="2" t="s">
        <v>69</v>
      </c>
      <c r="F860" s="2" t="s">
        <v>106</v>
      </c>
      <c r="G860" s="2" t="s">
        <v>103</v>
      </c>
      <c r="H860" s="2">
        <v>8</v>
      </c>
      <c r="I860" s="2" t="s">
        <v>747</v>
      </c>
      <c r="J860" s="2">
        <v>5</v>
      </c>
      <c r="K860" s="2" t="s">
        <v>17</v>
      </c>
      <c r="L860" s="2" t="s">
        <v>52</v>
      </c>
    </row>
    <row r="861" spans="1:12" x14ac:dyDescent="0.2">
      <c r="A861" s="2">
        <v>100681</v>
      </c>
      <c r="B861" s="18">
        <v>45357</v>
      </c>
      <c r="C861" s="2" t="s">
        <v>730</v>
      </c>
      <c r="D861" s="2" t="s">
        <v>109</v>
      </c>
      <c r="E861" s="2" t="s">
        <v>21</v>
      </c>
      <c r="F861" s="2" t="s">
        <v>28</v>
      </c>
      <c r="G861" s="2" t="s">
        <v>116</v>
      </c>
      <c r="H861" s="2">
        <v>9</v>
      </c>
      <c r="I861" s="2">
        <v>13000.34</v>
      </c>
      <c r="J861" s="2">
        <v>0</v>
      </c>
      <c r="K861" s="2" t="s">
        <v>41</v>
      </c>
      <c r="L861" s="2" t="s">
        <v>121</v>
      </c>
    </row>
    <row r="862" spans="1:12" x14ac:dyDescent="0.2">
      <c r="A862" s="2">
        <v>101096</v>
      </c>
      <c r="B862" s="18">
        <v>45654</v>
      </c>
      <c r="C862" s="2" t="s">
        <v>212</v>
      </c>
      <c r="D862" s="2" t="s">
        <v>31</v>
      </c>
      <c r="E862" s="2" t="s">
        <v>54</v>
      </c>
      <c r="F862" s="2" t="s">
        <v>155</v>
      </c>
      <c r="G862" s="2" t="s">
        <v>135</v>
      </c>
      <c r="H862" s="2">
        <v>2</v>
      </c>
      <c r="I862" s="2">
        <v>1760.25</v>
      </c>
      <c r="J862" s="2">
        <v>0.25</v>
      </c>
      <c r="K862" s="2" t="s">
        <v>29</v>
      </c>
      <c r="L862" s="2" t="s">
        <v>25</v>
      </c>
    </row>
    <row r="863" spans="1:12" x14ac:dyDescent="0.2">
      <c r="A863" s="2">
        <v>101928</v>
      </c>
      <c r="B863" s="2" t="s">
        <v>700</v>
      </c>
      <c r="C863" s="2" t="s">
        <v>748</v>
      </c>
      <c r="D863" s="2" t="s">
        <v>85</v>
      </c>
      <c r="E863" s="2" t="s">
        <v>14</v>
      </c>
      <c r="F863" s="2" t="s">
        <v>106</v>
      </c>
      <c r="G863" s="2" t="s">
        <v>137</v>
      </c>
      <c r="H863" s="2">
        <v>7</v>
      </c>
      <c r="I863" s="2">
        <v>2622.55</v>
      </c>
      <c r="J863" s="2">
        <v>0.05</v>
      </c>
      <c r="K863" s="2" t="s">
        <v>41</v>
      </c>
      <c r="L863" s="2" t="s">
        <v>18</v>
      </c>
    </row>
    <row r="864" spans="1:12" x14ac:dyDescent="0.2">
      <c r="A864" s="2">
        <v>101133</v>
      </c>
      <c r="B864" s="18">
        <v>45325</v>
      </c>
      <c r="C864" s="2" t="s">
        <v>309</v>
      </c>
      <c r="D864" s="2" t="s">
        <v>31</v>
      </c>
      <c r="E864" s="2" t="s">
        <v>32</v>
      </c>
      <c r="F864" s="2" t="s">
        <v>86</v>
      </c>
      <c r="G864" s="2" t="s">
        <v>97</v>
      </c>
      <c r="H864" s="2">
        <v>8</v>
      </c>
      <c r="I864" s="2">
        <v>3744.53</v>
      </c>
      <c r="J864" s="2">
        <v>0.05</v>
      </c>
      <c r="K864" s="2" t="s">
        <v>29</v>
      </c>
      <c r="L864" s="2" t="s">
        <v>87</v>
      </c>
    </row>
    <row r="865" spans="1:12" x14ac:dyDescent="0.2">
      <c r="A865" s="2">
        <v>100542</v>
      </c>
      <c r="B865" s="18">
        <v>45514</v>
      </c>
      <c r="C865" s="2" t="s">
        <v>359</v>
      </c>
      <c r="D865" s="2" t="s">
        <v>95</v>
      </c>
      <c r="E865" s="2" t="s">
        <v>133</v>
      </c>
      <c r="F865" s="2" t="s">
        <v>50</v>
      </c>
      <c r="G865" s="2" t="s">
        <v>207</v>
      </c>
      <c r="H865" s="2">
        <v>9</v>
      </c>
      <c r="I865" s="2">
        <v>10729.08</v>
      </c>
      <c r="J865" s="2">
        <v>0.2</v>
      </c>
      <c r="K865" s="2" t="s">
        <v>83</v>
      </c>
      <c r="L865" s="2" t="s">
        <v>121</v>
      </c>
    </row>
    <row r="866" spans="1:12" x14ac:dyDescent="0.2">
      <c r="A866" s="2">
        <v>101063</v>
      </c>
      <c r="B866" s="17">
        <v>45536</v>
      </c>
      <c r="C866" s="2" t="s">
        <v>749</v>
      </c>
      <c r="D866" s="2" t="s">
        <v>181</v>
      </c>
      <c r="E866" s="2" t="s">
        <v>119</v>
      </c>
      <c r="F866" s="2" t="s">
        <v>191</v>
      </c>
      <c r="G866" s="2" t="s">
        <v>116</v>
      </c>
      <c r="H866" s="2">
        <v>10</v>
      </c>
      <c r="I866" s="2">
        <v>16036.27</v>
      </c>
      <c r="J866" s="2">
        <v>5</v>
      </c>
      <c r="K866" s="2" t="s">
        <v>66</v>
      </c>
      <c r="L866" s="2" t="s">
        <v>121</v>
      </c>
    </row>
    <row r="867" spans="1:12" x14ac:dyDescent="0.2">
      <c r="A867" s="2">
        <v>100869</v>
      </c>
      <c r="B867" s="18">
        <v>45308</v>
      </c>
      <c r="C867" s="2" t="s">
        <v>339</v>
      </c>
      <c r="D867" s="2" t="s">
        <v>44</v>
      </c>
      <c r="E867" s="2" t="s">
        <v>32</v>
      </c>
      <c r="F867" s="2" t="s">
        <v>106</v>
      </c>
      <c r="G867" s="2" t="s">
        <v>156</v>
      </c>
      <c r="H867" s="2">
        <v>4</v>
      </c>
      <c r="I867" s="2">
        <v>3145.97</v>
      </c>
      <c r="J867" s="2"/>
      <c r="K867" s="2" t="s">
        <v>17</v>
      </c>
      <c r="L867" s="2" t="s">
        <v>143</v>
      </c>
    </row>
    <row r="868" spans="1:12" x14ac:dyDescent="0.2">
      <c r="A868" s="2">
        <v>101382</v>
      </c>
      <c r="B868" s="17">
        <v>45579</v>
      </c>
      <c r="C868" s="2" t="s">
        <v>513</v>
      </c>
      <c r="D868" s="2" t="s">
        <v>101</v>
      </c>
      <c r="E868" s="2" t="s">
        <v>69</v>
      </c>
      <c r="F868" s="2" t="s">
        <v>50</v>
      </c>
      <c r="G868" s="2" t="s">
        <v>56</v>
      </c>
      <c r="H868" s="2">
        <v>-2</v>
      </c>
      <c r="I868" s="2">
        <v>4475.5200000000004</v>
      </c>
      <c r="J868" s="2">
        <v>0.2</v>
      </c>
      <c r="K868" s="2" t="s">
        <v>66</v>
      </c>
      <c r="L868" s="2" t="s">
        <v>52</v>
      </c>
    </row>
    <row r="869" spans="1:12" x14ac:dyDescent="0.2">
      <c r="A869" s="2">
        <v>101902</v>
      </c>
      <c r="B869" s="18">
        <v>45405</v>
      </c>
      <c r="C869" s="2" t="s">
        <v>409</v>
      </c>
      <c r="D869" s="2" t="s">
        <v>48</v>
      </c>
      <c r="E869" s="2" t="s">
        <v>79</v>
      </c>
      <c r="F869" s="2" t="s">
        <v>70</v>
      </c>
      <c r="G869" s="2" t="s">
        <v>71</v>
      </c>
      <c r="H869" s="2">
        <v>7</v>
      </c>
      <c r="I869" s="2">
        <v>13660.32</v>
      </c>
      <c r="J869" s="2">
        <v>0</v>
      </c>
      <c r="K869" s="2" t="s">
        <v>17</v>
      </c>
      <c r="L869" s="2" t="s">
        <v>87</v>
      </c>
    </row>
    <row r="870" spans="1:12" x14ac:dyDescent="0.2">
      <c r="A870" s="2">
        <v>101490</v>
      </c>
      <c r="B870" s="17">
        <v>45546</v>
      </c>
      <c r="C870" s="2" t="s">
        <v>661</v>
      </c>
      <c r="D870" s="2" t="s">
        <v>48</v>
      </c>
      <c r="E870" s="2" t="s">
        <v>79</v>
      </c>
      <c r="F870" s="2" t="s">
        <v>70</v>
      </c>
      <c r="G870" s="2" t="s">
        <v>153</v>
      </c>
      <c r="H870" s="2">
        <v>8</v>
      </c>
      <c r="I870" s="2">
        <v>36310.629999999997</v>
      </c>
      <c r="J870" s="2">
        <v>0.15</v>
      </c>
      <c r="K870" s="2" t="s">
        <v>24</v>
      </c>
      <c r="L870" s="2" t="s">
        <v>35</v>
      </c>
    </row>
    <row r="871" spans="1:12" x14ac:dyDescent="0.2">
      <c r="A871" s="2">
        <v>100937</v>
      </c>
      <c r="B871" s="17">
        <v>45538</v>
      </c>
      <c r="C871" s="2" t="s">
        <v>150</v>
      </c>
      <c r="D871" s="2" t="s">
        <v>131</v>
      </c>
      <c r="E871" s="2" t="s">
        <v>21</v>
      </c>
      <c r="F871" s="2" t="s">
        <v>96</v>
      </c>
      <c r="G871" s="2" t="s">
        <v>153</v>
      </c>
      <c r="H871" s="2">
        <v>2</v>
      </c>
      <c r="I871" s="2">
        <v>40550.449999999997</v>
      </c>
      <c r="J871" s="2">
        <v>0</v>
      </c>
      <c r="K871" s="2" t="s">
        <v>29</v>
      </c>
      <c r="L871" s="2" t="s">
        <v>18</v>
      </c>
    </row>
    <row r="872" spans="1:12" x14ac:dyDescent="0.2">
      <c r="A872" s="2">
        <v>101306</v>
      </c>
      <c r="B872" s="2" t="s">
        <v>750</v>
      </c>
      <c r="C872" s="2" t="s">
        <v>331</v>
      </c>
      <c r="D872" s="2" t="s">
        <v>31</v>
      </c>
      <c r="E872" s="2" t="s">
        <v>54</v>
      </c>
      <c r="F872" s="2" t="s">
        <v>55</v>
      </c>
      <c r="G872" s="2" t="s">
        <v>51</v>
      </c>
      <c r="H872" s="2">
        <v>10</v>
      </c>
      <c r="I872" s="2"/>
      <c r="J872" s="2">
        <v>0</v>
      </c>
      <c r="K872" s="2" t="s">
        <v>24</v>
      </c>
      <c r="L872" s="2" t="s">
        <v>35</v>
      </c>
    </row>
    <row r="873" spans="1:12" x14ac:dyDescent="0.2">
      <c r="A873" s="2">
        <v>101017</v>
      </c>
      <c r="B873" s="2" t="s">
        <v>568</v>
      </c>
      <c r="C873" s="2" t="s">
        <v>341</v>
      </c>
      <c r="D873" s="2" t="s">
        <v>31</v>
      </c>
      <c r="E873" s="2" t="s">
        <v>32</v>
      </c>
      <c r="F873" s="2" t="s">
        <v>28</v>
      </c>
      <c r="G873" s="2" t="s">
        <v>59</v>
      </c>
      <c r="H873" s="2">
        <v>7</v>
      </c>
      <c r="I873" s="2">
        <v>5384.74</v>
      </c>
      <c r="J873" s="2">
        <v>5</v>
      </c>
      <c r="K873" s="2" t="s">
        <v>24</v>
      </c>
      <c r="L873" s="2" t="s">
        <v>18</v>
      </c>
    </row>
    <row r="874" spans="1:12" x14ac:dyDescent="0.2">
      <c r="A874" s="2">
        <v>101105</v>
      </c>
      <c r="B874" s="17">
        <v>45586</v>
      </c>
      <c r="C874" s="2" t="s">
        <v>256</v>
      </c>
      <c r="D874" s="2" t="s">
        <v>13</v>
      </c>
      <c r="E874" s="2" t="s">
        <v>119</v>
      </c>
      <c r="F874" s="2" t="s">
        <v>155</v>
      </c>
      <c r="G874" s="2" t="s">
        <v>137</v>
      </c>
      <c r="H874" s="2">
        <v>7</v>
      </c>
      <c r="I874" s="2"/>
      <c r="J874" s="2">
        <v>0.25</v>
      </c>
      <c r="K874" s="2" t="s">
        <v>83</v>
      </c>
      <c r="L874" s="2" t="s">
        <v>87</v>
      </c>
    </row>
    <row r="875" spans="1:12" x14ac:dyDescent="0.2">
      <c r="A875" s="2">
        <v>101596</v>
      </c>
      <c r="B875" s="18">
        <v>45653</v>
      </c>
      <c r="C875" s="2" t="s">
        <v>751</v>
      </c>
      <c r="D875" s="2" t="s">
        <v>129</v>
      </c>
      <c r="E875" s="2" t="s">
        <v>49</v>
      </c>
      <c r="F875" s="2" t="s">
        <v>155</v>
      </c>
      <c r="G875" s="2" t="s">
        <v>135</v>
      </c>
      <c r="H875" s="2">
        <v>8</v>
      </c>
      <c r="I875" s="2">
        <v>4373.2700000000004</v>
      </c>
      <c r="J875" s="2">
        <v>10</v>
      </c>
      <c r="K875" s="2" t="s">
        <v>29</v>
      </c>
      <c r="L875" s="2" t="s">
        <v>52</v>
      </c>
    </row>
    <row r="876" spans="1:12" x14ac:dyDescent="0.2">
      <c r="A876" s="2">
        <v>101843</v>
      </c>
      <c r="B876" s="18">
        <v>45360</v>
      </c>
      <c r="C876" s="2" t="s">
        <v>299</v>
      </c>
      <c r="D876" s="2" t="s">
        <v>175</v>
      </c>
      <c r="E876" s="2" t="s">
        <v>69</v>
      </c>
      <c r="F876" s="2" t="s">
        <v>96</v>
      </c>
      <c r="G876" s="2" t="s">
        <v>97</v>
      </c>
      <c r="H876" s="2">
        <v>6</v>
      </c>
      <c r="I876" s="2">
        <v>33669.550000000003</v>
      </c>
      <c r="J876" s="2">
        <v>0</v>
      </c>
      <c r="K876" s="2" t="s">
        <v>29</v>
      </c>
      <c r="L876" s="2" t="s">
        <v>143</v>
      </c>
    </row>
    <row r="877" spans="1:12" x14ac:dyDescent="0.2">
      <c r="A877" s="2">
        <v>101807</v>
      </c>
      <c r="B877" s="18">
        <v>45591</v>
      </c>
      <c r="C877" s="2" t="s">
        <v>301</v>
      </c>
      <c r="D877" s="2" t="s">
        <v>58</v>
      </c>
      <c r="E877" s="2" t="s">
        <v>38</v>
      </c>
      <c r="F877" s="2" t="s">
        <v>124</v>
      </c>
      <c r="G877" s="2" t="s">
        <v>51</v>
      </c>
      <c r="H877" s="2">
        <v>11</v>
      </c>
      <c r="I877" s="2">
        <v>3456.93</v>
      </c>
      <c r="J877" s="2">
        <v>0.2</v>
      </c>
      <c r="K877" s="2" t="s">
        <v>83</v>
      </c>
      <c r="L877" s="2" t="s">
        <v>143</v>
      </c>
    </row>
    <row r="878" spans="1:12" x14ac:dyDescent="0.2">
      <c r="A878" s="2">
        <v>101372</v>
      </c>
      <c r="B878" s="2" t="s">
        <v>752</v>
      </c>
      <c r="C878" s="2" t="s">
        <v>718</v>
      </c>
      <c r="D878" s="2" t="s">
        <v>31</v>
      </c>
      <c r="E878" s="2" t="s">
        <v>32</v>
      </c>
      <c r="F878" s="2" t="s">
        <v>15</v>
      </c>
      <c r="G878" s="2" t="s">
        <v>205</v>
      </c>
      <c r="H878" s="2">
        <v>1</v>
      </c>
      <c r="I878" s="2">
        <v>2859.16</v>
      </c>
      <c r="J878" s="2">
        <v>0.25</v>
      </c>
      <c r="K878" s="2" t="s">
        <v>29</v>
      </c>
      <c r="L878" s="2" t="s">
        <v>143</v>
      </c>
    </row>
    <row r="879" spans="1:12" x14ac:dyDescent="0.2">
      <c r="A879" s="2">
        <v>101842</v>
      </c>
      <c r="B879" s="17">
        <v>45604</v>
      </c>
      <c r="C879" s="2" t="s">
        <v>449</v>
      </c>
      <c r="D879" s="2" t="s">
        <v>13</v>
      </c>
      <c r="E879" s="2" t="s">
        <v>119</v>
      </c>
      <c r="F879" s="2" t="s">
        <v>39</v>
      </c>
      <c r="G879" s="2" t="s">
        <v>40</v>
      </c>
      <c r="H879" s="2">
        <v>11</v>
      </c>
      <c r="I879" s="2">
        <v>366.96</v>
      </c>
      <c r="J879" s="2">
        <v>0</v>
      </c>
      <c r="K879" s="2" t="s">
        <v>17</v>
      </c>
      <c r="L879" s="2" t="s">
        <v>35</v>
      </c>
    </row>
    <row r="880" spans="1:12" x14ac:dyDescent="0.2">
      <c r="A880" s="2">
        <v>101856</v>
      </c>
      <c r="B880" s="17">
        <v>45532</v>
      </c>
      <c r="C880" s="2" t="s">
        <v>753</v>
      </c>
      <c r="D880" s="2" t="s">
        <v>44</v>
      </c>
      <c r="E880" s="2" t="s">
        <v>54</v>
      </c>
      <c r="F880" s="2" t="s">
        <v>22</v>
      </c>
      <c r="G880" s="2" t="s">
        <v>232</v>
      </c>
      <c r="H880" s="2">
        <v>12</v>
      </c>
      <c r="I880" s="2" t="s">
        <v>754</v>
      </c>
      <c r="J880" s="2">
        <v>0</v>
      </c>
      <c r="K880" s="2" t="s">
        <v>24</v>
      </c>
      <c r="L880" s="2" t="s">
        <v>87</v>
      </c>
    </row>
    <row r="881" spans="1:12" x14ac:dyDescent="0.2">
      <c r="A881" s="2">
        <v>101676</v>
      </c>
      <c r="B881" s="2" t="s">
        <v>755</v>
      </c>
      <c r="C881" s="2" t="s">
        <v>234</v>
      </c>
      <c r="D881" s="2" t="s">
        <v>160</v>
      </c>
      <c r="E881" s="2" t="s">
        <v>79</v>
      </c>
      <c r="F881" s="2" t="s">
        <v>113</v>
      </c>
      <c r="G881" s="2" t="s">
        <v>114</v>
      </c>
      <c r="H881" s="2">
        <v>10</v>
      </c>
      <c r="I881" s="2">
        <v>731.53</v>
      </c>
      <c r="J881" s="2">
        <v>0</v>
      </c>
      <c r="K881" s="2" t="s">
        <v>41</v>
      </c>
      <c r="L881" s="2" t="s">
        <v>121</v>
      </c>
    </row>
    <row r="882" spans="1:12" x14ac:dyDescent="0.2">
      <c r="A882" s="2">
        <v>100934</v>
      </c>
      <c r="B882" s="2" t="s">
        <v>756</v>
      </c>
      <c r="C882" s="2" t="s">
        <v>757</v>
      </c>
      <c r="D882" s="2" t="s">
        <v>140</v>
      </c>
      <c r="E882" s="2" t="s">
        <v>79</v>
      </c>
      <c r="F882" s="2" t="s">
        <v>22</v>
      </c>
      <c r="G882" s="2" t="s">
        <v>232</v>
      </c>
      <c r="H882" s="2">
        <v>-3</v>
      </c>
      <c r="I882" s="2">
        <v>2071.65</v>
      </c>
      <c r="J882" s="2">
        <v>0</v>
      </c>
      <c r="K882" s="2" t="s">
        <v>17</v>
      </c>
      <c r="L882" s="2" t="s">
        <v>25</v>
      </c>
    </row>
    <row r="883" spans="1:12" x14ac:dyDescent="0.2">
      <c r="A883" s="2">
        <v>100337</v>
      </c>
      <c r="B883" s="2" t="s">
        <v>758</v>
      </c>
      <c r="C883" s="2" t="s">
        <v>704</v>
      </c>
      <c r="D883" s="2" t="s">
        <v>140</v>
      </c>
      <c r="E883" s="2" t="s">
        <v>49</v>
      </c>
      <c r="F883" s="2" t="s">
        <v>55</v>
      </c>
      <c r="G883" s="2" t="s">
        <v>62</v>
      </c>
      <c r="H883" s="2">
        <v>6</v>
      </c>
      <c r="I883" s="2">
        <v>7874.76</v>
      </c>
      <c r="J883" s="2">
        <v>0.25</v>
      </c>
      <c r="K883" s="2" t="s">
        <v>41</v>
      </c>
      <c r="L883" s="2" t="s">
        <v>87</v>
      </c>
    </row>
    <row r="884" spans="1:12" x14ac:dyDescent="0.2">
      <c r="A884" s="2">
        <v>100233</v>
      </c>
      <c r="B884" s="18">
        <v>45437</v>
      </c>
      <c r="C884" s="2" t="s">
        <v>531</v>
      </c>
      <c r="D884" s="2" t="s">
        <v>89</v>
      </c>
      <c r="E884" s="2" t="s">
        <v>54</v>
      </c>
      <c r="F884" s="2" t="s">
        <v>106</v>
      </c>
      <c r="G884" s="2" t="s">
        <v>156</v>
      </c>
      <c r="H884" s="2">
        <v>6</v>
      </c>
      <c r="I884" s="2">
        <v>2000.25</v>
      </c>
      <c r="J884" s="2"/>
      <c r="K884" s="2" t="s">
        <v>41</v>
      </c>
      <c r="L884" s="2" t="s">
        <v>52</v>
      </c>
    </row>
    <row r="885" spans="1:12" x14ac:dyDescent="0.2">
      <c r="A885" s="2">
        <v>101918</v>
      </c>
      <c r="B885" s="17">
        <v>45396</v>
      </c>
      <c r="C885" s="2" t="s">
        <v>243</v>
      </c>
      <c r="D885" s="2" t="s">
        <v>175</v>
      </c>
      <c r="E885" s="2" t="s">
        <v>69</v>
      </c>
      <c r="F885" s="2" t="s">
        <v>96</v>
      </c>
      <c r="G885" s="2" t="s">
        <v>153</v>
      </c>
      <c r="H885" s="2">
        <v>5</v>
      </c>
      <c r="I885" s="2">
        <v>32024.77</v>
      </c>
      <c r="J885" s="2">
        <v>0</v>
      </c>
      <c r="K885" s="2" t="s">
        <v>83</v>
      </c>
      <c r="L885" s="2" t="s">
        <v>87</v>
      </c>
    </row>
    <row r="886" spans="1:12" x14ac:dyDescent="0.2">
      <c r="A886" s="2">
        <v>101900</v>
      </c>
      <c r="B886" s="18">
        <v>45294</v>
      </c>
      <c r="C886" s="2" t="s">
        <v>759</v>
      </c>
      <c r="D886" s="2" t="s">
        <v>175</v>
      </c>
      <c r="E886" s="2" t="s">
        <v>38</v>
      </c>
      <c r="F886" s="2" t="s">
        <v>191</v>
      </c>
      <c r="G886" s="2" t="s">
        <v>116</v>
      </c>
      <c r="H886" s="2">
        <v>12</v>
      </c>
      <c r="I886" s="2">
        <v>9971.2900000000009</v>
      </c>
      <c r="J886" s="2">
        <v>0.1</v>
      </c>
      <c r="K886" s="2" t="s">
        <v>29</v>
      </c>
      <c r="L886" s="2" t="s">
        <v>42</v>
      </c>
    </row>
    <row r="887" spans="1:12" x14ac:dyDescent="0.2">
      <c r="A887" s="2">
        <v>100159</v>
      </c>
      <c r="B887" s="18">
        <v>45365</v>
      </c>
      <c r="C887" s="2"/>
      <c r="D887" s="2" t="s">
        <v>61</v>
      </c>
      <c r="E887" s="2" t="s">
        <v>119</v>
      </c>
      <c r="F887" s="2" t="s">
        <v>106</v>
      </c>
      <c r="G887" s="2" t="s">
        <v>135</v>
      </c>
      <c r="H887" s="2">
        <v>5</v>
      </c>
      <c r="I887" s="2">
        <v>3969.9</v>
      </c>
      <c r="J887" s="2">
        <v>25</v>
      </c>
      <c r="K887" s="2" t="s">
        <v>83</v>
      </c>
      <c r="L887" s="2" t="s">
        <v>42</v>
      </c>
    </row>
    <row r="888" spans="1:12" x14ac:dyDescent="0.2">
      <c r="A888" s="2">
        <v>100469</v>
      </c>
      <c r="B888" s="18">
        <v>45406</v>
      </c>
      <c r="C888" s="2" t="s">
        <v>544</v>
      </c>
      <c r="D888" s="2" t="s">
        <v>89</v>
      </c>
      <c r="E888" s="2" t="s">
        <v>32</v>
      </c>
      <c r="F888" s="2" t="s">
        <v>191</v>
      </c>
      <c r="G888" s="2" t="s">
        <v>152</v>
      </c>
      <c r="H888" s="2">
        <v>11</v>
      </c>
      <c r="I888" s="2">
        <v>10064.11</v>
      </c>
      <c r="J888" s="2">
        <v>0</v>
      </c>
      <c r="K888" s="2" t="s">
        <v>24</v>
      </c>
      <c r="L888" s="2" t="s">
        <v>42</v>
      </c>
    </row>
    <row r="889" spans="1:12" x14ac:dyDescent="0.2">
      <c r="A889" s="2">
        <v>100900</v>
      </c>
      <c r="B889" s="18">
        <v>45636</v>
      </c>
      <c r="C889" s="2" t="s">
        <v>195</v>
      </c>
      <c r="D889" s="2" t="s">
        <v>101</v>
      </c>
      <c r="E889" s="2" t="s">
        <v>69</v>
      </c>
      <c r="F889" s="2" t="s">
        <v>106</v>
      </c>
      <c r="G889" s="2" t="s">
        <v>156</v>
      </c>
      <c r="H889" s="2">
        <v>7</v>
      </c>
      <c r="I889" s="2">
        <v>4247.13</v>
      </c>
      <c r="J889" s="2">
        <v>0</v>
      </c>
      <c r="K889" s="2" t="s">
        <v>29</v>
      </c>
      <c r="L889" s="2" t="s">
        <v>87</v>
      </c>
    </row>
    <row r="890" spans="1:12" x14ac:dyDescent="0.2">
      <c r="A890" s="2">
        <v>100873</v>
      </c>
      <c r="B890" s="18">
        <v>45452</v>
      </c>
      <c r="C890" s="2" t="s">
        <v>601</v>
      </c>
      <c r="D890" s="2" t="s">
        <v>181</v>
      </c>
      <c r="E890" s="2" t="s">
        <v>119</v>
      </c>
      <c r="F890" s="2" t="s">
        <v>80</v>
      </c>
      <c r="G890" s="2" t="s">
        <v>34</v>
      </c>
      <c r="H890" s="2">
        <v>4</v>
      </c>
      <c r="I890" s="2">
        <v>277.23</v>
      </c>
      <c r="J890" s="2">
        <v>0</v>
      </c>
      <c r="K890" s="2" t="s">
        <v>29</v>
      </c>
      <c r="L890" s="2" t="s">
        <v>87</v>
      </c>
    </row>
    <row r="891" spans="1:12" x14ac:dyDescent="0.2">
      <c r="A891" s="2">
        <v>101638</v>
      </c>
      <c r="B891" s="18">
        <v>45582</v>
      </c>
      <c r="C891" s="2" t="s">
        <v>529</v>
      </c>
      <c r="D891" s="2" t="s">
        <v>61</v>
      </c>
      <c r="E891" s="2" t="s">
        <v>14</v>
      </c>
      <c r="F891" s="2" t="s">
        <v>96</v>
      </c>
      <c r="G891" s="2" t="s">
        <v>97</v>
      </c>
      <c r="H891" s="2">
        <v>9</v>
      </c>
      <c r="I891" s="2">
        <v>12887.89</v>
      </c>
      <c r="J891" s="2"/>
      <c r="K891" s="2" t="s">
        <v>17</v>
      </c>
      <c r="L891" s="2" t="s">
        <v>121</v>
      </c>
    </row>
    <row r="892" spans="1:12" x14ac:dyDescent="0.2">
      <c r="A892" s="2">
        <v>101047</v>
      </c>
      <c r="B892" s="17">
        <v>45568</v>
      </c>
      <c r="C892" s="2" t="s">
        <v>688</v>
      </c>
      <c r="D892" s="2" t="s">
        <v>13</v>
      </c>
      <c r="E892" s="2" t="s">
        <v>119</v>
      </c>
      <c r="F892" s="2" t="s">
        <v>70</v>
      </c>
      <c r="G892" s="2" t="s">
        <v>71</v>
      </c>
      <c r="H892" s="2">
        <v>7</v>
      </c>
      <c r="I892" s="2"/>
      <c r="J892" s="2">
        <v>0</v>
      </c>
      <c r="K892" s="2" t="s">
        <v>24</v>
      </c>
      <c r="L892" s="2" t="s">
        <v>52</v>
      </c>
    </row>
    <row r="893" spans="1:12" x14ac:dyDescent="0.2">
      <c r="A893" s="2">
        <v>101065</v>
      </c>
      <c r="B893" s="17">
        <v>45418</v>
      </c>
      <c r="C893" s="2" t="s">
        <v>450</v>
      </c>
      <c r="D893" s="2" t="s">
        <v>31</v>
      </c>
      <c r="E893" s="2" t="s">
        <v>32</v>
      </c>
      <c r="F893" s="2" t="s">
        <v>45</v>
      </c>
      <c r="G893" s="2" t="s">
        <v>153</v>
      </c>
      <c r="H893" s="2">
        <v>8</v>
      </c>
      <c r="I893" s="2">
        <v>14440.85</v>
      </c>
      <c r="J893" s="2">
        <v>0</v>
      </c>
      <c r="K893" s="2" t="s">
        <v>66</v>
      </c>
      <c r="L893" s="2" t="s">
        <v>87</v>
      </c>
    </row>
    <row r="894" spans="1:12" x14ac:dyDescent="0.2">
      <c r="A894" s="2">
        <v>101140</v>
      </c>
      <c r="B894" s="18">
        <v>45325</v>
      </c>
      <c r="C894" s="2" t="s">
        <v>760</v>
      </c>
      <c r="D894" s="2" t="s">
        <v>101</v>
      </c>
      <c r="E894" s="2" t="s">
        <v>38</v>
      </c>
      <c r="F894" s="2" t="s">
        <v>155</v>
      </c>
      <c r="G894" s="2" t="s">
        <v>156</v>
      </c>
      <c r="H894" s="2">
        <v>12</v>
      </c>
      <c r="I894" s="2">
        <v>1924.85</v>
      </c>
      <c r="J894" s="2">
        <v>0.2</v>
      </c>
      <c r="K894" s="2" t="s">
        <v>17</v>
      </c>
      <c r="L894" s="2" t="s">
        <v>143</v>
      </c>
    </row>
    <row r="895" spans="1:12" x14ac:dyDescent="0.2">
      <c r="A895" s="2">
        <v>100586</v>
      </c>
      <c r="B895" s="17">
        <v>45556</v>
      </c>
      <c r="C895" s="2" t="s">
        <v>742</v>
      </c>
      <c r="D895" s="2" t="s">
        <v>129</v>
      </c>
      <c r="E895" s="2" t="s">
        <v>79</v>
      </c>
      <c r="F895" s="2" t="s">
        <v>102</v>
      </c>
      <c r="G895" s="2" t="s">
        <v>156</v>
      </c>
      <c r="H895" s="2">
        <v>3</v>
      </c>
      <c r="I895" s="2">
        <v>1795.06</v>
      </c>
      <c r="J895" s="2">
        <v>0</v>
      </c>
      <c r="K895" s="2" t="s">
        <v>83</v>
      </c>
      <c r="L895" s="2" t="s">
        <v>42</v>
      </c>
    </row>
    <row r="896" spans="1:12" x14ac:dyDescent="0.2">
      <c r="A896" s="2">
        <v>100206</v>
      </c>
      <c r="B896" s="18">
        <v>45497</v>
      </c>
      <c r="C896" s="2" t="s">
        <v>761</v>
      </c>
      <c r="D896" s="2" t="s">
        <v>109</v>
      </c>
      <c r="E896" s="2" t="s">
        <v>21</v>
      </c>
      <c r="F896" s="2" t="s">
        <v>50</v>
      </c>
      <c r="G896" s="2" t="s">
        <v>56</v>
      </c>
      <c r="H896" s="2">
        <v>5</v>
      </c>
      <c r="I896" s="2">
        <v>6135.52</v>
      </c>
      <c r="J896" s="2">
        <v>0</v>
      </c>
      <c r="K896" s="2" t="s">
        <v>41</v>
      </c>
      <c r="L896" s="2" t="s">
        <v>121</v>
      </c>
    </row>
    <row r="897" spans="1:12" x14ac:dyDescent="0.2">
      <c r="A897" s="2">
        <v>100004</v>
      </c>
      <c r="B897" s="18">
        <v>45308</v>
      </c>
      <c r="C897" s="2" t="s">
        <v>581</v>
      </c>
      <c r="D897" s="2" t="s">
        <v>13</v>
      </c>
      <c r="E897" s="2" t="s">
        <v>119</v>
      </c>
      <c r="F897" s="2" t="s">
        <v>113</v>
      </c>
      <c r="G897" s="2" t="s">
        <v>165</v>
      </c>
      <c r="H897" s="2">
        <v>11</v>
      </c>
      <c r="I897" s="2">
        <v>891.09</v>
      </c>
      <c r="J897" s="2">
        <v>0</v>
      </c>
      <c r="K897" s="2" t="s">
        <v>66</v>
      </c>
      <c r="L897" s="2" t="s">
        <v>18</v>
      </c>
    </row>
    <row r="898" spans="1:12" x14ac:dyDescent="0.2">
      <c r="A898" s="2">
        <v>101442</v>
      </c>
      <c r="B898" s="18">
        <v>45474</v>
      </c>
      <c r="C898" s="2" t="s">
        <v>762</v>
      </c>
      <c r="D898" s="2" t="s">
        <v>85</v>
      </c>
      <c r="E898" s="2" t="s">
        <v>119</v>
      </c>
      <c r="F898" s="2" t="s">
        <v>155</v>
      </c>
      <c r="G898" s="2" t="s">
        <v>103</v>
      </c>
      <c r="H898" s="2">
        <v>11</v>
      </c>
      <c r="I898" s="2">
        <v>3209.71</v>
      </c>
      <c r="J898" s="2"/>
      <c r="K898" s="2" t="s">
        <v>29</v>
      </c>
      <c r="L898" s="2" t="s">
        <v>35</v>
      </c>
    </row>
    <row r="899" spans="1:12" x14ac:dyDescent="0.2">
      <c r="A899" s="2">
        <v>101956</v>
      </c>
      <c r="B899" s="17">
        <v>45594</v>
      </c>
      <c r="C899" s="2" t="s">
        <v>763</v>
      </c>
      <c r="D899" s="2" t="s">
        <v>89</v>
      </c>
      <c r="E899" s="2" t="s">
        <v>32</v>
      </c>
      <c r="F899" s="2" t="s">
        <v>155</v>
      </c>
      <c r="G899" s="2" t="s">
        <v>103</v>
      </c>
      <c r="H899" s="2">
        <v>1</v>
      </c>
      <c r="I899" s="2">
        <v>3508.1</v>
      </c>
      <c r="J899" s="2">
        <v>0.2</v>
      </c>
      <c r="K899" s="2" t="s">
        <v>24</v>
      </c>
      <c r="L899" s="2" t="s">
        <v>35</v>
      </c>
    </row>
    <row r="900" spans="1:12" x14ac:dyDescent="0.2">
      <c r="A900" s="2">
        <v>101519</v>
      </c>
      <c r="B900" s="17">
        <v>45533</v>
      </c>
      <c r="C900" s="2" t="s">
        <v>764</v>
      </c>
      <c r="D900" s="2" t="s">
        <v>27</v>
      </c>
      <c r="E900" s="2" t="s">
        <v>21</v>
      </c>
      <c r="F900" s="2" t="s">
        <v>120</v>
      </c>
      <c r="G900" s="2" t="s">
        <v>141</v>
      </c>
      <c r="H900" s="2">
        <v>5</v>
      </c>
      <c r="I900" s="2">
        <v>905.9</v>
      </c>
      <c r="J900" s="2">
        <v>0.05</v>
      </c>
      <c r="K900" s="2" t="s">
        <v>29</v>
      </c>
      <c r="L900" s="2" t="s">
        <v>35</v>
      </c>
    </row>
    <row r="901" spans="1:12" x14ac:dyDescent="0.2">
      <c r="A901" s="2">
        <v>101865</v>
      </c>
      <c r="B901" s="17">
        <v>45604</v>
      </c>
      <c r="C901" s="2" t="s">
        <v>656</v>
      </c>
      <c r="D901" s="2" t="s">
        <v>44</v>
      </c>
      <c r="E901" s="2" t="s">
        <v>54</v>
      </c>
      <c r="F901" s="2" t="s">
        <v>102</v>
      </c>
      <c r="G901" s="2" t="s">
        <v>156</v>
      </c>
      <c r="H901" s="2">
        <v>3</v>
      </c>
      <c r="I901" s="2">
        <v>1120.55</v>
      </c>
      <c r="J901" s="2">
        <v>0.25</v>
      </c>
      <c r="K901" s="2" t="s">
        <v>29</v>
      </c>
      <c r="L901" s="2" t="s">
        <v>121</v>
      </c>
    </row>
    <row r="902" spans="1:12" x14ac:dyDescent="0.2">
      <c r="A902" s="2">
        <v>101234</v>
      </c>
      <c r="B902" s="17">
        <v>45328</v>
      </c>
      <c r="C902" s="2" t="s">
        <v>432</v>
      </c>
      <c r="D902" s="2" t="s">
        <v>44</v>
      </c>
      <c r="E902" s="2" t="s">
        <v>54</v>
      </c>
      <c r="F902" s="2" t="s">
        <v>33</v>
      </c>
      <c r="G902" s="2" t="s">
        <v>158</v>
      </c>
      <c r="H902" s="2">
        <v>1</v>
      </c>
      <c r="I902" s="2">
        <v>166.85</v>
      </c>
      <c r="J902" s="2">
        <v>0</v>
      </c>
      <c r="K902" s="2" t="s">
        <v>24</v>
      </c>
      <c r="L902" s="2" t="s">
        <v>143</v>
      </c>
    </row>
    <row r="903" spans="1:12" x14ac:dyDescent="0.2">
      <c r="A903" s="2">
        <v>101430</v>
      </c>
      <c r="B903" s="18">
        <v>45423</v>
      </c>
      <c r="C903" s="2" t="s">
        <v>765</v>
      </c>
      <c r="D903" s="2" t="s">
        <v>101</v>
      </c>
      <c r="E903" s="2" t="s">
        <v>38</v>
      </c>
      <c r="F903" s="2" t="s">
        <v>80</v>
      </c>
      <c r="G903" s="2" t="s">
        <v>93</v>
      </c>
      <c r="H903" s="2">
        <v>12</v>
      </c>
      <c r="I903" s="2">
        <v>262.76</v>
      </c>
      <c r="J903" s="2">
        <v>0.1</v>
      </c>
      <c r="K903" s="2" t="s">
        <v>24</v>
      </c>
      <c r="L903" s="2" t="s">
        <v>52</v>
      </c>
    </row>
    <row r="904" spans="1:12" x14ac:dyDescent="0.2">
      <c r="A904" s="2">
        <v>100694</v>
      </c>
      <c r="B904" s="17">
        <v>45416</v>
      </c>
      <c r="C904" s="2" t="s">
        <v>229</v>
      </c>
      <c r="D904" s="2" t="s">
        <v>73</v>
      </c>
      <c r="E904" s="2" t="s">
        <v>79</v>
      </c>
      <c r="F904" s="2" t="s">
        <v>33</v>
      </c>
      <c r="G904" s="2" t="s">
        <v>34</v>
      </c>
      <c r="H904" s="2">
        <v>9</v>
      </c>
      <c r="I904" s="2">
        <v>380.81</v>
      </c>
      <c r="J904" s="2">
        <v>10</v>
      </c>
      <c r="K904" s="2" t="s">
        <v>41</v>
      </c>
      <c r="L904" s="2" t="s">
        <v>143</v>
      </c>
    </row>
    <row r="905" spans="1:12" x14ac:dyDescent="0.2">
      <c r="A905" s="2">
        <v>101693</v>
      </c>
      <c r="B905" s="18">
        <v>45492</v>
      </c>
      <c r="C905" s="2" t="s">
        <v>397</v>
      </c>
      <c r="D905" s="2" t="s">
        <v>48</v>
      </c>
      <c r="E905" s="2" t="s">
        <v>79</v>
      </c>
      <c r="F905" s="2" t="s">
        <v>80</v>
      </c>
      <c r="G905" s="2" t="s">
        <v>81</v>
      </c>
      <c r="H905" s="2">
        <v>12</v>
      </c>
      <c r="I905" s="2">
        <v>446.68</v>
      </c>
      <c r="J905" s="2"/>
      <c r="K905" s="2" t="s">
        <v>66</v>
      </c>
      <c r="L905" s="2" t="s">
        <v>42</v>
      </c>
    </row>
    <row r="906" spans="1:12" x14ac:dyDescent="0.2">
      <c r="A906" s="2">
        <v>101896</v>
      </c>
      <c r="B906" s="17">
        <v>45600</v>
      </c>
      <c r="C906" s="2" t="s">
        <v>433</v>
      </c>
      <c r="D906" s="2" t="s">
        <v>129</v>
      </c>
      <c r="E906" s="2" t="s">
        <v>49</v>
      </c>
      <c r="F906" s="2" t="s">
        <v>74</v>
      </c>
      <c r="G906" s="2" t="s">
        <v>23</v>
      </c>
      <c r="H906" s="2">
        <v>6</v>
      </c>
      <c r="I906" s="2">
        <v>2869.95</v>
      </c>
      <c r="J906" s="2"/>
      <c r="K906" s="2" t="s">
        <v>17</v>
      </c>
      <c r="L906" s="2" t="s">
        <v>52</v>
      </c>
    </row>
    <row r="907" spans="1:12" x14ac:dyDescent="0.2">
      <c r="A907" s="2">
        <v>100715</v>
      </c>
      <c r="B907" s="18">
        <v>45410</v>
      </c>
      <c r="C907" s="2" t="s">
        <v>401</v>
      </c>
      <c r="D907" s="2" t="s">
        <v>85</v>
      </c>
      <c r="E907" s="2" t="s">
        <v>14</v>
      </c>
      <c r="F907" s="2" t="s">
        <v>86</v>
      </c>
      <c r="G907" s="2" t="s">
        <v>153</v>
      </c>
      <c r="H907" s="2">
        <v>2</v>
      </c>
      <c r="I907" s="2">
        <v>2279.3000000000002</v>
      </c>
      <c r="J907" s="2">
        <v>0.25</v>
      </c>
      <c r="K907" s="2" t="s">
        <v>29</v>
      </c>
      <c r="L907" s="2" t="s">
        <v>143</v>
      </c>
    </row>
    <row r="908" spans="1:12" x14ac:dyDescent="0.2">
      <c r="A908" s="2">
        <v>101932</v>
      </c>
      <c r="B908" s="18">
        <v>45631</v>
      </c>
      <c r="C908" s="2" t="s">
        <v>766</v>
      </c>
      <c r="D908" s="2" t="s">
        <v>85</v>
      </c>
      <c r="E908" s="2" t="s">
        <v>119</v>
      </c>
      <c r="F908" s="2" t="s">
        <v>70</v>
      </c>
      <c r="G908" s="2" t="s">
        <v>97</v>
      </c>
      <c r="H908" s="2">
        <v>11</v>
      </c>
      <c r="I908" s="2">
        <v>11873</v>
      </c>
      <c r="J908" s="2"/>
      <c r="K908" s="2" t="s">
        <v>83</v>
      </c>
      <c r="L908" s="2" t="s">
        <v>42</v>
      </c>
    </row>
    <row r="909" spans="1:12" x14ac:dyDescent="0.2">
      <c r="A909" s="2">
        <v>101612</v>
      </c>
      <c r="B909" s="18">
        <v>45400</v>
      </c>
      <c r="C909" s="2" t="s">
        <v>596</v>
      </c>
      <c r="D909" s="2" t="s">
        <v>129</v>
      </c>
      <c r="E909" s="2" t="s">
        <v>49</v>
      </c>
      <c r="F909" s="2" t="s">
        <v>39</v>
      </c>
      <c r="G909" s="2" t="s">
        <v>40</v>
      </c>
      <c r="H909" s="2">
        <v>8</v>
      </c>
      <c r="I909" s="2">
        <v>666.05</v>
      </c>
      <c r="J909" s="2">
        <v>0</v>
      </c>
      <c r="K909" s="2" t="s">
        <v>29</v>
      </c>
      <c r="L909" s="2" t="s">
        <v>87</v>
      </c>
    </row>
    <row r="910" spans="1:12" x14ac:dyDescent="0.2">
      <c r="A910" s="2"/>
      <c r="B910" s="2"/>
      <c r="C910" s="2"/>
      <c r="D910" s="2"/>
      <c r="E910" s="2"/>
      <c r="F910" s="2"/>
      <c r="G910" s="2"/>
      <c r="H910" s="2"/>
      <c r="I910" s="2"/>
      <c r="J910" s="2"/>
      <c r="K910" s="2"/>
      <c r="L910" s="2"/>
    </row>
    <row r="911" spans="1:12" x14ac:dyDescent="0.2">
      <c r="A911" s="2">
        <v>100884</v>
      </c>
      <c r="B911" s="18">
        <v>45479</v>
      </c>
      <c r="C911" s="2"/>
      <c r="D911" s="2" t="s">
        <v>20</v>
      </c>
      <c r="E911" s="2" t="s">
        <v>21</v>
      </c>
      <c r="F911" s="2" t="s">
        <v>120</v>
      </c>
      <c r="G911" s="2" t="s">
        <v>232</v>
      </c>
      <c r="H911" s="2">
        <v>1</v>
      </c>
      <c r="I911" s="2">
        <v>1097.23</v>
      </c>
      <c r="J911" s="2">
        <v>0</v>
      </c>
      <c r="K911" s="2" t="s">
        <v>83</v>
      </c>
      <c r="L911" s="2" t="s">
        <v>18</v>
      </c>
    </row>
    <row r="912" spans="1:12" x14ac:dyDescent="0.2">
      <c r="A912" s="2">
        <v>101862</v>
      </c>
      <c r="B912" s="18">
        <v>45323</v>
      </c>
      <c r="C912" s="2" t="s">
        <v>125</v>
      </c>
      <c r="D912" s="2" t="s">
        <v>131</v>
      </c>
      <c r="E912" s="2" t="s">
        <v>133</v>
      </c>
      <c r="F912" s="2" t="s">
        <v>22</v>
      </c>
      <c r="G912" s="2" t="s">
        <v>75</v>
      </c>
      <c r="H912" s="2">
        <v>10</v>
      </c>
      <c r="I912" s="2">
        <v>3257.93</v>
      </c>
      <c r="J912" s="2">
        <v>0.2</v>
      </c>
      <c r="K912" s="2" t="s">
        <v>41</v>
      </c>
      <c r="L912" s="2" t="s">
        <v>35</v>
      </c>
    </row>
    <row r="913" spans="1:12" x14ac:dyDescent="0.2">
      <c r="A913" s="2">
        <v>101073</v>
      </c>
      <c r="B913" s="18">
        <v>45298</v>
      </c>
      <c r="C913" s="2" t="s">
        <v>767</v>
      </c>
      <c r="D913" s="2" t="s">
        <v>181</v>
      </c>
      <c r="E913" s="2" t="s">
        <v>14</v>
      </c>
      <c r="F913" s="2" t="s">
        <v>28</v>
      </c>
      <c r="G913" s="2" t="s">
        <v>152</v>
      </c>
      <c r="H913" s="2"/>
      <c r="I913" s="2" t="s">
        <v>768</v>
      </c>
      <c r="J913" s="2">
        <v>10</v>
      </c>
      <c r="K913" s="2" t="s">
        <v>41</v>
      </c>
      <c r="L913" s="2" t="s">
        <v>42</v>
      </c>
    </row>
    <row r="914" spans="1:12" x14ac:dyDescent="0.2">
      <c r="A914" s="2">
        <v>101127</v>
      </c>
      <c r="B914" s="2" t="s">
        <v>369</v>
      </c>
      <c r="C914" s="2" t="s">
        <v>352</v>
      </c>
      <c r="D914" s="2" t="s">
        <v>89</v>
      </c>
      <c r="E914" s="2" t="s">
        <v>32</v>
      </c>
      <c r="F914" s="2" t="s">
        <v>96</v>
      </c>
      <c r="G914" s="2" t="s">
        <v>153</v>
      </c>
      <c r="H914" s="2">
        <v>1</v>
      </c>
      <c r="I914" s="2">
        <v>33977.339999999997</v>
      </c>
      <c r="J914" s="2">
        <v>0</v>
      </c>
      <c r="K914" s="2" t="s">
        <v>17</v>
      </c>
      <c r="L914" s="2" t="s">
        <v>35</v>
      </c>
    </row>
    <row r="915" spans="1:12" x14ac:dyDescent="0.2">
      <c r="A915" s="2">
        <v>101308</v>
      </c>
      <c r="B915" s="18">
        <v>45401</v>
      </c>
      <c r="C915" s="2" t="s">
        <v>493</v>
      </c>
      <c r="D915" s="2" t="s">
        <v>85</v>
      </c>
      <c r="E915" s="2" t="s">
        <v>14</v>
      </c>
      <c r="F915" s="2" t="s">
        <v>22</v>
      </c>
      <c r="G915" s="2" t="s">
        <v>232</v>
      </c>
      <c r="H915" s="2">
        <v>8</v>
      </c>
      <c r="I915" s="2">
        <v>1462.09</v>
      </c>
      <c r="J915" s="2">
        <v>0.15</v>
      </c>
      <c r="K915" s="2" t="s">
        <v>66</v>
      </c>
      <c r="L915" s="2" t="s">
        <v>18</v>
      </c>
    </row>
    <row r="916" spans="1:12" x14ac:dyDescent="0.2">
      <c r="A916" s="2">
        <v>101075</v>
      </c>
      <c r="B916" s="17">
        <v>45299</v>
      </c>
      <c r="C916" s="2" t="s">
        <v>704</v>
      </c>
      <c r="D916" s="2" t="s">
        <v>44</v>
      </c>
      <c r="E916" s="2" t="s">
        <v>32</v>
      </c>
      <c r="F916" s="2" t="s">
        <v>102</v>
      </c>
      <c r="G916" s="2" t="s">
        <v>135</v>
      </c>
      <c r="H916" s="2">
        <v>7</v>
      </c>
      <c r="I916" s="2">
        <v>862.17</v>
      </c>
      <c r="J916" s="2">
        <v>0.05</v>
      </c>
      <c r="K916" s="2" t="s">
        <v>24</v>
      </c>
      <c r="L916" s="2" t="s">
        <v>52</v>
      </c>
    </row>
    <row r="917" spans="1:12" x14ac:dyDescent="0.2">
      <c r="A917" s="2">
        <v>100158</v>
      </c>
      <c r="B917" s="18">
        <v>45298</v>
      </c>
      <c r="C917" s="2" t="s">
        <v>463</v>
      </c>
      <c r="D917" s="2" t="s">
        <v>92</v>
      </c>
      <c r="E917" s="2" t="s">
        <v>32</v>
      </c>
      <c r="F917" s="2" t="s">
        <v>223</v>
      </c>
      <c r="G917" s="2" t="s">
        <v>99</v>
      </c>
      <c r="H917" s="2">
        <v>7</v>
      </c>
      <c r="I917" s="2">
        <v>11009.93</v>
      </c>
      <c r="J917" s="2">
        <v>0.1</v>
      </c>
      <c r="K917" s="2" t="s">
        <v>17</v>
      </c>
      <c r="L917" s="2" t="s">
        <v>121</v>
      </c>
    </row>
    <row r="918" spans="1:12" x14ac:dyDescent="0.2">
      <c r="A918" s="2">
        <v>101283</v>
      </c>
      <c r="B918" s="18">
        <v>45449</v>
      </c>
      <c r="C918" s="2" t="s">
        <v>646</v>
      </c>
      <c r="D918" s="2" t="s">
        <v>31</v>
      </c>
      <c r="E918" s="2" t="s">
        <v>32</v>
      </c>
      <c r="F918" s="2" t="s">
        <v>15</v>
      </c>
      <c r="G918" s="2" t="s">
        <v>59</v>
      </c>
      <c r="H918" s="2">
        <v>1</v>
      </c>
      <c r="I918" s="2">
        <v>22301.040000000001</v>
      </c>
      <c r="J918" s="2">
        <v>0</v>
      </c>
      <c r="K918" s="2" t="s">
        <v>29</v>
      </c>
      <c r="L918" s="2" t="s">
        <v>87</v>
      </c>
    </row>
    <row r="919" spans="1:12" x14ac:dyDescent="0.2">
      <c r="A919" s="2">
        <v>100524</v>
      </c>
      <c r="B919" s="17">
        <v>45505</v>
      </c>
      <c r="C919" s="2" t="s">
        <v>499</v>
      </c>
      <c r="D919" s="2" t="s">
        <v>101</v>
      </c>
      <c r="E919" s="2" t="s">
        <v>69</v>
      </c>
      <c r="F919" s="2" t="s">
        <v>45</v>
      </c>
      <c r="G919" s="2" t="s">
        <v>71</v>
      </c>
      <c r="H919" s="2">
        <v>11</v>
      </c>
      <c r="I919" s="2">
        <v>19814.48</v>
      </c>
      <c r="J919" s="2">
        <v>0</v>
      </c>
      <c r="K919" s="2" t="s">
        <v>24</v>
      </c>
      <c r="L919" s="2" t="s">
        <v>87</v>
      </c>
    </row>
    <row r="920" spans="1:12" x14ac:dyDescent="0.2">
      <c r="A920" s="2">
        <v>100463</v>
      </c>
      <c r="B920" s="17">
        <v>45512</v>
      </c>
      <c r="C920" s="2" t="s">
        <v>769</v>
      </c>
      <c r="D920" s="2" t="s">
        <v>109</v>
      </c>
      <c r="E920" s="2" t="s">
        <v>21</v>
      </c>
      <c r="F920" s="2" t="s">
        <v>74</v>
      </c>
      <c r="G920" s="2" t="s">
        <v>23</v>
      </c>
      <c r="H920" s="2">
        <v>4</v>
      </c>
      <c r="I920" s="2">
        <v>2089.75</v>
      </c>
      <c r="J920" s="2">
        <v>20</v>
      </c>
      <c r="K920" s="2" t="s">
        <v>29</v>
      </c>
      <c r="L920" s="2" t="s">
        <v>25</v>
      </c>
    </row>
    <row r="921" spans="1:12" x14ac:dyDescent="0.2">
      <c r="A921" s="2">
        <v>100653</v>
      </c>
      <c r="B921" s="17">
        <v>45373</v>
      </c>
      <c r="C921" s="2" t="s">
        <v>215</v>
      </c>
      <c r="D921" s="2" t="s">
        <v>160</v>
      </c>
      <c r="E921" s="2" t="s">
        <v>49</v>
      </c>
      <c r="F921" s="2" t="s">
        <v>191</v>
      </c>
      <c r="G921" s="2" t="s">
        <v>59</v>
      </c>
      <c r="H921" s="2">
        <v>9</v>
      </c>
      <c r="I921" s="2">
        <v>6548.4</v>
      </c>
      <c r="J921" s="2">
        <v>0.25</v>
      </c>
      <c r="K921" s="2" t="s">
        <v>83</v>
      </c>
      <c r="L921" s="2" t="s">
        <v>35</v>
      </c>
    </row>
    <row r="922" spans="1:12" x14ac:dyDescent="0.2">
      <c r="A922" s="2">
        <v>100161</v>
      </c>
      <c r="B922" s="17">
        <v>45394</v>
      </c>
      <c r="C922" s="2" t="s">
        <v>751</v>
      </c>
      <c r="D922" s="2" t="s">
        <v>89</v>
      </c>
      <c r="E922" s="2" t="s">
        <v>54</v>
      </c>
      <c r="F922" s="2" t="s">
        <v>50</v>
      </c>
      <c r="G922" s="2" t="s">
        <v>51</v>
      </c>
      <c r="H922" s="2">
        <v>12</v>
      </c>
      <c r="I922" s="2" t="s">
        <v>770</v>
      </c>
      <c r="J922" s="2">
        <v>0</v>
      </c>
      <c r="K922" s="2" t="s">
        <v>29</v>
      </c>
      <c r="L922" s="2" t="s">
        <v>42</v>
      </c>
    </row>
    <row r="923" spans="1:12" x14ac:dyDescent="0.2">
      <c r="A923" s="2">
        <v>100306</v>
      </c>
      <c r="B923" s="18">
        <v>45371</v>
      </c>
      <c r="C923" s="2" t="s">
        <v>699</v>
      </c>
      <c r="D923" s="2" t="s">
        <v>101</v>
      </c>
      <c r="E923" s="2" t="s">
        <v>69</v>
      </c>
      <c r="F923" s="2" t="s">
        <v>86</v>
      </c>
      <c r="G923" s="2" t="s">
        <v>46</v>
      </c>
      <c r="H923" s="2">
        <v>8</v>
      </c>
      <c r="I923" s="2">
        <v>2061.0500000000002</v>
      </c>
      <c r="J923" s="2">
        <v>0</v>
      </c>
      <c r="K923" s="2" t="s">
        <v>29</v>
      </c>
      <c r="L923" s="2" t="s">
        <v>87</v>
      </c>
    </row>
    <row r="924" spans="1:12" x14ac:dyDescent="0.2">
      <c r="A924" s="2">
        <v>100657</v>
      </c>
      <c r="B924" s="17">
        <v>45301</v>
      </c>
      <c r="C924" s="2" t="s">
        <v>771</v>
      </c>
      <c r="D924" s="2" t="s">
        <v>20</v>
      </c>
      <c r="E924" s="2" t="s">
        <v>21</v>
      </c>
      <c r="F924" s="2" t="s">
        <v>64</v>
      </c>
      <c r="G924" s="2" t="s">
        <v>242</v>
      </c>
      <c r="H924" s="2">
        <v>8</v>
      </c>
      <c r="I924" s="2">
        <v>588.11</v>
      </c>
      <c r="J924" s="2">
        <v>0.15</v>
      </c>
      <c r="K924" s="2" t="s">
        <v>41</v>
      </c>
      <c r="L924" s="2" t="s">
        <v>52</v>
      </c>
    </row>
    <row r="925" spans="1:12" x14ac:dyDescent="0.2">
      <c r="A925" s="2">
        <v>100548</v>
      </c>
      <c r="B925" s="18">
        <v>45340</v>
      </c>
      <c r="C925" s="2" t="s">
        <v>772</v>
      </c>
      <c r="D925" s="2" t="s">
        <v>58</v>
      </c>
      <c r="E925" s="2" t="s">
        <v>38</v>
      </c>
      <c r="F925" s="2" t="s">
        <v>102</v>
      </c>
      <c r="G925" s="2" t="s">
        <v>156</v>
      </c>
      <c r="H925" s="2">
        <v>1</v>
      </c>
      <c r="I925" s="2">
        <v>2029.83</v>
      </c>
      <c r="J925" s="2">
        <v>5</v>
      </c>
      <c r="K925" s="2" t="s">
        <v>83</v>
      </c>
      <c r="L925" s="2" t="s">
        <v>143</v>
      </c>
    </row>
    <row r="926" spans="1:12" x14ac:dyDescent="0.2">
      <c r="A926" s="2">
        <v>100714</v>
      </c>
      <c r="B926" s="18">
        <v>45605</v>
      </c>
      <c r="C926" s="2" t="s">
        <v>272</v>
      </c>
      <c r="D926" s="2" t="s">
        <v>37</v>
      </c>
      <c r="E926" s="2" t="s">
        <v>38</v>
      </c>
      <c r="F926" s="2" t="s">
        <v>39</v>
      </c>
      <c r="G926" s="2" t="s">
        <v>242</v>
      </c>
      <c r="H926" s="2">
        <v>12</v>
      </c>
      <c r="I926" s="2">
        <v>229.4</v>
      </c>
      <c r="J926" s="2">
        <v>0.2</v>
      </c>
      <c r="K926" s="2" t="s">
        <v>41</v>
      </c>
      <c r="L926" s="2" t="s">
        <v>35</v>
      </c>
    </row>
    <row r="927" spans="1:12" x14ac:dyDescent="0.2">
      <c r="A927" s="2">
        <v>100396</v>
      </c>
      <c r="B927" s="18">
        <v>45617</v>
      </c>
      <c r="C927" s="2" t="s">
        <v>773</v>
      </c>
      <c r="D927" s="2" t="s">
        <v>58</v>
      </c>
      <c r="E927" s="2" t="s">
        <v>38</v>
      </c>
      <c r="F927" s="2" t="s">
        <v>33</v>
      </c>
      <c r="G927" s="2" t="s">
        <v>81</v>
      </c>
      <c r="H927" s="2">
        <v>12</v>
      </c>
      <c r="I927" s="2">
        <v>576.65</v>
      </c>
      <c r="J927" s="2">
        <v>0</v>
      </c>
      <c r="K927" s="2" t="s">
        <v>66</v>
      </c>
      <c r="L927" s="2" t="s">
        <v>35</v>
      </c>
    </row>
    <row r="928" spans="1:12" x14ac:dyDescent="0.2">
      <c r="A928" s="2">
        <v>100784</v>
      </c>
      <c r="B928" s="18">
        <v>45637</v>
      </c>
      <c r="C928" s="2" t="s">
        <v>401</v>
      </c>
      <c r="D928" s="2" t="s">
        <v>85</v>
      </c>
      <c r="E928" s="2" t="s">
        <v>14</v>
      </c>
      <c r="F928" s="2" t="s">
        <v>223</v>
      </c>
      <c r="G928" s="2" t="s">
        <v>207</v>
      </c>
      <c r="H928" s="2">
        <v>5</v>
      </c>
      <c r="I928" s="2">
        <v>7669.71</v>
      </c>
      <c r="J928" s="2">
        <v>0.05</v>
      </c>
      <c r="K928" s="2" t="s">
        <v>24</v>
      </c>
      <c r="L928" s="2" t="s">
        <v>35</v>
      </c>
    </row>
    <row r="929" spans="1:12" x14ac:dyDescent="0.2">
      <c r="A929" s="2">
        <v>100400</v>
      </c>
      <c r="B929" s="17">
        <v>45517</v>
      </c>
      <c r="C929" s="2" t="s">
        <v>409</v>
      </c>
      <c r="D929" s="2" t="s">
        <v>109</v>
      </c>
      <c r="E929" s="2" t="s">
        <v>21</v>
      </c>
      <c r="F929" s="2" t="s">
        <v>106</v>
      </c>
      <c r="G929" s="2" t="s">
        <v>135</v>
      </c>
      <c r="H929" s="2">
        <v>5</v>
      </c>
      <c r="I929" s="2">
        <v>1641.41</v>
      </c>
      <c r="J929" s="2">
        <v>0.15</v>
      </c>
      <c r="K929" s="2" t="s">
        <v>24</v>
      </c>
      <c r="L929" s="2" t="s">
        <v>143</v>
      </c>
    </row>
    <row r="930" spans="1:12" x14ac:dyDescent="0.2">
      <c r="A930" s="2">
        <v>100799</v>
      </c>
      <c r="B930" s="18">
        <v>45333</v>
      </c>
      <c r="C930" s="2" t="s">
        <v>774</v>
      </c>
      <c r="D930" s="2" t="s">
        <v>175</v>
      </c>
      <c r="E930" s="2" t="s">
        <v>69</v>
      </c>
      <c r="F930" s="2" t="s">
        <v>80</v>
      </c>
      <c r="G930" s="2" t="s">
        <v>158</v>
      </c>
      <c r="H930" s="2">
        <v>1</v>
      </c>
      <c r="I930" s="2">
        <v>164.97</v>
      </c>
      <c r="J930" s="2">
        <v>10</v>
      </c>
      <c r="K930" s="2" t="s">
        <v>83</v>
      </c>
      <c r="L930" s="2" t="s">
        <v>121</v>
      </c>
    </row>
    <row r="931" spans="1:12" x14ac:dyDescent="0.2">
      <c r="A931" s="2">
        <v>100619</v>
      </c>
      <c r="B931" s="17">
        <v>45543</v>
      </c>
      <c r="C931" s="2" t="s">
        <v>775</v>
      </c>
      <c r="D931" s="2" t="s">
        <v>61</v>
      </c>
      <c r="E931" s="2" t="s">
        <v>14</v>
      </c>
      <c r="F931" s="2" t="s">
        <v>39</v>
      </c>
      <c r="G931" s="2" t="s">
        <v>242</v>
      </c>
      <c r="H931" s="2">
        <v>5</v>
      </c>
      <c r="I931" s="2">
        <v>104.21</v>
      </c>
      <c r="J931" s="2">
        <v>0</v>
      </c>
      <c r="K931" s="2" t="s">
        <v>24</v>
      </c>
      <c r="L931" s="2" t="s">
        <v>52</v>
      </c>
    </row>
    <row r="932" spans="1:12" x14ac:dyDescent="0.2">
      <c r="A932" s="2">
        <v>101732</v>
      </c>
      <c r="B932" s="17">
        <v>45345</v>
      </c>
      <c r="C932" s="2" t="s">
        <v>628</v>
      </c>
      <c r="D932" s="2" t="s">
        <v>89</v>
      </c>
      <c r="E932" s="2" t="s">
        <v>32</v>
      </c>
      <c r="F932" s="2" t="s">
        <v>124</v>
      </c>
      <c r="G932" s="2" t="s">
        <v>62</v>
      </c>
      <c r="H932" s="2">
        <v>4</v>
      </c>
      <c r="I932" s="2">
        <v>3663.1</v>
      </c>
      <c r="J932" s="2"/>
      <c r="K932" s="2" t="s">
        <v>41</v>
      </c>
      <c r="L932" s="2" t="s">
        <v>52</v>
      </c>
    </row>
    <row r="933" spans="1:12" x14ac:dyDescent="0.2">
      <c r="A933" s="2">
        <v>100509</v>
      </c>
      <c r="B933" s="18">
        <v>45572</v>
      </c>
      <c r="C933" s="2" t="s">
        <v>776</v>
      </c>
      <c r="D933" s="2" t="s">
        <v>31</v>
      </c>
      <c r="E933" s="2" t="s">
        <v>32</v>
      </c>
      <c r="F933" s="2" t="s">
        <v>155</v>
      </c>
      <c r="G933" s="2" t="s">
        <v>135</v>
      </c>
      <c r="H933" s="2">
        <v>7</v>
      </c>
      <c r="I933" s="2" t="s">
        <v>777</v>
      </c>
      <c r="J933" s="2">
        <v>0</v>
      </c>
      <c r="K933" s="2" t="s">
        <v>66</v>
      </c>
      <c r="L933" s="2" t="s">
        <v>143</v>
      </c>
    </row>
    <row r="934" spans="1:12" x14ac:dyDescent="0.2">
      <c r="A934" s="2">
        <v>101391</v>
      </c>
      <c r="B934" s="2" t="s">
        <v>778</v>
      </c>
      <c r="C934" s="2" t="s">
        <v>779</v>
      </c>
      <c r="D934" s="2" t="s">
        <v>129</v>
      </c>
      <c r="E934" s="2" t="s">
        <v>49</v>
      </c>
      <c r="F934" s="2" t="s">
        <v>70</v>
      </c>
      <c r="G934" s="2" t="s">
        <v>149</v>
      </c>
      <c r="H934" s="2">
        <v>5</v>
      </c>
      <c r="I934" s="2">
        <v>38304.83</v>
      </c>
      <c r="J934" s="2">
        <v>0</v>
      </c>
      <c r="K934" s="2" t="s">
        <v>17</v>
      </c>
      <c r="L934" s="2" t="s">
        <v>42</v>
      </c>
    </row>
    <row r="935" spans="1:12" x14ac:dyDescent="0.2">
      <c r="A935" s="2">
        <v>100737</v>
      </c>
      <c r="B935" s="18">
        <v>45510</v>
      </c>
      <c r="C935" s="2" t="s">
        <v>490</v>
      </c>
      <c r="D935" s="2" t="s">
        <v>160</v>
      </c>
      <c r="E935" s="2" t="s">
        <v>49</v>
      </c>
      <c r="F935" s="2" t="s">
        <v>106</v>
      </c>
      <c r="G935" s="2" t="s">
        <v>137</v>
      </c>
      <c r="H935" s="2">
        <v>7</v>
      </c>
      <c r="I935" s="2">
        <v>4204.91</v>
      </c>
      <c r="J935" s="2">
        <v>0.05</v>
      </c>
      <c r="K935" s="2" t="s">
        <v>17</v>
      </c>
      <c r="L935" s="2" t="s">
        <v>143</v>
      </c>
    </row>
    <row r="936" spans="1:12" x14ac:dyDescent="0.2">
      <c r="A936" s="2">
        <v>101159</v>
      </c>
      <c r="B936" s="17">
        <v>45301</v>
      </c>
      <c r="C936" s="2" t="s">
        <v>780</v>
      </c>
      <c r="D936" s="2" t="s">
        <v>140</v>
      </c>
      <c r="E936" s="2" t="s">
        <v>79</v>
      </c>
      <c r="F936" s="2" t="s">
        <v>80</v>
      </c>
      <c r="G936" s="2" t="s">
        <v>93</v>
      </c>
      <c r="H936" s="2">
        <v>5</v>
      </c>
      <c r="I936" s="2" t="s">
        <v>781</v>
      </c>
      <c r="J936" s="2">
        <v>0</v>
      </c>
      <c r="K936" s="2" t="s">
        <v>29</v>
      </c>
      <c r="L936" s="2" t="s">
        <v>87</v>
      </c>
    </row>
    <row r="937" spans="1:12" x14ac:dyDescent="0.2">
      <c r="A937" s="2">
        <v>101696</v>
      </c>
      <c r="B937" s="2" t="s">
        <v>275</v>
      </c>
      <c r="C937" s="2" t="s">
        <v>244</v>
      </c>
      <c r="D937" s="2" t="s">
        <v>73</v>
      </c>
      <c r="E937" s="2" t="s">
        <v>49</v>
      </c>
      <c r="F937" s="2" t="s">
        <v>22</v>
      </c>
      <c r="G937" s="2" t="s">
        <v>141</v>
      </c>
      <c r="H937" s="2">
        <v>-2</v>
      </c>
      <c r="I937" s="2"/>
      <c r="J937" s="2">
        <v>0</v>
      </c>
      <c r="K937" s="2" t="s">
        <v>29</v>
      </c>
      <c r="L937" s="2" t="s">
        <v>42</v>
      </c>
    </row>
    <row r="938" spans="1:12" x14ac:dyDescent="0.2">
      <c r="A938" s="2">
        <v>101085</v>
      </c>
      <c r="B938" s="17">
        <v>45478</v>
      </c>
      <c r="C938" s="2" t="s">
        <v>372</v>
      </c>
      <c r="D938" s="2" t="s">
        <v>58</v>
      </c>
      <c r="E938" s="2" t="s">
        <v>38</v>
      </c>
      <c r="F938" s="2" t="s">
        <v>64</v>
      </c>
      <c r="G938" s="2" t="s">
        <v>165</v>
      </c>
      <c r="H938" s="2">
        <v>-1</v>
      </c>
      <c r="I938" s="2">
        <v>431.57</v>
      </c>
      <c r="J938" s="2">
        <v>0</v>
      </c>
      <c r="K938" s="2" t="s">
        <v>41</v>
      </c>
      <c r="L938" s="2" t="s">
        <v>35</v>
      </c>
    </row>
    <row r="939" spans="1:12" x14ac:dyDescent="0.2">
      <c r="A939" s="2">
        <v>100868</v>
      </c>
      <c r="B939" s="17">
        <v>45400</v>
      </c>
      <c r="C939" s="2" t="s">
        <v>782</v>
      </c>
      <c r="D939" s="2" t="s">
        <v>140</v>
      </c>
      <c r="E939" s="2" t="s">
        <v>49</v>
      </c>
      <c r="F939" s="2" t="s">
        <v>113</v>
      </c>
      <c r="G939" s="2" t="s">
        <v>40</v>
      </c>
      <c r="H939" s="2">
        <v>1</v>
      </c>
      <c r="I939" s="2">
        <v>694.95</v>
      </c>
      <c r="J939" s="2"/>
      <c r="K939" s="2" t="s">
        <v>83</v>
      </c>
      <c r="L939" s="2" t="s">
        <v>87</v>
      </c>
    </row>
    <row r="940" spans="1:12" x14ac:dyDescent="0.2">
      <c r="A940" s="2">
        <v>100460</v>
      </c>
      <c r="B940" s="17">
        <v>45541</v>
      </c>
      <c r="C940" s="2" t="s">
        <v>125</v>
      </c>
      <c r="D940" s="2" t="s">
        <v>140</v>
      </c>
      <c r="E940" s="2" t="s">
        <v>79</v>
      </c>
      <c r="F940" s="2" t="s">
        <v>80</v>
      </c>
      <c r="G940" s="2" t="s">
        <v>81</v>
      </c>
      <c r="H940" s="2">
        <v>8</v>
      </c>
      <c r="I940" s="2">
        <v>592.1</v>
      </c>
      <c r="J940" s="2">
        <v>0</v>
      </c>
      <c r="K940" s="2" t="s">
        <v>29</v>
      </c>
      <c r="L940" s="2" t="s">
        <v>121</v>
      </c>
    </row>
    <row r="941" spans="1:12" x14ac:dyDescent="0.2">
      <c r="A941" s="2">
        <v>100971</v>
      </c>
      <c r="B941" s="18">
        <v>45312</v>
      </c>
      <c r="C941" s="2" t="s">
        <v>783</v>
      </c>
      <c r="D941" s="2" t="s">
        <v>61</v>
      </c>
      <c r="E941" s="2" t="s">
        <v>119</v>
      </c>
      <c r="F941" s="2" t="s">
        <v>22</v>
      </c>
      <c r="G941" s="2" t="s">
        <v>145</v>
      </c>
      <c r="H941" s="2">
        <v>3</v>
      </c>
      <c r="I941" s="2">
        <v>2960.3</v>
      </c>
      <c r="J941" s="2">
        <v>15</v>
      </c>
      <c r="K941" s="2" t="s">
        <v>41</v>
      </c>
      <c r="L941" s="2" t="s">
        <v>143</v>
      </c>
    </row>
    <row r="942" spans="1:12" x14ac:dyDescent="0.2">
      <c r="A942" s="2">
        <v>100063</v>
      </c>
      <c r="B942" s="18">
        <v>45521</v>
      </c>
      <c r="C942" s="2" t="s">
        <v>742</v>
      </c>
      <c r="D942" s="2" t="s">
        <v>27</v>
      </c>
      <c r="E942" s="2" t="s">
        <v>21</v>
      </c>
      <c r="F942" s="2" t="s">
        <v>22</v>
      </c>
      <c r="G942" s="2" t="s">
        <v>232</v>
      </c>
      <c r="H942" s="2">
        <v>3</v>
      </c>
      <c r="I942" s="2">
        <v>2267.44</v>
      </c>
      <c r="J942" s="2">
        <v>0.25</v>
      </c>
      <c r="K942" s="2" t="s">
        <v>83</v>
      </c>
      <c r="L942" s="2" t="s">
        <v>121</v>
      </c>
    </row>
    <row r="943" spans="1:12" x14ac:dyDescent="0.2">
      <c r="A943" s="2">
        <v>101851</v>
      </c>
      <c r="B943" s="17">
        <v>45362</v>
      </c>
      <c r="C943" s="2" t="s">
        <v>784</v>
      </c>
      <c r="D943" s="2" t="s">
        <v>140</v>
      </c>
      <c r="E943" s="2" t="s">
        <v>49</v>
      </c>
      <c r="F943" s="2" t="s">
        <v>80</v>
      </c>
      <c r="G943" s="2" t="s">
        <v>158</v>
      </c>
      <c r="H943" s="2">
        <v>1</v>
      </c>
      <c r="I943" s="2">
        <v>160.9</v>
      </c>
      <c r="J943" s="2">
        <v>0.05</v>
      </c>
      <c r="K943" s="2" t="s">
        <v>24</v>
      </c>
      <c r="L943" s="2" t="s">
        <v>18</v>
      </c>
    </row>
    <row r="944" spans="1:12" x14ac:dyDescent="0.2">
      <c r="A944" s="2">
        <v>100872</v>
      </c>
      <c r="B944" s="18">
        <v>45342</v>
      </c>
      <c r="C944" s="2" t="s">
        <v>688</v>
      </c>
      <c r="D944" s="2" t="s">
        <v>31</v>
      </c>
      <c r="E944" s="2" t="s">
        <v>32</v>
      </c>
      <c r="F944" s="2" t="s">
        <v>70</v>
      </c>
      <c r="G944" s="2" t="s">
        <v>149</v>
      </c>
      <c r="H944" s="2"/>
      <c r="I944" s="2">
        <v>5451.28</v>
      </c>
      <c r="J944" s="2">
        <v>0.05</v>
      </c>
      <c r="K944" s="2" t="s">
        <v>66</v>
      </c>
      <c r="L944" s="2" t="s">
        <v>87</v>
      </c>
    </row>
    <row r="945" spans="1:12" x14ac:dyDescent="0.2">
      <c r="A945" s="2">
        <v>100993</v>
      </c>
      <c r="B945" s="17">
        <v>45418</v>
      </c>
      <c r="C945" s="2" t="s">
        <v>317</v>
      </c>
      <c r="D945" s="2" t="s">
        <v>85</v>
      </c>
      <c r="E945" s="2" t="s">
        <v>119</v>
      </c>
      <c r="F945" s="2" t="s">
        <v>39</v>
      </c>
      <c r="G945" s="2" t="s">
        <v>40</v>
      </c>
      <c r="H945" s="2">
        <v>12</v>
      </c>
      <c r="I945" s="2">
        <v>419.94</v>
      </c>
      <c r="J945" s="2"/>
      <c r="K945" s="2" t="s">
        <v>17</v>
      </c>
      <c r="L945" s="2" t="s">
        <v>52</v>
      </c>
    </row>
    <row r="946" spans="1:12" x14ac:dyDescent="0.2">
      <c r="A946" s="2">
        <v>101603</v>
      </c>
      <c r="B946" s="17">
        <v>45352</v>
      </c>
      <c r="C946" s="2" t="s">
        <v>785</v>
      </c>
      <c r="D946" s="2" t="s">
        <v>31</v>
      </c>
      <c r="E946" s="2" t="s">
        <v>32</v>
      </c>
      <c r="F946" s="2" t="s">
        <v>64</v>
      </c>
      <c r="G946" s="2" t="s">
        <v>242</v>
      </c>
      <c r="H946" s="2">
        <v>12</v>
      </c>
      <c r="I946" s="2">
        <v>881.46</v>
      </c>
      <c r="J946" s="2">
        <v>0.2</v>
      </c>
      <c r="K946" s="2" t="s">
        <v>29</v>
      </c>
      <c r="L946" s="2" t="s">
        <v>87</v>
      </c>
    </row>
    <row r="947" spans="1:12" x14ac:dyDescent="0.2">
      <c r="A947" s="2">
        <v>100458</v>
      </c>
      <c r="B947" s="18">
        <v>45440</v>
      </c>
      <c r="C947" s="2"/>
      <c r="D947" s="2" t="s">
        <v>73</v>
      </c>
      <c r="E947" s="2" t="s">
        <v>79</v>
      </c>
      <c r="F947" s="2" t="s">
        <v>124</v>
      </c>
      <c r="G947" s="2" t="s">
        <v>56</v>
      </c>
      <c r="H947" s="2">
        <v>10</v>
      </c>
      <c r="I947" s="2">
        <v>11926.92</v>
      </c>
      <c r="J947" s="2">
        <v>0.15</v>
      </c>
      <c r="K947" s="2" t="s">
        <v>29</v>
      </c>
      <c r="L947" s="2" t="s">
        <v>25</v>
      </c>
    </row>
    <row r="948" spans="1:12" x14ac:dyDescent="0.2">
      <c r="A948" s="2">
        <v>100973</v>
      </c>
      <c r="B948" s="18">
        <v>45422</v>
      </c>
      <c r="C948" s="2" t="s">
        <v>628</v>
      </c>
      <c r="D948" s="2" t="s">
        <v>85</v>
      </c>
      <c r="E948" s="2" t="s">
        <v>119</v>
      </c>
      <c r="F948" s="2" t="s">
        <v>33</v>
      </c>
      <c r="G948" s="2" t="s">
        <v>158</v>
      </c>
      <c r="H948" s="2">
        <v>10</v>
      </c>
      <c r="I948" s="2">
        <v>457.87</v>
      </c>
      <c r="J948" s="2">
        <v>0</v>
      </c>
      <c r="K948" s="2" t="s">
        <v>24</v>
      </c>
      <c r="L948" s="2" t="s">
        <v>52</v>
      </c>
    </row>
    <row r="949" spans="1:12" x14ac:dyDescent="0.2">
      <c r="A949" s="2">
        <v>100479</v>
      </c>
      <c r="B949" s="17">
        <v>45632</v>
      </c>
      <c r="C949" s="2" t="s">
        <v>704</v>
      </c>
      <c r="D949" s="2" t="s">
        <v>44</v>
      </c>
      <c r="E949" s="2" t="s">
        <v>32</v>
      </c>
      <c r="F949" s="2" t="s">
        <v>106</v>
      </c>
      <c r="G949" s="2" t="s">
        <v>137</v>
      </c>
      <c r="H949" s="2">
        <v>11</v>
      </c>
      <c r="I949" s="2">
        <v>2743.83</v>
      </c>
      <c r="J949" s="2">
        <v>0.2</v>
      </c>
      <c r="K949" s="2" t="s">
        <v>83</v>
      </c>
      <c r="L949" s="2" t="s">
        <v>25</v>
      </c>
    </row>
    <row r="950" spans="1:12" x14ac:dyDescent="0.2">
      <c r="A950" s="2">
        <v>101494</v>
      </c>
      <c r="B950" s="17">
        <v>45469</v>
      </c>
      <c r="C950" s="2" t="s">
        <v>446</v>
      </c>
      <c r="D950" s="2" t="s">
        <v>13</v>
      </c>
      <c r="E950" s="2" t="s">
        <v>14</v>
      </c>
      <c r="F950" s="2" t="s">
        <v>155</v>
      </c>
      <c r="G950" s="2" t="s">
        <v>156</v>
      </c>
      <c r="H950" s="2">
        <v>5</v>
      </c>
      <c r="I950" s="2">
        <v>3189.55</v>
      </c>
      <c r="J950" s="2">
        <v>0</v>
      </c>
      <c r="K950" s="2" t="s">
        <v>83</v>
      </c>
      <c r="L950" s="2" t="s">
        <v>18</v>
      </c>
    </row>
    <row r="951" spans="1:12" x14ac:dyDescent="0.2">
      <c r="A951" s="2">
        <v>101536</v>
      </c>
      <c r="B951" s="18">
        <v>45476</v>
      </c>
      <c r="C951" s="2" t="s">
        <v>786</v>
      </c>
      <c r="D951" s="2" t="s">
        <v>181</v>
      </c>
      <c r="E951" s="2" t="s">
        <v>14</v>
      </c>
      <c r="F951" s="2" t="s">
        <v>120</v>
      </c>
      <c r="G951" s="2" t="s">
        <v>145</v>
      </c>
      <c r="H951" s="2">
        <v>11</v>
      </c>
      <c r="I951" s="2">
        <v>1784.91</v>
      </c>
      <c r="J951" s="2">
        <v>0.05</v>
      </c>
      <c r="K951" s="2" t="s">
        <v>17</v>
      </c>
      <c r="L951" s="2" t="s">
        <v>25</v>
      </c>
    </row>
    <row r="952" spans="1:12" x14ac:dyDescent="0.2">
      <c r="A952" s="2">
        <v>100871</v>
      </c>
      <c r="B952" s="2" t="s">
        <v>750</v>
      </c>
      <c r="C952" s="2" t="s">
        <v>622</v>
      </c>
      <c r="D952" s="2" t="s">
        <v>175</v>
      </c>
      <c r="E952" s="2" t="s">
        <v>38</v>
      </c>
      <c r="F952" s="2" t="s">
        <v>28</v>
      </c>
      <c r="G952" s="2" t="s">
        <v>16</v>
      </c>
      <c r="H952" s="2">
        <v>4</v>
      </c>
      <c r="I952" s="2">
        <v>19734.52</v>
      </c>
      <c r="J952" s="2">
        <v>0</v>
      </c>
      <c r="K952" s="2" t="s">
        <v>83</v>
      </c>
      <c r="L952" s="2" t="s">
        <v>35</v>
      </c>
    </row>
    <row r="953" spans="1:12" x14ac:dyDescent="0.2">
      <c r="A953" s="2">
        <v>100791</v>
      </c>
      <c r="B953" s="17">
        <v>45570</v>
      </c>
      <c r="C953" s="2" t="s">
        <v>430</v>
      </c>
      <c r="D953" s="2" t="s">
        <v>92</v>
      </c>
      <c r="E953" s="2" t="s">
        <v>32</v>
      </c>
      <c r="F953" s="2" t="s">
        <v>191</v>
      </c>
      <c r="G953" s="2" t="s">
        <v>16</v>
      </c>
      <c r="H953" s="2">
        <v>5</v>
      </c>
      <c r="I953" s="2">
        <v>24650.17</v>
      </c>
      <c r="J953" s="2">
        <v>0.05</v>
      </c>
      <c r="K953" s="2" t="s">
        <v>17</v>
      </c>
      <c r="L953" s="2" t="s">
        <v>121</v>
      </c>
    </row>
    <row r="954" spans="1:12" x14ac:dyDescent="0.2">
      <c r="A954" s="2">
        <v>100618</v>
      </c>
      <c r="B954" s="17">
        <v>45516</v>
      </c>
      <c r="C954" s="2" t="s">
        <v>592</v>
      </c>
      <c r="D954" s="2" t="s">
        <v>85</v>
      </c>
      <c r="E954" s="2" t="s">
        <v>119</v>
      </c>
      <c r="F954" s="2" t="s">
        <v>124</v>
      </c>
      <c r="G954" s="2" t="s">
        <v>99</v>
      </c>
      <c r="H954" s="2">
        <v>4</v>
      </c>
      <c r="I954" s="2">
        <v>8864.9699999999993</v>
      </c>
      <c r="J954" s="2">
        <v>0</v>
      </c>
      <c r="K954" s="2" t="s">
        <v>41</v>
      </c>
      <c r="L954" s="2" t="s">
        <v>35</v>
      </c>
    </row>
    <row r="955" spans="1:12" x14ac:dyDescent="0.2">
      <c r="A955" s="2">
        <v>101879</v>
      </c>
      <c r="B955" s="18">
        <v>45518</v>
      </c>
      <c r="C955" s="2" t="s">
        <v>342</v>
      </c>
      <c r="D955" s="2" t="s">
        <v>175</v>
      </c>
      <c r="E955" s="2" t="s">
        <v>69</v>
      </c>
      <c r="F955" s="2" t="s">
        <v>106</v>
      </c>
      <c r="G955" s="2" t="s">
        <v>135</v>
      </c>
      <c r="H955" s="2">
        <v>5</v>
      </c>
      <c r="I955" s="2">
        <v>1658.6</v>
      </c>
      <c r="J955" s="2"/>
      <c r="K955" s="2" t="s">
        <v>29</v>
      </c>
      <c r="L955" s="2" t="s">
        <v>35</v>
      </c>
    </row>
    <row r="956" spans="1:12" x14ac:dyDescent="0.2">
      <c r="A956" s="2">
        <v>101397</v>
      </c>
      <c r="B956" s="17">
        <v>45351</v>
      </c>
      <c r="C956" s="2" t="s">
        <v>787</v>
      </c>
      <c r="D956" s="2" t="s">
        <v>92</v>
      </c>
      <c r="E956" s="2" t="s">
        <v>54</v>
      </c>
      <c r="F956" s="2" t="s">
        <v>155</v>
      </c>
      <c r="G956" s="2" t="s">
        <v>137</v>
      </c>
      <c r="H956" s="2">
        <v>-3</v>
      </c>
      <c r="I956" s="2">
        <v>1186.92</v>
      </c>
      <c r="J956" s="2">
        <v>0.2</v>
      </c>
      <c r="K956" s="2" t="s">
        <v>17</v>
      </c>
      <c r="L956" s="2" t="s">
        <v>42</v>
      </c>
    </row>
    <row r="957" spans="1:12" x14ac:dyDescent="0.2">
      <c r="A957" s="2">
        <v>101436</v>
      </c>
      <c r="B957" s="17">
        <v>45477</v>
      </c>
      <c r="C957" s="2"/>
      <c r="D957" s="2" t="s">
        <v>31</v>
      </c>
      <c r="E957" s="2" t="s">
        <v>32</v>
      </c>
      <c r="F957" s="2" t="s">
        <v>22</v>
      </c>
      <c r="G957" s="2" t="s">
        <v>23</v>
      </c>
      <c r="H957" s="2">
        <v>1</v>
      </c>
      <c r="I957" s="2">
        <v>508.46</v>
      </c>
      <c r="J957" s="2">
        <v>0</v>
      </c>
      <c r="K957" s="2" t="s">
        <v>83</v>
      </c>
      <c r="L957" s="2" t="s">
        <v>52</v>
      </c>
    </row>
    <row r="958" spans="1:12" x14ac:dyDescent="0.2">
      <c r="A958" s="2">
        <v>101708</v>
      </c>
      <c r="B958" s="18">
        <v>45577</v>
      </c>
      <c r="C958" s="2" t="s">
        <v>646</v>
      </c>
      <c r="D958" s="2" t="s">
        <v>175</v>
      </c>
      <c r="E958" s="2" t="s">
        <v>69</v>
      </c>
      <c r="F958" s="2" t="s">
        <v>33</v>
      </c>
      <c r="G958" s="2" t="s">
        <v>158</v>
      </c>
      <c r="H958" s="2">
        <v>12</v>
      </c>
      <c r="I958" s="2"/>
      <c r="J958" s="2">
        <v>0.1</v>
      </c>
      <c r="K958" s="2" t="s">
        <v>29</v>
      </c>
      <c r="L958" s="2" t="s">
        <v>18</v>
      </c>
    </row>
    <row r="959" spans="1:12" x14ac:dyDescent="0.2">
      <c r="A959" s="2">
        <v>101645</v>
      </c>
      <c r="B959" s="17">
        <v>45310</v>
      </c>
      <c r="C959" s="2" t="s">
        <v>626</v>
      </c>
      <c r="D959" s="2" t="s">
        <v>129</v>
      </c>
      <c r="E959" s="2" t="s">
        <v>79</v>
      </c>
      <c r="F959" s="2" t="s">
        <v>39</v>
      </c>
      <c r="G959" s="2" t="s">
        <v>165</v>
      </c>
      <c r="H959" s="2">
        <v>11</v>
      </c>
      <c r="I959" s="2">
        <v>208.02</v>
      </c>
      <c r="J959" s="2">
        <v>0.05</v>
      </c>
      <c r="K959" s="2" t="s">
        <v>24</v>
      </c>
      <c r="L959" s="2" t="s">
        <v>35</v>
      </c>
    </row>
    <row r="960" spans="1:12" x14ac:dyDescent="0.2">
      <c r="A960" s="2">
        <v>100348</v>
      </c>
      <c r="B960" s="2" t="s">
        <v>788</v>
      </c>
      <c r="C960" s="2" t="s">
        <v>216</v>
      </c>
      <c r="D960" s="2" t="s">
        <v>61</v>
      </c>
      <c r="E960" s="2" t="s">
        <v>119</v>
      </c>
      <c r="F960" s="2" t="s">
        <v>74</v>
      </c>
      <c r="G960" s="2" t="s">
        <v>141</v>
      </c>
      <c r="H960" s="2">
        <v>9</v>
      </c>
      <c r="I960" s="2">
        <v>2498.48</v>
      </c>
      <c r="J960" s="2">
        <v>20</v>
      </c>
      <c r="K960" s="2" t="s">
        <v>41</v>
      </c>
      <c r="L960" s="2" t="s">
        <v>52</v>
      </c>
    </row>
    <row r="961" spans="1:12" x14ac:dyDescent="0.2">
      <c r="A961" s="2">
        <v>101088</v>
      </c>
      <c r="B961" s="17">
        <v>45534</v>
      </c>
      <c r="C961" s="2" t="s">
        <v>789</v>
      </c>
      <c r="D961" s="2" t="s">
        <v>20</v>
      </c>
      <c r="E961" s="2" t="s">
        <v>133</v>
      </c>
      <c r="F961" s="2" t="s">
        <v>120</v>
      </c>
      <c r="G961" s="2" t="s">
        <v>145</v>
      </c>
      <c r="H961" s="2">
        <v>11</v>
      </c>
      <c r="I961" s="2"/>
      <c r="J961" s="2">
        <v>0.05</v>
      </c>
      <c r="K961" s="2" t="s">
        <v>29</v>
      </c>
      <c r="L961" s="2" t="s">
        <v>87</v>
      </c>
    </row>
    <row r="962" spans="1:12" x14ac:dyDescent="0.2">
      <c r="A962" s="2">
        <v>101995</v>
      </c>
      <c r="B962" s="18">
        <v>45453</v>
      </c>
      <c r="C962" s="2" t="s">
        <v>569</v>
      </c>
      <c r="D962" s="2" t="s">
        <v>37</v>
      </c>
      <c r="E962" s="2" t="s">
        <v>38</v>
      </c>
      <c r="F962" s="2" t="s">
        <v>113</v>
      </c>
      <c r="G962" s="2" t="s">
        <v>292</v>
      </c>
      <c r="H962" s="2">
        <v>7</v>
      </c>
      <c r="I962" s="2">
        <v>294.08999999999997</v>
      </c>
      <c r="J962" s="2">
        <v>0</v>
      </c>
      <c r="K962" s="2" t="s">
        <v>41</v>
      </c>
      <c r="L962" s="2" t="s">
        <v>18</v>
      </c>
    </row>
    <row r="963" spans="1:12" x14ac:dyDescent="0.2">
      <c r="A963" s="2">
        <v>100979</v>
      </c>
      <c r="B963" s="17">
        <v>45384</v>
      </c>
      <c r="C963" s="2" t="s">
        <v>790</v>
      </c>
      <c r="D963" s="2" t="s">
        <v>95</v>
      </c>
      <c r="E963" s="2" t="s">
        <v>133</v>
      </c>
      <c r="F963" s="2" t="s">
        <v>50</v>
      </c>
      <c r="G963" s="2" t="s">
        <v>56</v>
      </c>
      <c r="H963" s="2">
        <v>1</v>
      </c>
      <c r="I963" s="2">
        <v>11493.28</v>
      </c>
      <c r="J963" s="2">
        <v>0.25</v>
      </c>
      <c r="K963" s="2" t="s">
        <v>29</v>
      </c>
      <c r="L963" s="2" t="s">
        <v>18</v>
      </c>
    </row>
    <row r="964" spans="1:12" x14ac:dyDescent="0.2">
      <c r="A964" s="2">
        <v>100761</v>
      </c>
      <c r="B964" s="18">
        <v>45484</v>
      </c>
      <c r="C964" s="2" t="s">
        <v>53</v>
      </c>
      <c r="D964" s="2" t="s">
        <v>101</v>
      </c>
      <c r="E964" s="2" t="s">
        <v>38</v>
      </c>
      <c r="F964" s="2" t="s">
        <v>70</v>
      </c>
      <c r="G964" s="2" t="s">
        <v>153</v>
      </c>
      <c r="H964" s="2">
        <v>12</v>
      </c>
      <c r="I964" s="2">
        <v>26856.11</v>
      </c>
      <c r="J964" s="2">
        <v>0.2</v>
      </c>
      <c r="K964" s="2" t="s">
        <v>29</v>
      </c>
      <c r="L964" s="2" t="s">
        <v>35</v>
      </c>
    </row>
    <row r="965" spans="1:12" x14ac:dyDescent="0.2">
      <c r="A965" s="2">
        <v>100955</v>
      </c>
      <c r="B965" s="17">
        <v>45643</v>
      </c>
      <c r="C965" s="2" t="s">
        <v>183</v>
      </c>
      <c r="D965" s="2" t="s">
        <v>58</v>
      </c>
      <c r="E965" s="2" t="s">
        <v>69</v>
      </c>
      <c r="F965" s="2" t="s">
        <v>124</v>
      </c>
      <c r="G965" s="2" t="s">
        <v>99</v>
      </c>
      <c r="H965" s="2">
        <v>9</v>
      </c>
      <c r="I965" s="2">
        <v>8991.2199999999993</v>
      </c>
      <c r="J965" s="2">
        <v>0</v>
      </c>
      <c r="K965" s="2" t="s">
        <v>41</v>
      </c>
      <c r="L965" s="2" t="s">
        <v>35</v>
      </c>
    </row>
    <row r="966" spans="1:12" x14ac:dyDescent="0.2">
      <c r="A966" s="2">
        <v>100447</v>
      </c>
      <c r="B966" s="2" t="s">
        <v>791</v>
      </c>
      <c r="C966" s="2" t="s">
        <v>599</v>
      </c>
      <c r="D966" s="2" t="s">
        <v>27</v>
      </c>
      <c r="E966" s="2" t="s">
        <v>133</v>
      </c>
      <c r="F966" s="2" t="s">
        <v>33</v>
      </c>
      <c r="G966" s="2" t="s">
        <v>34</v>
      </c>
      <c r="H966" s="2">
        <v>9</v>
      </c>
      <c r="I966" s="2">
        <v>500.21</v>
      </c>
      <c r="J966" s="2">
        <v>0</v>
      </c>
      <c r="K966" s="2" t="s">
        <v>17</v>
      </c>
      <c r="L966" s="2" t="s">
        <v>25</v>
      </c>
    </row>
    <row r="967" spans="1:12" x14ac:dyDescent="0.2">
      <c r="A967" s="2">
        <v>100651</v>
      </c>
      <c r="B967" s="18">
        <v>45645</v>
      </c>
      <c r="C967" s="2" t="s">
        <v>792</v>
      </c>
      <c r="D967" s="2" t="s">
        <v>85</v>
      </c>
      <c r="E967" s="2" t="s">
        <v>119</v>
      </c>
      <c r="F967" s="2" t="s">
        <v>155</v>
      </c>
      <c r="G967" s="2" t="s">
        <v>135</v>
      </c>
      <c r="H967" s="2">
        <v>8</v>
      </c>
      <c r="I967" s="2">
        <v>2303.15</v>
      </c>
      <c r="J967" s="2">
        <v>5</v>
      </c>
      <c r="K967" s="2" t="s">
        <v>24</v>
      </c>
      <c r="L967" s="2" t="s">
        <v>35</v>
      </c>
    </row>
    <row r="968" spans="1:12" x14ac:dyDescent="0.2">
      <c r="A968" s="2">
        <v>101252</v>
      </c>
      <c r="B968" s="17">
        <v>45552</v>
      </c>
      <c r="C968" s="2" t="s">
        <v>567</v>
      </c>
      <c r="D968" s="2" t="s">
        <v>20</v>
      </c>
      <c r="E968" s="2" t="s">
        <v>21</v>
      </c>
      <c r="F968" s="2" t="s">
        <v>102</v>
      </c>
      <c r="G968" s="2" t="s">
        <v>156</v>
      </c>
      <c r="H968" s="2">
        <v>4</v>
      </c>
      <c r="I968" s="2">
        <v>3310.47</v>
      </c>
      <c r="J968" s="2">
        <v>0</v>
      </c>
      <c r="K968" s="2" t="s">
        <v>17</v>
      </c>
      <c r="L968" s="2" t="s">
        <v>25</v>
      </c>
    </row>
    <row r="969" spans="1:12" x14ac:dyDescent="0.2">
      <c r="A969" s="2">
        <v>101818</v>
      </c>
      <c r="B969" s="18">
        <v>45543</v>
      </c>
      <c r="C969" s="2" t="s">
        <v>793</v>
      </c>
      <c r="D969" s="2" t="s">
        <v>31</v>
      </c>
      <c r="E969" s="2" t="s">
        <v>32</v>
      </c>
      <c r="F969" s="2" t="s">
        <v>113</v>
      </c>
      <c r="G969" s="2" t="s">
        <v>40</v>
      </c>
      <c r="H969" s="2">
        <v>3</v>
      </c>
      <c r="I969" s="2">
        <v>640.1</v>
      </c>
      <c r="J969" s="2">
        <v>0</v>
      </c>
      <c r="K969" s="2" t="s">
        <v>17</v>
      </c>
      <c r="L969" s="2" t="s">
        <v>52</v>
      </c>
    </row>
    <row r="970" spans="1:12" x14ac:dyDescent="0.2">
      <c r="A970" s="2">
        <v>100380</v>
      </c>
      <c r="B970" s="18">
        <v>45631</v>
      </c>
      <c r="C970" s="2" t="s">
        <v>783</v>
      </c>
      <c r="D970" s="2" t="s">
        <v>85</v>
      </c>
      <c r="E970" s="2" t="s">
        <v>119</v>
      </c>
      <c r="F970" s="2" t="s">
        <v>22</v>
      </c>
      <c r="G970" s="2" t="s">
        <v>23</v>
      </c>
      <c r="H970" s="2">
        <v>9</v>
      </c>
      <c r="I970" s="2">
        <v>2351.3200000000002</v>
      </c>
      <c r="J970" s="2">
        <v>0.05</v>
      </c>
      <c r="K970" s="2" t="s">
        <v>29</v>
      </c>
      <c r="L970" s="2" t="s">
        <v>18</v>
      </c>
    </row>
    <row r="971" spans="1:12" x14ac:dyDescent="0.2">
      <c r="A971" s="2">
        <v>100565</v>
      </c>
      <c r="B971" s="17">
        <v>45482</v>
      </c>
      <c r="C971" s="2" t="s">
        <v>794</v>
      </c>
      <c r="D971" s="2" t="s">
        <v>109</v>
      </c>
      <c r="E971" s="2" t="s">
        <v>133</v>
      </c>
      <c r="F971" s="2" t="s">
        <v>74</v>
      </c>
      <c r="G971" s="2" t="s">
        <v>75</v>
      </c>
      <c r="H971" s="2">
        <v>12</v>
      </c>
      <c r="I971" s="2">
        <v>2535.88</v>
      </c>
      <c r="J971" s="2"/>
      <c r="K971" s="2" t="s">
        <v>41</v>
      </c>
      <c r="L971" s="2" t="s">
        <v>25</v>
      </c>
    </row>
    <row r="972" spans="1:12" x14ac:dyDescent="0.2">
      <c r="A972" s="2">
        <v>101351</v>
      </c>
      <c r="B972" s="18">
        <v>45559</v>
      </c>
      <c r="C972" s="2" t="s">
        <v>794</v>
      </c>
      <c r="D972" s="2" t="s">
        <v>92</v>
      </c>
      <c r="E972" s="2" t="s">
        <v>32</v>
      </c>
      <c r="F972" s="2" t="s">
        <v>113</v>
      </c>
      <c r="G972" s="2" t="s">
        <v>114</v>
      </c>
      <c r="H972" s="2"/>
      <c r="I972" s="2">
        <v>269.83</v>
      </c>
      <c r="J972" s="2">
        <v>0</v>
      </c>
      <c r="K972" s="2" t="s">
        <v>83</v>
      </c>
      <c r="L972" s="2" t="s">
        <v>52</v>
      </c>
    </row>
    <row r="973" spans="1:12" x14ac:dyDescent="0.2">
      <c r="A973" s="2">
        <v>101762</v>
      </c>
      <c r="B973" s="17">
        <v>45531</v>
      </c>
      <c r="C973" s="2" t="s">
        <v>795</v>
      </c>
      <c r="D973" s="2" t="s">
        <v>131</v>
      </c>
      <c r="E973" s="2" t="s">
        <v>133</v>
      </c>
      <c r="F973" s="2" t="s">
        <v>39</v>
      </c>
      <c r="G973" s="2" t="s">
        <v>292</v>
      </c>
      <c r="H973" s="2">
        <v>1</v>
      </c>
      <c r="I973" s="2">
        <v>337.68</v>
      </c>
      <c r="J973" s="2">
        <v>0</v>
      </c>
      <c r="K973" s="2" t="s">
        <v>24</v>
      </c>
      <c r="L973" s="2" t="s">
        <v>87</v>
      </c>
    </row>
    <row r="974" spans="1:12" x14ac:dyDescent="0.2">
      <c r="A974" s="2">
        <v>101298</v>
      </c>
      <c r="B974" s="18">
        <v>45317</v>
      </c>
      <c r="C974" s="2" t="s">
        <v>542</v>
      </c>
      <c r="D974" s="2" t="s">
        <v>58</v>
      </c>
      <c r="E974" s="2" t="s">
        <v>69</v>
      </c>
      <c r="F974" s="2" t="s">
        <v>223</v>
      </c>
      <c r="G974" s="2" t="s">
        <v>207</v>
      </c>
      <c r="H974" s="2">
        <v>2</v>
      </c>
      <c r="I974" s="2">
        <v>9419.2800000000007</v>
      </c>
      <c r="J974" s="2">
        <v>20</v>
      </c>
      <c r="K974" s="2" t="s">
        <v>41</v>
      </c>
      <c r="L974" s="2" t="s">
        <v>87</v>
      </c>
    </row>
    <row r="975" spans="1:12" x14ac:dyDescent="0.2">
      <c r="A975" s="2">
        <v>100957</v>
      </c>
      <c r="B975" s="18">
        <v>45501</v>
      </c>
      <c r="C975" s="2" t="s">
        <v>796</v>
      </c>
      <c r="D975" s="2" t="s">
        <v>140</v>
      </c>
      <c r="E975" s="2" t="s">
        <v>49</v>
      </c>
      <c r="F975" s="2" t="s">
        <v>64</v>
      </c>
      <c r="G975" s="2" t="s">
        <v>292</v>
      </c>
      <c r="H975" s="2">
        <v>11</v>
      </c>
      <c r="I975" s="2">
        <v>64.42</v>
      </c>
      <c r="J975" s="2">
        <v>0</v>
      </c>
      <c r="K975" s="2" t="s">
        <v>83</v>
      </c>
      <c r="L975" s="2" t="s">
        <v>52</v>
      </c>
    </row>
    <row r="976" spans="1:12" x14ac:dyDescent="0.2">
      <c r="A976" s="2">
        <v>101942</v>
      </c>
      <c r="B976" s="18">
        <v>45299</v>
      </c>
      <c r="C976" s="2" t="s">
        <v>490</v>
      </c>
      <c r="D976" s="2" t="s">
        <v>89</v>
      </c>
      <c r="E976" s="2" t="s">
        <v>32</v>
      </c>
      <c r="F976" s="2" t="s">
        <v>64</v>
      </c>
      <c r="G976" s="2" t="s">
        <v>242</v>
      </c>
      <c r="H976" s="2">
        <v>7</v>
      </c>
      <c r="I976" s="2">
        <v>462.8</v>
      </c>
      <c r="J976" s="2">
        <v>0</v>
      </c>
      <c r="K976" s="2" t="s">
        <v>17</v>
      </c>
      <c r="L976" s="2" t="s">
        <v>87</v>
      </c>
    </row>
    <row r="977" spans="1:12" x14ac:dyDescent="0.2">
      <c r="A977" s="2">
        <v>100987</v>
      </c>
      <c r="B977" s="17">
        <v>45417</v>
      </c>
      <c r="C977" s="2" t="s">
        <v>562</v>
      </c>
      <c r="D977" s="2" t="s">
        <v>44</v>
      </c>
      <c r="E977" s="2" t="s">
        <v>54</v>
      </c>
      <c r="F977" s="2" t="s">
        <v>15</v>
      </c>
      <c r="G977" s="2" t="s">
        <v>152</v>
      </c>
      <c r="H977" s="2">
        <v>10</v>
      </c>
      <c r="I977" s="2">
        <v>2530.33</v>
      </c>
      <c r="J977" s="2">
        <v>0.05</v>
      </c>
      <c r="K977" s="2" t="s">
        <v>41</v>
      </c>
      <c r="L977" s="2" t="s">
        <v>18</v>
      </c>
    </row>
    <row r="978" spans="1:12" x14ac:dyDescent="0.2">
      <c r="A978" s="2">
        <v>100921</v>
      </c>
      <c r="B978" s="18">
        <v>45422</v>
      </c>
      <c r="C978" s="2" t="s">
        <v>430</v>
      </c>
      <c r="D978" s="2" t="s">
        <v>92</v>
      </c>
      <c r="E978" s="2" t="s">
        <v>54</v>
      </c>
      <c r="F978" s="2" t="s">
        <v>106</v>
      </c>
      <c r="G978" s="2" t="s">
        <v>156</v>
      </c>
      <c r="H978" s="2">
        <v>10</v>
      </c>
      <c r="I978" s="2">
        <v>1122.21</v>
      </c>
      <c r="J978" s="2">
        <v>0.2</v>
      </c>
      <c r="K978" s="2" t="s">
        <v>29</v>
      </c>
      <c r="L978" s="2" t="s">
        <v>42</v>
      </c>
    </row>
    <row r="979" spans="1:12" x14ac:dyDescent="0.2">
      <c r="A979" s="2">
        <v>100232</v>
      </c>
      <c r="B979" s="17">
        <v>45599</v>
      </c>
      <c r="C979" s="2" t="s">
        <v>490</v>
      </c>
      <c r="D979" s="2" t="s">
        <v>181</v>
      </c>
      <c r="E979" s="2" t="s">
        <v>119</v>
      </c>
      <c r="F979" s="2" t="s">
        <v>223</v>
      </c>
      <c r="G979" s="2" t="s">
        <v>62</v>
      </c>
      <c r="H979" s="2">
        <v>3</v>
      </c>
      <c r="I979" s="2">
        <v>8698.31</v>
      </c>
      <c r="J979" s="2">
        <v>0</v>
      </c>
      <c r="K979" s="2" t="s">
        <v>83</v>
      </c>
      <c r="L979" s="2" t="s">
        <v>18</v>
      </c>
    </row>
    <row r="980" spans="1:12" x14ac:dyDescent="0.2">
      <c r="A980" s="2">
        <v>101227</v>
      </c>
      <c r="B980" s="18">
        <v>45402</v>
      </c>
      <c r="C980" s="2" t="s">
        <v>174</v>
      </c>
      <c r="D980" s="2" t="s">
        <v>37</v>
      </c>
      <c r="E980" s="2" t="s">
        <v>69</v>
      </c>
      <c r="F980" s="2" t="s">
        <v>33</v>
      </c>
      <c r="G980" s="2" t="s">
        <v>158</v>
      </c>
      <c r="H980" s="2">
        <v>4</v>
      </c>
      <c r="I980" s="2">
        <v>551.20000000000005</v>
      </c>
      <c r="J980" s="2">
        <v>0</v>
      </c>
      <c r="K980" s="2" t="s">
        <v>66</v>
      </c>
      <c r="L980" s="2" t="s">
        <v>143</v>
      </c>
    </row>
    <row r="981" spans="1:12" x14ac:dyDescent="0.2">
      <c r="A981" s="2">
        <v>100383</v>
      </c>
      <c r="B981" s="18">
        <v>45641</v>
      </c>
      <c r="C981" s="2" t="s">
        <v>320</v>
      </c>
      <c r="D981" s="2" t="s">
        <v>37</v>
      </c>
      <c r="E981" s="2" t="s">
        <v>69</v>
      </c>
      <c r="F981" s="2" t="s">
        <v>50</v>
      </c>
      <c r="G981" s="2" t="s">
        <v>99</v>
      </c>
      <c r="H981" s="2">
        <v>1</v>
      </c>
      <c r="I981" s="2">
        <v>11185.33</v>
      </c>
      <c r="J981" s="2">
        <v>15</v>
      </c>
      <c r="K981" s="2" t="s">
        <v>29</v>
      </c>
      <c r="L981" s="2" t="s">
        <v>52</v>
      </c>
    </row>
    <row r="982" spans="1:12" x14ac:dyDescent="0.2">
      <c r="A982" s="2">
        <v>100655</v>
      </c>
      <c r="B982" s="18">
        <v>45587</v>
      </c>
      <c r="C982" s="2" t="s">
        <v>797</v>
      </c>
      <c r="D982" s="2" t="s">
        <v>58</v>
      </c>
      <c r="E982" s="2" t="s">
        <v>38</v>
      </c>
      <c r="F982" s="2" t="s">
        <v>70</v>
      </c>
      <c r="G982" s="2" t="s">
        <v>153</v>
      </c>
      <c r="H982" s="2">
        <v>4</v>
      </c>
      <c r="I982" s="2">
        <v>19639.53</v>
      </c>
      <c r="J982" s="2">
        <v>0.25</v>
      </c>
      <c r="K982" s="2" t="s">
        <v>29</v>
      </c>
      <c r="L982" s="2" t="s">
        <v>42</v>
      </c>
    </row>
    <row r="983" spans="1:12" x14ac:dyDescent="0.2">
      <c r="A983" s="2">
        <v>101229</v>
      </c>
      <c r="B983" s="2" t="s">
        <v>798</v>
      </c>
      <c r="C983" s="2" t="s">
        <v>799</v>
      </c>
      <c r="D983" s="2" t="s">
        <v>89</v>
      </c>
      <c r="E983" s="2" t="s">
        <v>32</v>
      </c>
      <c r="F983" s="2" t="s">
        <v>102</v>
      </c>
      <c r="G983" s="2" t="s">
        <v>137</v>
      </c>
      <c r="H983" s="2">
        <v>12</v>
      </c>
      <c r="I983" s="2">
        <v>940.8</v>
      </c>
      <c r="J983" s="2">
        <v>0</v>
      </c>
      <c r="K983" s="2" t="s">
        <v>83</v>
      </c>
      <c r="L983" s="2" t="s">
        <v>42</v>
      </c>
    </row>
    <row r="984" spans="1:12" x14ac:dyDescent="0.2">
      <c r="A984" s="2">
        <v>100073</v>
      </c>
      <c r="B984" s="17">
        <v>45532</v>
      </c>
      <c r="C984" s="2" t="s">
        <v>240</v>
      </c>
      <c r="D984" s="2" t="s">
        <v>20</v>
      </c>
      <c r="E984" s="2" t="s">
        <v>133</v>
      </c>
      <c r="F984" s="2" t="s">
        <v>86</v>
      </c>
      <c r="G984" s="2" t="s">
        <v>46</v>
      </c>
      <c r="H984" s="2">
        <v>9</v>
      </c>
      <c r="I984" s="2">
        <v>26323.87</v>
      </c>
      <c r="J984" s="2">
        <v>0</v>
      </c>
      <c r="K984" s="2" t="s">
        <v>41</v>
      </c>
      <c r="L984" s="2" t="s">
        <v>18</v>
      </c>
    </row>
    <row r="985" spans="1:12" x14ac:dyDescent="0.2">
      <c r="A985" s="2">
        <v>100071</v>
      </c>
      <c r="B985" s="17">
        <v>45438</v>
      </c>
      <c r="C985" s="2" t="s">
        <v>775</v>
      </c>
      <c r="D985" s="2" t="s">
        <v>37</v>
      </c>
      <c r="E985" s="2" t="s">
        <v>69</v>
      </c>
      <c r="F985" s="2" t="s">
        <v>70</v>
      </c>
      <c r="G985" s="2" t="s">
        <v>97</v>
      </c>
      <c r="H985" s="2">
        <v>-1</v>
      </c>
      <c r="I985" s="2">
        <v>17767.32</v>
      </c>
      <c r="J985" s="2">
        <v>0.15</v>
      </c>
      <c r="K985" s="2" t="s">
        <v>66</v>
      </c>
      <c r="L985" s="2" t="s">
        <v>143</v>
      </c>
    </row>
    <row r="986" spans="1:12" x14ac:dyDescent="0.2">
      <c r="A986" s="2">
        <v>101349</v>
      </c>
      <c r="B986" s="18">
        <v>45357</v>
      </c>
      <c r="C986" s="2" t="s">
        <v>512</v>
      </c>
      <c r="D986" s="2" t="s">
        <v>20</v>
      </c>
      <c r="E986" s="2" t="s">
        <v>133</v>
      </c>
      <c r="F986" s="2" t="s">
        <v>155</v>
      </c>
      <c r="G986" s="2" t="s">
        <v>137</v>
      </c>
      <c r="H986" s="2">
        <v>1</v>
      </c>
      <c r="I986" s="2">
        <v>3005.94</v>
      </c>
      <c r="J986" s="2">
        <v>0.15</v>
      </c>
      <c r="K986" s="2" t="s">
        <v>29</v>
      </c>
      <c r="L986" s="2" t="s">
        <v>121</v>
      </c>
    </row>
    <row r="987" spans="1:12" x14ac:dyDescent="0.2">
      <c r="A987" s="2">
        <v>101099</v>
      </c>
      <c r="B987" s="17">
        <v>45440</v>
      </c>
      <c r="C987" s="2"/>
      <c r="D987" s="2" t="s">
        <v>58</v>
      </c>
      <c r="E987" s="2" t="s">
        <v>69</v>
      </c>
      <c r="F987" s="2" t="s">
        <v>80</v>
      </c>
      <c r="G987" s="2" t="s">
        <v>34</v>
      </c>
      <c r="H987" s="2">
        <v>3</v>
      </c>
      <c r="I987" s="2">
        <v>512.92999999999995</v>
      </c>
      <c r="J987" s="2">
        <v>25</v>
      </c>
      <c r="K987" s="2" t="s">
        <v>29</v>
      </c>
      <c r="L987" s="2" t="s">
        <v>42</v>
      </c>
    </row>
    <row r="988" spans="1:12" x14ac:dyDescent="0.2">
      <c r="A988" s="2">
        <v>100172</v>
      </c>
      <c r="B988" s="17">
        <v>45506</v>
      </c>
      <c r="C988" s="2" t="s">
        <v>409</v>
      </c>
      <c r="D988" s="2" t="s">
        <v>89</v>
      </c>
      <c r="E988" s="2" t="s">
        <v>54</v>
      </c>
      <c r="F988" s="2" t="s">
        <v>86</v>
      </c>
      <c r="G988" s="2" t="s">
        <v>71</v>
      </c>
      <c r="H988" s="2">
        <v>1</v>
      </c>
      <c r="I988" s="2">
        <v>32031.27</v>
      </c>
      <c r="J988" s="2">
        <v>0.1</v>
      </c>
      <c r="K988" s="2" t="s">
        <v>41</v>
      </c>
      <c r="L988" s="2" t="s">
        <v>35</v>
      </c>
    </row>
    <row r="989" spans="1:12" x14ac:dyDescent="0.2">
      <c r="A989" s="2">
        <v>101685</v>
      </c>
      <c r="B989" s="18">
        <v>45545</v>
      </c>
      <c r="C989" s="2" t="s">
        <v>201</v>
      </c>
      <c r="D989" s="2" t="s">
        <v>27</v>
      </c>
      <c r="E989" s="2" t="s">
        <v>133</v>
      </c>
      <c r="F989" s="2" t="s">
        <v>124</v>
      </c>
      <c r="G989" s="2" t="s">
        <v>51</v>
      </c>
      <c r="H989" s="2">
        <v>3</v>
      </c>
      <c r="I989" s="2">
        <v>5737.27</v>
      </c>
      <c r="J989" s="2">
        <v>0.1</v>
      </c>
      <c r="K989" s="2" t="s">
        <v>17</v>
      </c>
      <c r="L989" s="2" t="s">
        <v>35</v>
      </c>
    </row>
    <row r="990" spans="1:12" x14ac:dyDescent="0.2">
      <c r="A990" s="2">
        <v>100169</v>
      </c>
      <c r="B990" s="18">
        <v>45456</v>
      </c>
      <c r="C990" s="2" t="s">
        <v>800</v>
      </c>
      <c r="D990" s="2" t="s">
        <v>95</v>
      </c>
      <c r="E990" s="2" t="s">
        <v>21</v>
      </c>
      <c r="F990" s="2" t="s">
        <v>64</v>
      </c>
      <c r="G990" s="2" t="s">
        <v>242</v>
      </c>
      <c r="H990" s="2">
        <v>8</v>
      </c>
      <c r="I990" s="2">
        <v>572.30999999999995</v>
      </c>
      <c r="J990" s="2">
        <v>0.05</v>
      </c>
      <c r="K990" s="2" t="s">
        <v>17</v>
      </c>
      <c r="L990" s="2" t="s">
        <v>42</v>
      </c>
    </row>
    <row r="991" spans="1:12" x14ac:dyDescent="0.2">
      <c r="A991" s="2">
        <v>100494</v>
      </c>
      <c r="B991" s="17">
        <v>45448</v>
      </c>
      <c r="C991" s="2" t="s">
        <v>801</v>
      </c>
      <c r="D991" s="2" t="s">
        <v>92</v>
      </c>
      <c r="E991" s="2" t="s">
        <v>54</v>
      </c>
      <c r="F991" s="2" t="s">
        <v>102</v>
      </c>
      <c r="G991" s="2" t="s">
        <v>156</v>
      </c>
      <c r="H991" s="2">
        <v>1</v>
      </c>
      <c r="I991" s="2">
        <v>1714.58</v>
      </c>
      <c r="J991" s="2"/>
      <c r="K991" s="2" t="s">
        <v>83</v>
      </c>
      <c r="L991" s="2" t="s">
        <v>121</v>
      </c>
    </row>
    <row r="992" spans="1:12" x14ac:dyDescent="0.2">
      <c r="A992" s="2">
        <v>101654</v>
      </c>
      <c r="B992" s="18">
        <v>45460</v>
      </c>
      <c r="C992" s="2" t="s">
        <v>610</v>
      </c>
      <c r="D992" s="2" t="s">
        <v>140</v>
      </c>
      <c r="E992" s="2" t="s">
        <v>49</v>
      </c>
      <c r="F992" s="2" t="s">
        <v>86</v>
      </c>
      <c r="G992" s="2" t="s">
        <v>111</v>
      </c>
      <c r="H992" s="2">
        <v>5</v>
      </c>
      <c r="I992" s="2">
        <v>34753.47</v>
      </c>
      <c r="J992" s="2">
        <v>0</v>
      </c>
      <c r="K992" s="2" t="s">
        <v>83</v>
      </c>
      <c r="L992" s="2" t="s">
        <v>121</v>
      </c>
    </row>
    <row r="993" spans="1:12" x14ac:dyDescent="0.2">
      <c r="A993" s="2">
        <v>101121</v>
      </c>
      <c r="B993" s="18">
        <v>45547</v>
      </c>
      <c r="C993" s="2" t="s">
        <v>482</v>
      </c>
      <c r="D993" s="2" t="s">
        <v>44</v>
      </c>
      <c r="E993" s="2" t="s">
        <v>32</v>
      </c>
      <c r="F993" s="2" t="s">
        <v>70</v>
      </c>
      <c r="G993" s="2" t="s">
        <v>46</v>
      </c>
      <c r="H993" s="2">
        <v>8</v>
      </c>
      <c r="I993" s="2">
        <v>42286.98</v>
      </c>
      <c r="J993" s="2">
        <v>0</v>
      </c>
      <c r="K993" s="2" t="s">
        <v>17</v>
      </c>
      <c r="L993" s="2" t="s">
        <v>35</v>
      </c>
    </row>
    <row r="994" spans="1:12" x14ac:dyDescent="0.2">
      <c r="A994" s="2">
        <v>101616</v>
      </c>
      <c r="B994" s="18">
        <v>45526</v>
      </c>
      <c r="C994" s="2" t="s">
        <v>522</v>
      </c>
      <c r="D994" s="2" t="s">
        <v>131</v>
      </c>
      <c r="E994" s="2" t="s">
        <v>21</v>
      </c>
      <c r="F994" s="2" t="s">
        <v>74</v>
      </c>
      <c r="G994" s="2" t="s">
        <v>141</v>
      </c>
      <c r="H994" s="2">
        <v>11</v>
      </c>
      <c r="I994" s="2">
        <v>1051.43</v>
      </c>
      <c r="J994" s="2">
        <v>25</v>
      </c>
      <c r="K994" s="2" t="s">
        <v>24</v>
      </c>
      <c r="L994" s="2" t="s">
        <v>52</v>
      </c>
    </row>
    <row r="995" spans="1:12" x14ac:dyDescent="0.2">
      <c r="A995" s="2">
        <v>100894</v>
      </c>
      <c r="B995" s="18">
        <v>45405</v>
      </c>
      <c r="C995" s="2" t="s">
        <v>802</v>
      </c>
      <c r="D995" s="2" t="s">
        <v>95</v>
      </c>
      <c r="E995" s="2" t="s">
        <v>21</v>
      </c>
      <c r="F995" s="2" t="s">
        <v>15</v>
      </c>
      <c r="G995" s="2" t="s">
        <v>116</v>
      </c>
      <c r="H995" s="2"/>
      <c r="I995" s="2">
        <v>7217.31</v>
      </c>
      <c r="J995" s="2">
        <v>0.15</v>
      </c>
      <c r="K995" s="2" t="s">
        <v>66</v>
      </c>
      <c r="L995" s="2" t="s">
        <v>18</v>
      </c>
    </row>
    <row r="996" spans="1:12" x14ac:dyDescent="0.2">
      <c r="A996" s="2">
        <v>100273</v>
      </c>
      <c r="B996" s="17">
        <v>45351</v>
      </c>
      <c r="C996" s="2" t="s">
        <v>578</v>
      </c>
      <c r="D996" s="2" t="s">
        <v>73</v>
      </c>
      <c r="E996" s="2" t="s">
        <v>79</v>
      </c>
      <c r="F996" s="2" t="s">
        <v>55</v>
      </c>
      <c r="G996" s="2" t="s">
        <v>62</v>
      </c>
      <c r="H996" s="2">
        <v>11</v>
      </c>
      <c r="I996" s="2">
        <v>9451.08</v>
      </c>
      <c r="J996" s="2">
        <v>15</v>
      </c>
      <c r="K996" s="2" t="s">
        <v>29</v>
      </c>
      <c r="L996" s="2" t="s">
        <v>42</v>
      </c>
    </row>
    <row r="997" spans="1:12" x14ac:dyDescent="0.2">
      <c r="A997" s="2">
        <v>101310</v>
      </c>
      <c r="B997" s="2" t="s">
        <v>750</v>
      </c>
      <c r="C997" s="2" t="s">
        <v>331</v>
      </c>
      <c r="D997" s="2" t="s">
        <v>58</v>
      </c>
      <c r="E997" s="2" t="s">
        <v>38</v>
      </c>
      <c r="F997" s="2" t="s">
        <v>22</v>
      </c>
      <c r="G997" s="2" t="s">
        <v>75</v>
      </c>
      <c r="H997" s="2">
        <v>8</v>
      </c>
      <c r="I997" s="2">
        <v>715.46</v>
      </c>
      <c r="J997" s="2">
        <v>0.25</v>
      </c>
      <c r="K997" s="2" t="s">
        <v>66</v>
      </c>
      <c r="L997" s="2" t="s">
        <v>18</v>
      </c>
    </row>
    <row r="998" spans="1:12" x14ac:dyDescent="0.2">
      <c r="A998" s="2">
        <v>100421</v>
      </c>
      <c r="B998" s="18">
        <v>45355</v>
      </c>
      <c r="C998" s="2" t="s">
        <v>105</v>
      </c>
      <c r="D998" s="2" t="s">
        <v>48</v>
      </c>
      <c r="E998" s="2" t="s">
        <v>49</v>
      </c>
      <c r="F998" s="2" t="s">
        <v>223</v>
      </c>
      <c r="G998" s="2" t="s">
        <v>207</v>
      </c>
      <c r="H998" s="2">
        <v>2</v>
      </c>
      <c r="I998" s="2">
        <v>1334.49</v>
      </c>
      <c r="J998" s="2"/>
      <c r="K998" s="2" t="s">
        <v>29</v>
      </c>
      <c r="L998" s="2" t="s">
        <v>143</v>
      </c>
    </row>
    <row r="999" spans="1:12" x14ac:dyDescent="0.2">
      <c r="A999" s="2">
        <v>100095</v>
      </c>
      <c r="B999" s="17">
        <v>45499</v>
      </c>
      <c r="C999" s="2" t="s">
        <v>803</v>
      </c>
      <c r="D999" s="2" t="s">
        <v>175</v>
      </c>
      <c r="E999" s="2" t="s">
        <v>38</v>
      </c>
      <c r="F999" s="2" t="s">
        <v>22</v>
      </c>
      <c r="G999" s="2" t="s">
        <v>75</v>
      </c>
      <c r="H999" s="2">
        <v>6</v>
      </c>
      <c r="I999" s="2"/>
      <c r="J999" s="2">
        <v>5</v>
      </c>
      <c r="K999" s="2" t="s">
        <v>17</v>
      </c>
      <c r="L999" s="2" t="s">
        <v>121</v>
      </c>
    </row>
    <row r="1000" spans="1:12" x14ac:dyDescent="0.2">
      <c r="A1000" s="2">
        <v>101383</v>
      </c>
      <c r="B1000" s="17">
        <v>45421</v>
      </c>
      <c r="C1000" s="2" t="s">
        <v>179</v>
      </c>
      <c r="D1000" s="2" t="s">
        <v>61</v>
      </c>
      <c r="E1000" s="2" t="s">
        <v>14</v>
      </c>
      <c r="F1000" s="2" t="s">
        <v>96</v>
      </c>
      <c r="G1000" s="2" t="s">
        <v>71</v>
      </c>
      <c r="H1000" s="2">
        <v>1</v>
      </c>
      <c r="I1000" s="2" t="s">
        <v>804</v>
      </c>
      <c r="J1000" s="2"/>
      <c r="K1000" s="2" t="s">
        <v>66</v>
      </c>
      <c r="L1000" s="2" t="s">
        <v>42</v>
      </c>
    </row>
    <row r="1001" spans="1:12" x14ac:dyDescent="0.2">
      <c r="A1001" s="2">
        <v>101602</v>
      </c>
      <c r="B1001" s="18">
        <v>45532</v>
      </c>
      <c r="C1001" s="2" t="s">
        <v>805</v>
      </c>
      <c r="D1001" s="2" t="s">
        <v>175</v>
      </c>
      <c r="E1001" s="2" t="s">
        <v>69</v>
      </c>
      <c r="F1001" s="2" t="s">
        <v>106</v>
      </c>
      <c r="G1001" s="2" t="s">
        <v>135</v>
      </c>
      <c r="H1001" s="2"/>
      <c r="I1001" s="2">
        <v>2368.34</v>
      </c>
      <c r="J1001" s="2">
        <v>0.1</v>
      </c>
      <c r="K1001" s="2" t="s">
        <v>29</v>
      </c>
      <c r="L1001" s="2" t="s">
        <v>121</v>
      </c>
    </row>
    <row r="1002" spans="1:12" x14ac:dyDescent="0.2">
      <c r="A1002" s="2">
        <v>101716</v>
      </c>
      <c r="B1002" s="18">
        <v>45470</v>
      </c>
      <c r="C1002" s="2" t="s">
        <v>806</v>
      </c>
      <c r="D1002" s="2" t="s">
        <v>37</v>
      </c>
      <c r="E1002" s="2" t="s">
        <v>38</v>
      </c>
      <c r="F1002" s="2" t="s">
        <v>96</v>
      </c>
      <c r="G1002" s="2" t="s">
        <v>71</v>
      </c>
      <c r="H1002" s="2">
        <v>7</v>
      </c>
      <c r="I1002" s="2">
        <v>3479.32</v>
      </c>
      <c r="J1002" s="2">
        <v>0</v>
      </c>
      <c r="K1002" s="2" t="s">
        <v>24</v>
      </c>
      <c r="L1002" s="2" t="s">
        <v>18</v>
      </c>
    </row>
    <row r="1003" spans="1:12" x14ac:dyDescent="0.2">
      <c r="A1003" s="2">
        <v>100043</v>
      </c>
      <c r="B1003" s="17">
        <v>45303</v>
      </c>
      <c r="C1003" s="2" t="s">
        <v>243</v>
      </c>
      <c r="D1003" s="2" t="s">
        <v>31</v>
      </c>
      <c r="E1003" s="2" t="s">
        <v>32</v>
      </c>
      <c r="F1003" s="2" t="s">
        <v>102</v>
      </c>
      <c r="G1003" s="2" t="s">
        <v>135</v>
      </c>
      <c r="H1003" s="2"/>
      <c r="I1003" s="2">
        <v>3978.8</v>
      </c>
      <c r="J1003" s="2">
        <v>0</v>
      </c>
      <c r="K1003" s="2" t="s">
        <v>66</v>
      </c>
      <c r="L1003" s="2" t="s">
        <v>25</v>
      </c>
    </row>
    <row r="1004" spans="1:12" x14ac:dyDescent="0.2">
      <c r="A1004" s="2">
        <v>100057</v>
      </c>
      <c r="B1004" s="2" t="s">
        <v>807</v>
      </c>
      <c r="C1004" s="2" t="s">
        <v>808</v>
      </c>
      <c r="D1004" s="2" t="s">
        <v>129</v>
      </c>
      <c r="E1004" s="2" t="s">
        <v>49</v>
      </c>
      <c r="F1004" s="2" t="s">
        <v>22</v>
      </c>
      <c r="G1004" s="2" t="s">
        <v>145</v>
      </c>
      <c r="H1004" s="2">
        <v>2</v>
      </c>
      <c r="I1004" s="2">
        <v>1972.98</v>
      </c>
      <c r="J1004" s="2">
        <v>0</v>
      </c>
      <c r="K1004" s="2" t="s">
        <v>66</v>
      </c>
      <c r="L1004" s="2" t="s">
        <v>143</v>
      </c>
    </row>
    <row r="1005" spans="1:12" x14ac:dyDescent="0.2">
      <c r="A1005" s="2">
        <v>101619</v>
      </c>
      <c r="B1005" s="17">
        <v>45616</v>
      </c>
      <c r="C1005" s="2" t="s">
        <v>809</v>
      </c>
      <c r="D1005" s="2" t="s">
        <v>44</v>
      </c>
      <c r="E1005" s="2" t="s">
        <v>32</v>
      </c>
      <c r="F1005" s="2" t="s">
        <v>64</v>
      </c>
      <c r="G1005" s="2" t="s">
        <v>165</v>
      </c>
      <c r="H1005" s="2"/>
      <c r="I1005" s="2">
        <v>163.44</v>
      </c>
      <c r="J1005" s="2">
        <v>0</v>
      </c>
      <c r="K1005" s="2" t="s">
        <v>41</v>
      </c>
      <c r="L1005" s="2" t="s">
        <v>18</v>
      </c>
    </row>
    <row r="1006" spans="1:12" x14ac:dyDescent="0.2">
      <c r="A1006" s="2">
        <v>101125</v>
      </c>
      <c r="B1006" s="18">
        <v>45357</v>
      </c>
      <c r="C1006" s="2" t="s">
        <v>810</v>
      </c>
      <c r="D1006" s="2" t="s">
        <v>20</v>
      </c>
      <c r="E1006" s="2" t="s">
        <v>133</v>
      </c>
      <c r="F1006" s="2" t="s">
        <v>80</v>
      </c>
      <c r="G1006" s="2" t="s">
        <v>93</v>
      </c>
      <c r="H1006" s="2">
        <v>10</v>
      </c>
      <c r="I1006" s="2" t="s">
        <v>811</v>
      </c>
      <c r="J1006" s="2">
        <v>0.25</v>
      </c>
      <c r="K1006" s="2" t="s">
        <v>29</v>
      </c>
      <c r="L1006" s="2" t="s">
        <v>42</v>
      </c>
    </row>
    <row r="1007" spans="1:12" x14ac:dyDescent="0.2">
      <c r="A1007" s="2">
        <v>101189</v>
      </c>
      <c r="B1007" s="2" t="s">
        <v>812</v>
      </c>
      <c r="C1007" s="2" t="s">
        <v>481</v>
      </c>
      <c r="D1007" s="2" t="s">
        <v>101</v>
      </c>
      <c r="E1007" s="2" t="s">
        <v>38</v>
      </c>
      <c r="F1007" s="2" t="s">
        <v>86</v>
      </c>
      <c r="G1007" s="2" t="s">
        <v>149</v>
      </c>
      <c r="H1007" s="2">
        <v>7</v>
      </c>
      <c r="I1007" s="2" t="s">
        <v>813</v>
      </c>
      <c r="J1007" s="2">
        <v>0</v>
      </c>
      <c r="K1007" s="2" t="s">
        <v>24</v>
      </c>
      <c r="L1007" s="2" t="s">
        <v>52</v>
      </c>
    </row>
    <row r="1008" spans="1:12" x14ac:dyDescent="0.2">
      <c r="A1008" s="2">
        <v>101303</v>
      </c>
      <c r="B1008" s="18">
        <v>45536</v>
      </c>
      <c r="C1008" s="2" t="s">
        <v>814</v>
      </c>
      <c r="D1008" s="2" t="s">
        <v>13</v>
      </c>
      <c r="E1008" s="2" t="s">
        <v>119</v>
      </c>
      <c r="F1008" s="2" t="s">
        <v>80</v>
      </c>
      <c r="G1008" s="2" t="s">
        <v>93</v>
      </c>
      <c r="H1008" s="2">
        <v>3</v>
      </c>
      <c r="I1008" s="2">
        <v>223.9</v>
      </c>
      <c r="J1008" s="2">
        <v>0.05</v>
      </c>
      <c r="K1008" s="2" t="s">
        <v>66</v>
      </c>
      <c r="L1008" s="2" t="s">
        <v>143</v>
      </c>
    </row>
    <row r="1009" spans="1:12" x14ac:dyDescent="0.2">
      <c r="A1009" s="2">
        <v>100889</v>
      </c>
      <c r="B1009" s="17">
        <v>45550</v>
      </c>
      <c r="C1009" s="2" t="s">
        <v>311</v>
      </c>
      <c r="D1009" s="2" t="s">
        <v>95</v>
      </c>
      <c r="E1009" s="2" t="s">
        <v>21</v>
      </c>
      <c r="F1009" s="2" t="s">
        <v>86</v>
      </c>
      <c r="G1009" s="2" t="s">
        <v>111</v>
      </c>
      <c r="H1009" s="2">
        <v>5</v>
      </c>
      <c r="I1009" s="2">
        <v>25380.75</v>
      </c>
      <c r="J1009" s="2">
        <v>0.1</v>
      </c>
      <c r="K1009" s="2" t="s">
        <v>29</v>
      </c>
      <c r="L1009" s="2" t="s">
        <v>35</v>
      </c>
    </row>
    <row r="1010" spans="1:12" x14ac:dyDescent="0.2">
      <c r="A1010" s="2">
        <v>100575</v>
      </c>
      <c r="B1010" s="18">
        <v>45505</v>
      </c>
      <c r="C1010" s="2" t="s">
        <v>815</v>
      </c>
      <c r="D1010" s="2" t="s">
        <v>61</v>
      </c>
      <c r="E1010" s="2" t="s">
        <v>14</v>
      </c>
      <c r="F1010" s="2" t="s">
        <v>124</v>
      </c>
      <c r="G1010" s="2" t="s">
        <v>56</v>
      </c>
      <c r="H1010" s="2">
        <v>1</v>
      </c>
      <c r="I1010" s="2"/>
      <c r="J1010" s="2"/>
      <c r="K1010" s="2" t="s">
        <v>29</v>
      </c>
      <c r="L1010" s="2" t="s">
        <v>143</v>
      </c>
    </row>
    <row r="1011" spans="1:12" x14ac:dyDescent="0.2">
      <c r="A1011" s="2">
        <v>100039</v>
      </c>
      <c r="B1011" s="17">
        <v>45555</v>
      </c>
      <c r="C1011" s="2" t="s">
        <v>816</v>
      </c>
      <c r="D1011" s="2" t="s">
        <v>20</v>
      </c>
      <c r="E1011" s="2" t="s">
        <v>133</v>
      </c>
      <c r="F1011" s="2" t="s">
        <v>80</v>
      </c>
      <c r="G1011" s="2" t="s">
        <v>81</v>
      </c>
      <c r="H1011" s="2">
        <v>1</v>
      </c>
      <c r="I1011" s="2">
        <v>407.67</v>
      </c>
      <c r="J1011" s="2">
        <v>15</v>
      </c>
      <c r="K1011" s="2" t="s">
        <v>66</v>
      </c>
      <c r="L1011" s="2" t="s">
        <v>18</v>
      </c>
    </row>
    <row r="1012" spans="1:12" x14ac:dyDescent="0.2">
      <c r="A1012" s="2">
        <v>100307</v>
      </c>
      <c r="B1012" s="17">
        <v>45294</v>
      </c>
      <c r="C1012" s="2" t="s">
        <v>817</v>
      </c>
      <c r="D1012" s="2" t="s">
        <v>89</v>
      </c>
      <c r="E1012" s="2" t="s">
        <v>32</v>
      </c>
      <c r="F1012" s="2" t="s">
        <v>96</v>
      </c>
      <c r="G1012" s="2" t="s">
        <v>149</v>
      </c>
      <c r="H1012" s="2">
        <v>8</v>
      </c>
      <c r="I1012" s="2">
        <v>22359.040000000001</v>
      </c>
      <c r="J1012" s="2">
        <v>15</v>
      </c>
      <c r="K1012" s="2" t="s">
        <v>17</v>
      </c>
      <c r="L1012" s="2" t="s">
        <v>121</v>
      </c>
    </row>
    <row r="1013" spans="1:12" x14ac:dyDescent="0.2">
      <c r="A1013" s="2">
        <v>100669</v>
      </c>
      <c r="B1013" s="17">
        <v>45410</v>
      </c>
      <c r="C1013" s="2" t="s">
        <v>105</v>
      </c>
      <c r="D1013" s="2" t="s">
        <v>92</v>
      </c>
      <c r="E1013" s="2" t="s">
        <v>54</v>
      </c>
      <c r="F1013" s="2" t="s">
        <v>86</v>
      </c>
      <c r="G1013" s="2" t="s">
        <v>46</v>
      </c>
      <c r="H1013" s="2">
        <v>11</v>
      </c>
      <c r="I1013" s="2"/>
      <c r="J1013" s="2">
        <v>0.2</v>
      </c>
      <c r="K1013" s="2" t="s">
        <v>24</v>
      </c>
      <c r="L1013" s="2" t="s">
        <v>121</v>
      </c>
    </row>
    <row r="1014" spans="1:12" x14ac:dyDescent="0.2">
      <c r="A1014" s="2">
        <v>100007</v>
      </c>
      <c r="B1014" s="17">
        <v>45542</v>
      </c>
      <c r="C1014" s="2" t="s">
        <v>250</v>
      </c>
      <c r="D1014" s="2" t="s">
        <v>13</v>
      </c>
      <c r="E1014" s="2" t="s">
        <v>119</v>
      </c>
      <c r="F1014" s="2" t="s">
        <v>223</v>
      </c>
      <c r="G1014" s="2" t="s">
        <v>51</v>
      </c>
      <c r="H1014" s="2">
        <v>9</v>
      </c>
      <c r="I1014" s="2">
        <v>7659.57</v>
      </c>
      <c r="J1014" s="2">
        <v>0</v>
      </c>
      <c r="K1014" s="2" t="s">
        <v>83</v>
      </c>
      <c r="L1014" s="2" t="s">
        <v>42</v>
      </c>
    </row>
    <row r="1015" spans="1:12" x14ac:dyDescent="0.2">
      <c r="A1015" s="2">
        <v>101076</v>
      </c>
      <c r="B1015" s="17">
        <v>45639</v>
      </c>
      <c r="C1015" s="2" t="s">
        <v>390</v>
      </c>
      <c r="D1015" s="2" t="s">
        <v>37</v>
      </c>
      <c r="E1015" s="2" t="s">
        <v>38</v>
      </c>
      <c r="F1015" s="2" t="s">
        <v>55</v>
      </c>
      <c r="G1015" s="2" t="s">
        <v>62</v>
      </c>
      <c r="H1015" s="2">
        <v>8</v>
      </c>
      <c r="I1015" s="2">
        <v>1372.54</v>
      </c>
      <c r="J1015" s="2"/>
      <c r="K1015" s="2" t="s">
        <v>29</v>
      </c>
      <c r="L1015" s="2" t="s">
        <v>52</v>
      </c>
    </row>
    <row r="1016" spans="1:12" x14ac:dyDescent="0.2">
      <c r="A1016" s="2">
        <v>100783</v>
      </c>
      <c r="B1016" s="17">
        <v>45550</v>
      </c>
      <c r="C1016" s="2" t="s">
        <v>818</v>
      </c>
      <c r="D1016" s="2" t="s">
        <v>20</v>
      </c>
      <c r="E1016" s="2" t="s">
        <v>133</v>
      </c>
      <c r="F1016" s="2" t="s">
        <v>28</v>
      </c>
      <c r="G1016" s="2" t="s">
        <v>205</v>
      </c>
      <c r="H1016" s="2">
        <v>4</v>
      </c>
      <c r="I1016" s="2">
        <v>11283.98</v>
      </c>
      <c r="J1016" s="2">
        <v>15</v>
      </c>
      <c r="K1016" s="2" t="s">
        <v>29</v>
      </c>
      <c r="L1016" s="2" t="s">
        <v>35</v>
      </c>
    </row>
    <row r="1017" spans="1:12" x14ac:dyDescent="0.2">
      <c r="A1017" s="2">
        <v>100409</v>
      </c>
      <c r="B1017" s="17">
        <v>45456</v>
      </c>
      <c r="C1017" s="2" t="s">
        <v>819</v>
      </c>
      <c r="D1017" s="2" t="s">
        <v>48</v>
      </c>
      <c r="E1017" s="2" t="s">
        <v>79</v>
      </c>
      <c r="F1017" s="2" t="s">
        <v>223</v>
      </c>
      <c r="G1017" s="2" t="s">
        <v>56</v>
      </c>
      <c r="H1017" s="2">
        <v>8</v>
      </c>
      <c r="I1017" s="2">
        <v>4989.57</v>
      </c>
      <c r="J1017" s="2">
        <v>0</v>
      </c>
      <c r="K1017" s="2" t="s">
        <v>29</v>
      </c>
      <c r="L1017" s="2" t="s">
        <v>18</v>
      </c>
    </row>
    <row r="1018" spans="1:12" x14ac:dyDescent="0.2">
      <c r="A1018" s="2">
        <v>101905</v>
      </c>
      <c r="B1018" s="18">
        <v>45361</v>
      </c>
      <c r="C1018" s="2" t="s">
        <v>820</v>
      </c>
      <c r="D1018" s="2" t="s">
        <v>20</v>
      </c>
      <c r="E1018" s="2" t="s">
        <v>21</v>
      </c>
      <c r="F1018" s="2" t="s">
        <v>64</v>
      </c>
      <c r="G1018" s="2" t="s">
        <v>114</v>
      </c>
      <c r="H1018" s="2">
        <v>8</v>
      </c>
      <c r="I1018" s="2">
        <v>101.29</v>
      </c>
      <c r="J1018" s="2"/>
      <c r="K1018" s="2" t="s">
        <v>66</v>
      </c>
      <c r="L1018" s="2" t="s">
        <v>35</v>
      </c>
    </row>
    <row r="1019" spans="1:12" x14ac:dyDescent="0.2">
      <c r="A1019" s="2">
        <v>100782</v>
      </c>
      <c r="B1019" s="18">
        <v>45376</v>
      </c>
      <c r="C1019" s="2" t="s">
        <v>405</v>
      </c>
      <c r="D1019" s="2" t="s">
        <v>95</v>
      </c>
      <c r="E1019" s="2" t="s">
        <v>21</v>
      </c>
      <c r="F1019" s="2" t="s">
        <v>80</v>
      </c>
      <c r="G1019" s="2" t="s">
        <v>93</v>
      </c>
      <c r="H1019" s="2">
        <v>9</v>
      </c>
      <c r="I1019" s="2">
        <v>503.28</v>
      </c>
      <c r="J1019" s="2">
        <v>0</v>
      </c>
      <c r="K1019" s="2" t="s">
        <v>29</v>
      </c>
      <c r="L1019" s="2" t="s">
        <v>35</v>
      </c>
    </row>
    <row r="1020" spans="1:12" x14ac:dyDescent="0.2">
      <c r="A1020" s="2">
        <v>100167</v>
      </c>
      <c r="B1020" s="18">
        <v>45589</v>
      </c>
      <c r="C1020" s="2" t="s">
        <v>243</v>
      </c>
      <c r="D1020" s="2" t="s">
        <v>73</v>
      </c>
      <c r="E1020" s="2" t="s">
        <v>49</v>
      </c>
      <c r="F1020" s="2" t="s">
        <v>28</v>
      </c>
      <c r="G1020" s="2" t="s">
        <v>59</v>
      </c>
      <c r="H1020" s="2">
        <v>10</v>
      </c>
      <c r="I1020" s="2">
        <v>11670.87</v>
      </c>
      <c r="J1020" s="2">
        <v>25</v>
      </c>
      <c r="K1020" s="2" t="s">
        <v>29</v>
      </c>
      <c r="L1020" s="2" t="s">
        <v>25</v>
      </c>
    </row>
    <row r="1021" spans="1:12" x14ac:dyDescent="0.2">
      <c r="A1021" s="2">
        <v>100535</v>
      </c>
      <c r="B1021" s="17">
        <v>45302</v>
      </c>
      <c r="C1021" s="2" t="s">
        <v>405</v>
      </c>
      <c r="D1021" s="2" t="s">
        <v>58</v>
      </c>
      <c r="E1021" s="2" t="s">
        <v>69</v>
      </c>
      <c r="F1021" s="2" t="s">
        <v>28</v>
      </c>
      <c r="G1021" s="2" t="s">
        <v>205</v>
      </c>
      <c r="H1021" s="2">
        <v>10</v>
      </c>
      <c r="I1021" s="2">
        <v>14328.3</v>
      </c>
      <c r="J1021" s="2">
        <v>0</v>
      </c>
      <c r="K1021" s="2" t="s">
        <v>66</v>
      </c>
      <c r="L1021" s="2" t="s">
        <v>87</v>
      </c>
    </row>
    <row r="1022" spans="1:12" x14ac:dyDescent="0.2">
      <c r="A1022" s="2">
        <v>100584</v>
      </c>
      <c r="B1022" s="18">
        <v>45549</v>
      </c>
      <c r="C1022" s="2" t="s">
        <v>697</v>
      </c>
      <c r="D1022" s="2" t="s">
        <v>129</v>
      </c>
      <c r="E1022" s="2" t="s">
        <v>49</v>
      </c>
      <c r="F1022" s="2" t="s">
        <v>155</v>
      </c>
      <c r="G1022" s="2" t="s">
        <v>103</v>
      </c>
      <c r="H1022" s="2">
        <v>5</v>
      </c>
      <c r="I1022" s="2">
        <v>3024.51</v>
      </c>
      <c r="J1022" s="2">
        <v>0.05</v>
      </c>
      <c r="K1022" s="2" t="s">
        <v>17</v>
      </c>
      <c r="L1022" s="2" t="s">
        <v>35</v>
      </c>
    </row>
    <row r="1023" spans="1:12" x14ac:dyDescent="0.2">
      <c r="A1023" s="2">
        <v>101567</v>
      </c>
      <c r="B1023" s="17">
        <v>45459</v>
      </c>
      <c r="C1023" s="2" t="s">
        <v>821</v>
      </c>
      <c r="D1023" s="2" t="s">
        <v>61</v>
      </c>
      <c r="E1023" s="2" t="s">
        <v>14</v>
      </c>
      <c r="F1023" s="2" t="s">
        <v>22</v>
      </c>
      <c r="G1023" s="2" t="s">
        <v>232</v>
      </c>
      <c r="H1023" s="2">
        <v>2</v>
      </c>
      <c r="I1023" s="2">
        <v>2516.11</v>
      </c>
      <c r="J1023" s="2">
        <v>15</v>
      </c>
      <c r="K1023" s="2" t="s">
        <v>66</v>
      </c>
      <c r="L1023" s="2" t="s">
        <v>121</v>
      </c>
    </row>
    <row r="1024" spans="1:12" x14ac:dyDescent="0.2">
      <c r="A1024" s="2">
        <v>101930</v>
      </c>
      <c r="B1024" s="2" t="s">
        <v>798</v>
      </c>
      <c r="C1024" s="2" t="s">
        <v>822</v>
      </c>
      <c r="D1024" s="2" t="s">
        <v>85</v>
      </c>
      <c r="E1024" s="2" t="s">
        <v>119</v>
      </c>
      <c r="F1024" s="2" t="s">
        <v>106</v>
      </c>
      <c r="G1024" s="2" t="s">
        <v>156</v>
      </c>
      <c r="H1024" s="2">
        <v>7</v>
      </c>
      <c r="I1024" s="2">
        <v>1338.67</v>
      </c>
      <c r="J1024" s="2">
        <v>0</v>
      </c>
      <c r="K1024" s="2" t="s">
        <v>41</v>
      </c>
      <c r="L1024" s="2" t="s">
        <v>25</v>
      </c>
    </row>
    <row r="1025" spans="1:12" x14ac:dyDescent="0.2">
      <c r="A1025" s="2">
        <v>101444</v>
      </c>
      <c r="B1025" s="17">
        <v>45525</v>
      </c>
      <c r="C1025" s="2" t="s">
        <v>667</v>
      </c>
      <c r="D1025" s="2" t="s">
        <v>13</v>
      </c>
      <c r="E1025" s="2" t="s">
        <v>119</v>
      </c>
      <c r="F1025" s="2" t="s">
        <v>223</v>
      </c>
      <c r="G1025" s="2" t="s">
        <v>62</v>
      </c>
      <c r="H1025" s="2">
        <v>5</v>
      </c>
      <c r="I1025" s="2">
        <v>11686.35</v>
      </c>
      <c r="J1025" s="2">
        <v>10</v>
      </c>
      <c r="K1025" s="2" t="s">
        <v>17</v>
      </c>
      <c r="L1025" s="2" t="s">
        <v>87</v>
      </c>
    </row>
    <row r="1026" spans="1:12" x14ac:dyDescent="0.2">
      <c r="A1026" s="2">
        <v>101353</v>
      </c>
      <c r="B1026" s="17">
        <v>45652</v>
      </c>
      <c r="C1026" s="2" t="s">
        <v>229</v>
      </c>
      <c r="D1026" s="2" t="s">
        <v>92</v>
      </c>
      <c r="E1026" s="2" t="s">
        <v>54</v>
      </c>
      <c r="F1026" s="2" t="s">
        <v>39</v>
      </c>
      <c r="G1026" s="2" t="s">
        <v>242</v>
      </c>
      <c r="H1026" s="2">
        <v>12</v>
      </c>
      <c r="I1026" s="2" t="s">
        <v>823</v>
      </c>
      <c r="J1026" s="2">
        <v>0</v>
      </c>
      <c r="K1026" s="2" t="s">
        <v>29</v>
      </c>
      <c r="L1026" s="2" t="s">
        <v>52</v>
      </c>
    </row>
    <row r="1027" spans="1:12" x14ac:dyDescent="0.2">
      <c r="A1027" s="2">
        <v>101128</v>
      </c>
      <c r="B1027" s="18">
        <v>45432</v>
      </c>
      <c r="C1027" s="2" t="s">
        <v>442</v>
      </c>
      <c r="D1027" s="2" t="s">
        <v>92</v>
      </c>
      <c r="E1027" s="2" t="s">
        <v>54</v>
      </c>
      <c r="F1027" s="2" t="s">
        <v>113</v>
      </c>
      <c r="G1027" s="2" t="s">
        <v>292</v>
      </c>
      <c r="H1027" s="2">
        <v>10</v>
      </c>
      <c r="I1027" s="2">
        <v>679.31</v>
      </c>
      <c r="J1027" s="2">
        <v>10</v>
      </c>
      <c r="K1027" s="2" t="s">
        <v>83</v>
      </c>
      <c r="L1027" s="2" t="s">
        <v>87</v>
      </c>
    </row>
    <row r="1028" spans="1:12" x14ac:dyDescent="0.2">
      <c r="A1028" s="2">
        <v>101090</v>
      </c>
      <c r="B1028" s="18">
        <v>45406</v>
      </c>
      <c r="C1028" s="2" t="s">
        <v>432</v>
      </c>
      <c r="D1028" s="2" t="s">
        <v>175</v>
      </c>
      <c r="E1028" s="2" t="s">
        <v>38</v>
      </c>
      <c r="F1028" s="2" t="s">
        <v>55</v>
      </c>
      <c r="G1028" s="2" t="s">
        <v>62</v>
      </c>
      <c r="H1028" s="2">
        <v>5</v>
      </c>
      <c r="I1028" s="2">
        <v>5074.29</v>
      </c>
      <c r="J1028" s="2">
        <v>0.05</v>
      </c>
      <c r="K1028" s="2" t="s">
        <v>17</v>
      </c>
      <c r="L1028" s="2" t="s">
        <v>121</v>
      </c>
    </row>
    <row r="1029" spans="1:12" x14ac:dyDescent="0.2">
      <c r="A1029" s="2">
        <v>100814</v>
      </c>
      <c r="B1029" s="17">
        <v>45544</v>
      </c>
      <c r="C1029" s="2" t="s">
        <v>358</v>
      </c>
      <c r="D1029" s="2" t="s">
        <v>175</v>
      </c>
      <c r="E1029" s="2" t="s">
        <v>38</v>
      </c>
      <c r="F1029" s="2" t="s">
        <v>120</v>
      </c>
      <c r="G1029" s="2" t="s">
        <v>145</v>
      </c>
      <c r="H1029" s="2">
        <v>10</v>
      </c>
      <c r="I1029" s="2">
        <v>1955.69</v>
      </c>
      <c r="J1029" s="2">
        <v>0.2</v>
      </c>
      <c r="K1029" s="2" t="s">
        <v>29</v>
      </c>
      <c r="L1029" s="2" t="s">
        <v>87</v>
      </c>
    </row>
    <row r="1030" spans="1:12" x14ac:dyDescent="0.2">
      <c r="A1030" s="2">
        <v>100317</v>
      </c>
      <c r="B1030" s="18">
        <v>45350</v>
      </c>
      <c r="C1030" s="2" t="s">
        <v>642</v>
      </c>
      <c r="D1030" s="2" t="s">
        <v>31</v>
      </c>
      <c r="E1030" s="2" t="s">
        <v>54</v>
      </c>
      <c r="F1030" s="2" t="s">
        <v>74</v>
      </c>
      <c r="G1030" s="2" t="s">
        <v>75</v>
      </c>
      <c r="H1030" s="2">
        <v>11</v>
      </c>
      <c r="I1030" s="2">
        <v>1488.93</v>
      </c>
      <c r="J1030" s="2">
        <v>0</v>
      </c>
      <c r="K1030" s="2" t="s">
        <v>29</v>
      </c>
      <c r="L1030" s="2" t="s">
        <v>25</v>
      </c>
    </row>
    <row r="1031" spans="1:12" x14ac:dyDescent="0.2">
      <c r="A1031" s="2">
        <v>101302</v>
      </c>
      <c r="B1031" s="17">
        <v>45478</v>
      </c>
      <c r="C1031" s="2" t="s">
        <v>284</v>
      </c>
      <c r="D1031" s="2" t="s">
        <v>61</v>
      </c>
      <c r="E1031" s="2" t="s">
        <v>119</v>
      </c>
      <c r="F1031" s="2" t="s">
        <v>102</v>
      </c>
      <c r="G1031" s="2" t="s">
        <v>156</v>
      </c>
      <c r="H1031" s="2">
        <v>8</v>
      </c>
      <c r="I1031" s="2">
        <v>3342.39</v>
      </c>
      <c r="J1031" s="2">
        <v>0</v>
      </c>
      <c r="K1031" s="2" t="s">
        <v>83</v>
      </c>
      <c r="L1031" s="2" t="s">
        <v>42</v>
      </c>
    </row>
    <row r="1032" spans="1:12" x14ac:dyDescent="0.2">
      <c r="A1032" s="2">
        <v>101748</v>
      </c>
      <c r="B1032" s="18">
        <v>45406</v>
      </c>
      <c r="C1032" s="2"/>
      <c r="D1032" s="2" t="s">
        <v>85</v>
      </c>
      <c r="E1032" s="2" t="s">
        <v>14</v>
      </c>
      <c r="F1032" s="2" t="s">
        <v>22</v>
      </c>
      <c r="G1032" s="2" t="s">
        <v>232</v>
      </c>
      <c r="H1032" s="2">
        <v>10</v>
      </c>
      <c r="I1032" s="2">
        <v>2838.27</v>
      </c>
      <c r="J1032" s="2">
        <v>0</v>
      </c>
      <c r="K1032" s="2" t="s">
        <v>66</v>
      </c>
      <c r="L1032" s="2" t="s">
        <v>52</v>
      </c>
    </row>
    <row r="1033" spans="1:12" x14ac:dyDescent="0.2">
      <c r="A1033" s="2">
        <v>100517</v>
      </c>
      <c r="B1033" s="18">
        <v>45583</v>
      </c>
      <c r="C1033" s="2" t="s">
        <v>351</v>
      </c>
      <c r="D1033" s="2" t="s">
        <v>131</v>
      </c>
      <c r="E1033" s="2" t="s">
        <v>133</v>
      </c>
      <c r="F1033" s="2" t="s">
        <v>120</v>
      </c>
      <c r="G1033" s="2" t="s">
        <v>75</v>
      </c>
      <c r="H1033" s="2">
        <v>5</v>
      </c>
      <c r="I1033" s="2">
        <v>519.67999999999995</v>
      </c>
      <c r="J1033" s="2">
        <v>0</v>
      </c>
      <c r="K1033" s="2" t="s">
        <v>41</v>
      </c>
      <c r="L1033" s="2" t="s">
        <v>35</v>
      </c>
    </row>
    <row r="1034" spans="1:12" x14ac:dyDescent="0.2">
      <c r="A1034" s="2">
        <v>101694</v>
      </c>
      <c r="B1034" s="18">
        <v>45452</v>
      </c>
      <c r="C1034" s="2" t="s">
        <v>334</v>
      </c>
      <c r="D1034" s="2" t="s">
        <v>37</v>
      </c>
      <c r="E1034" s="2" t="s">
        <v>38</v>
      </c>
      <c r="F1034" s="2" t="s">
        <v>22</v>
      </c>
      <c r="G1034" s="2" t="s">
        <v>232</v>
      </c>
      <c r="H1034" s="2"/>
      <c r="I1034" s="2">
        <v>1588.11</v>
      </c>
      <c r="J1034" s="2">
        <v>0</v>
      </c>
      <c r="K1034" s="2" t="s">
        <v>41</v>
      </c>
      <c r="L1034" s="2" t="s">
        <v>52</v>
      </c>
    </row>
    <row r="1035" spans="1:12" x14ac:dyDescent="0.2">
      <c r="A1035" s="2">
        <v>100534</v>
      </c>
      <c r="B1035" s="17">
        <v>45509</v>
      </c>
      <c r="C1035" s="2" t="s">
        <v>616</v>
      </c>
      <c r="D1035" s="2" t="s">
        <v>89</v>
      </c>
      <c r="E1035" s="2" t="s">
        <v>32</v>
      </c>
      <c r="F1035" s="2" t="s">
        <v>86</v>
      </c>
      <c r="G1035" s="2" t="s">
        <v>153</v>
      </c>
      <c r="H1035" s="2">
        <v>1</v>
      </c>
      <c r="I1035" s="2">
        <v>23575.7</v>
      </c>
      <c r="J1035" s="2">
        <v>0.15</v>
      </c>
      <c r="K1035" s="2" t="s">
        <v>83</v>
      </c>
      <c r="L1035" s="2" t="s">
        <v>143</v>
      </c>
    </row>
    <row r="1036" spans="1:12" x14ac:dyDescent="0.2">
      <c r="A1036" s="2">
        <v>101639</v>
      </c>
      <c r="B1036" s="18">
        <v>45302</v>
      </c>
      <c r="C1036" s="2"/>
      <c r="D1036" s="2" t="s">
        <v>129</v>
      </c>
      <c r="E1036" s="2" t="s">
        <v>79</v>
      </c>
      <c r="F1036" s="2" t="s">
        <v>80</v>
      </c>
      <c r="G1036" s="2" t="s">
        <v>93</v>
      </c>
      <c r="H1036" s="2">
        <v>3</v>
      </c>
      <c r="I1036" s="2">
        <v>175.81</v>
      </c>
      <c r="J1036" s="2">
        <v>0</v>
      </c>
      <c r="K1036" s="2" t="s">
        <v>83</v>
      </c>
      <c r="L1036" s="2" t="s">
        <v>87</v>
      </c>
    </row>
    <row r="1037" spans="1:12" x14ac:dyDescent="0.2">
      <c r="A1037" s="2">
        <v>100272</v>
      </c>
      <c r="B1037" s="17">
        <v>45511</v>
      </c>
      <c r="C1037" s="2" t="s">
        <v>270</v>
      </c>
      <c r="D1037" s="2" t="s">
        <v>73</v>
      </c>
      <c r="E1037" s="2" t="s">
        <v>79</v>
      </c>
      <c r="F1037" s="2" t="s">
        <v>223</v>
      </c>
      <c r="G1037" s="2" t="s">
        <v>99</v>
      </c>
      <c r="H1037" s="2">
        <v>1</v>
      </c>
      <c r="I1037" s="2">
        <v>2371.1799999999998</v>
      </c>
      <c r="J1037" s="2">
        <v>0</v>
      </c>
      <c r="K1037" s="2" t="s">
        <v>41</v>
      </c>
      <c r="L1037" s="2" t="s">
        <v>18</v>
      </c>
    </row>
    <row r="1038" spans="1:12" x14ac:dyDescent="0.2">
      <c r="A1038" s="2">
        <v>100549</v>
      </c>
      <c r="B1038" s="18">
        <v>45623</v>
      </c>
      <c r="C1038" s="2"/>
      <c r="D1038" s="2" t="s">
        <v>58</v>
      </c>
      <c r="E1038" s="2" t="s">
        <v>69</v>
      </c>
      <c r="F1038" s="2" t="s">
        <v>86</v>
      </c>
      <c r="G1038" s="2" t="s">
        <v>153</v>
      </c>
      <c r="H1038" s="2">
        <v>12</v>
      </c>
      <c r="I1038" s="2">
        <v>28699.26</v>
      </c>
      <c r="J1038" s="2">
        <v>0.25</v>
      </c>
      <c r="K1038" s="2" t="s">
        <v>29</v>
      </c>
      <c r="L1038" s="2" t="s">
        <v>121</v>
      </c>
    </row>
    <row r="1039" spans="1:12" x14ac:dyDescent="0.2">
      <c r="A1039" s="2">
        <v>100965</v>
      </c>
      <c r="B1039" s="2" t="s">
        <v>584</v>
      </c>
      <c r="C1039" s="2" t="s">
        <v>824</v>
      </c>
      <c r="D1039" s="2" t="s">
        <v>89</v>
      </c>
      <c r="E1039" s="2" t="s">
        <v>32</v>
      </c>
      <c r="F1039" s="2" t="s">
        <v>155</v>
      </c>
      <c r="G1039" s="2" t="s">
        <v>156</v>
      </c>
      <c r="H1039" s="2">
        <v>7</v>
      </c>
      <c r="I1039" s="2">
        <v>1928.27</v>
      </c>
      <c r="J1039" s="2">
        <v>0</v>
      </c>
      <c r="K1039" s="2" t="s">
        <v>17</v>
      </c>
      <c r="L1039" s="2" t="s">
        <v>25</v>
      </c>
    </row>
    <row r="1040" spans="1:12" x14ac:dyDescent="0.2">
      <c r="A1040" s="2">
        <v>101831</v>
      </c>
      <c r="B1040" s="2" t="s">
        <v>825</v>
      </c>
      <c r="C1040" s="2"/>
      <c r="D1040" s="2" t="s">
        <v>73</v>
      </c>
      <c r="E1040" s="2" t="s">
        <v>79</v>
      </c>
      <c r="F1040" s="2" t="s">
        <v>120</v>
      </c>
      <c r="G1040" s="2" t="s">
        <v>145</v>
      </c>
      <c r="H1040" s="2">
        <v>10</v>
      </c>
      <c r="I1040" s="2">
        <v>2205.87</v>
      </c>
      <c r="J1040" s="2">
        <v>0.15</v>
      </c>
      <c r="K1040" s="2" t="s">
        <v>17</v>
      </c>
      <c r="L1040" s="2" t="s">
        <v>18</v>
      </c>
    </row>
    <row r="1041" spans="1:12" x14ac:dyDescent="0.2">
      <c r="A1041" s="2">
        <v>101655</v>
      </c>
      <c r="B1041" s="18">
        <v>45481</v>
      </c>
      <c r="C1041" s="2" t="s">
        <v>609</v>
      </c>
      <c r="D1041" s="2" t="s">
        <v>92</v>
      </c>
      <c r="E1041" s="2" t="s">
        <v>54</v>
      </c>
      <c r="F1041" s="2" t="s">
        <v>45</v>
      </c>
      <c r="G1041" s="2" t="s">
        <v>153</v>
      </c>
      <c r="H1041" s="2">
        <v>5</v>
      </c>
      <c r="I1041" s="2">
        <v>38540.879999999997</v>
      </c>
      <c r="J1041" s="2">
        <v>5</v>
      </c>
      <c r="K1041" s="2" t="s">
        <v>29</v>
      </c>
      <c r="L1041" s="2" t="s">
        <v>18</v>
      </c>
    </row>
    <row r="1042" spans="1:12" x14ac:dyDescent="0.2">
      <c r="A1042" s="2">
        <v>100599</v>
      </c>
      <c r="B1042" s="17">
        <v>45306</v>
      </c>
      <c r="C1042" s="2" t="s">
        <v>505</v>
      </c>
      <c r="D1042" s="2" t="s">
        <v>13</v>
      </c>
      <c r="E1042" s="2" t="s">
        <v>119</v>
      </c>
      <c r="F1042" s="2" t="s">
        <v>22</v>
      </c>
      <c r="G1042" s="2" t="s">
        <v>232</v>
      </c>
      <c r="H1042" s="2">
        <v>6</v>
      </c>
      <c r="I1042" s="2">
        <v>492.94</v>
      </c>
      <c r="J1042" s="2"/>
      <c r="K1042" s="2" t="s">
        <v>24</v>
      </c>
      <c r="L1042" s="2" t="s">
        <v>121</v>
      </c>
    </row>
    <row r="1043" spans="1:12" x14ac:dyDescent="0.2">
      <c r="A1043" s="2">
        <v>101628</v>
      </c>
      <c r="B1043" s="18">
        <v>45564</v>
      </c>
      <c r="C1043" s="2" t="s">
        <v>784</v>
      </c>
      <c r="D1043" s="2" t="s">
        <v>48</v>
      </c>
      <c r="E1043" s="2" t="s">
        <v>49</v>
      </c>
      <c r="F1043" s="2" t="s">
        <v>191</v>
      </c>
      <c r="G1043" s="2" t="s">
        <v>116</v>
      </c>
      <c r="H1043" s="2">
        <v>7</v>
      </c>
      <c r="I1043" s="2">
        <v>20499.52</v>
      </c>
      <c r="J1043" s="2">
        <v>0.2</v>
      </c>
      <c r="K1043" s="2" t="s">
        <v>24</v>
      </c>
      <c r="L1043" s="2" t="s">
        <v>42</v>
      </c>
    </row>
    <row r="1044" spans="1:12" x14ac:dyDescent="0.2">
      <c r="A1044" s="2">
        <v>100571</v>
      </c>
      <c r="B1044" s="18">
        <v>45455</v>
      </c>
      <c r="C1044" s="2" t="s">
        <v>273</v>
      </c>
      <c r="D1044" s="2" t="s">
        <v>92</v>
      </c>
      <c r="E1044" s="2" t="s">
        <v>32</v>
      </c>
      <c r="F1044" s="2" t="s">
        <v>86</v>
      </c>
      <c r="G1044" s="2" t="s">
        <v>46</v>
      </c>
      <c r="H1044" s="2">
        <v>7</v>
      </c>
      <c r="I1044" s="2">
        <v>39122.86</v>
      </c>
      <c r="J1044" s="2">
        <v>0.05</v>
      </c>
      <c r="K1044" s="2" t="s">
        <v>29</v>
      </c>
      <c r="L1044" s="2" t="s">
        <v>18</v>
      </c>
    </row>
    <row r="1045" spans="1:12" x14ac:dyDescent="0.2">
      <c r="A1045" s="2">
        <v>100075</v>
      </c>
      <c r="B1045" s="17">
        <v>45515</v>
      </c>
      <c r="C1045" s="2" t="s">
        <v>601</v>
      </c>
      <c r="D1045" s="2" t="s">
        <v>101</v>
      </c>
      <c r="E1045" s="2" t="s">
        <v>69</v>
      </c>
      <c r="F1045" s="2" t="s">
        <v>55</v>
      </c>
      <c r="G1045" s="2" t="s">
        <v>99</v>
      </c>
      <c r="H1045" s="2">
        <v>1</v>
      </c>
      <c r="I1045" s="2">
        <v>1306.49</v>
      </c>
      <c r="J1045" s="2">
        <v>0</v>
      </c>
      <c r="K1045" s="2" t="s">
        <v>17</v>
      </c>
      <c r="L1045" s="2" t="s">
        <v>35</v>
      </c>
    </row>
    <row r="1046" spans="1:12" x14ac:dyDescent="0.2">
      <c r="A1046" s="2">
        <v>100062</v>
      </c>
      <c r="B1046" s="18">
        <v>45350</v>
      </c>
      <c r="C1046" s="2" t="s">
        <v>388</v>
      </c>
      <c r="D1046" s="2" t="s">
        <v>31</v>
      </c>
      <c r="E1046" s="2" t="s">
        <v>32</v>
      </c>
      <c r="F1046" s="2" t="s">
        <v>39</v>
      </c>
      <c r="G1046" s="2" t="s">
        <v>40</v>
      </c>
      <c r="H1046" s="2">
        <v>6</v>
      </c>
      <c r="I1046" s="2">
        <v>495.37</v>
      </c>
      <c r="J1046" s="2">
        <v>0</v>
      </c>
      <c r="K1046" s="2" t="s">
        <v>29</v>
      </c>
      <c r="L1046" s="2" t="s">
        <v>121</v>
      </c>
    </row>
    <row r="1047" spans="1:12" x14ac:dyDescent="0.2">
      <c r="A1047" s="2">
        <v>101683</v>
      </c>
      <c r="B1047" s="18">
        <v>45295</v>
      </c>
      <c r="C1047" s="2" t="s">
        <v>195</v>
      </c>
      <c r="D1047" s="2" t="s">
        <v>101</v>
      </c>
      <c r="E1047" s="2" t="s">
        <v>69</v>
      </c>
      <c r="F1047" s="2" t="s">
        <v>223</v>
      </c>
      <c r="G1047" s="2" t="s">
        <v>62</v>
      </c>
      <c r="H1047" s="2">
        <v>11</v>
      </c>
      <c r="I1047" s="2">
        <v>5932.51</v>
      </c>
      <c r="J1047" s="2">
        <v>0.25</v>
      </c>
      <c r="K1047" s="2" t="s">
        <v>66</v>
      </c>
      <c r="L1047" s="2" t="s">
        <v>87</v>
      </c>
    </row>
    <row r="1048" spans="1:12" x14ac:dyDescent="0.2">
      <c r="A1048" s="2">
        <v>100810</v>
      </c>
      <c r="B1048" s="18">
        <v>45439</v>
      </c>
      <c r="C1048" s="2" t="s">
        <v>543</v>
      </c>
      <c r="D1048" s="2" t="s">
        <v>37</v>
      </c>
      <c r="E1048" s="2" t="s">
        <v>69</v>
      </c>
      <c r="F1048" s="2" t="s">
        <v>96</v>
      </c>
      <c r="G1048" s="2" t="s">
        <v>97</v>
      </c>
      <c r="H1048" s="2">
        <v>8</v>
      </c>
      <c r="I1048" s="2">
        <v>3346.6</v>
      </c>
      <c r="J1048" s="2">
        <v>0</v>
      </c>
      <c r="K1048" s="2" t="s">
        <v>24</v>
      </c>
      <c r="L1048" s="2" t="s">
        <v>121</v>
      </c>
    </row>
    <row r="1049" spans="1:12" x14ac:dyDescent="0.2">
      <c r="A1049" s="2">
        <v>100245</v>
      </c>
      <c r="B1049" s="17">
        <v>45644</v>
      </c>
      <c r="C1049" s="2" t="s">
        <v>464</v>
      </c>
      <c r="D1049" s="2" t="s">
        <v>95</v>
      </c>
      <c r="E1049" s="2" t="s">
        <v>21</v>
      </c>
      <c r="F1049" s="2" t="s">
        <v>15</v>
      </c>
      <c r="G1049" s="2" t="s">
        <v>152</v>
      </c>
      <c r="H1049" s="2">
        <v>10</v>
      </c>
      <c r="I1049" s="2">
        <v>19536.29</v>
      </c>
      <c r="J1049" s="2">
        <v>0.05</v>
      </c>
      <c r="K1049" s="2" t="s">
        <v>29</v>
      </c>
      <c r="L1049" s="2" t="s">
        <v>18</v>
      </c>
    </row>
    <row r="1050" spans="1:12" x14ac:dyDescent="0.2">
      <c r="A1050" s="2">
        <v>101118</v>
      </c>
      <c r="B1050" s="18">
        <v>45405</v>
      </c>
      <c r="C1050" s="2" t="s">
        <v>311</v>
      </c>
      <c r="D1050" s="2" t="s">
        <v>129</v>
      </c>
      <c r="E1050" s="2" t="s">
        <v>49</v>
      </c>
      <c r="F1050" s="2" t="s">
        <v>120</v>
      </c>
      <c r="G1050" s="2" t="s">
        <v>23</v>
      </c>
      <c r="H1050" s="2">
        <v>1</v>
      </c>
      <c r="I1050" s="2">
        <v>2512.17</v>
      </c>
      <c r="J1050" s="2">
        <v>0.25</v>
      </c>
      <c r="K1050" s="2" t="s">
        <v>66</v>
      </c>
      <c r="L1050" s="2" t="s">
        <v>42</v>
      </c>
    </row>
    <row r="1051" spans="1:12" x14ac:dyDescent="0.2">
      <c r="A1051" s="2">
        <v>101859</v>
      </c>
      <c r="B1051" s="17">
        <v>45485</v>
      </c>
      <c r="C1051" s="2" t="s">
        <v>352</v>
      </c>
      <c r="D1051" s="2" t="s">
        <v>160</v>
      </c>
      <c r="E1051" s="2" t="s">
        <v>79</v>
      </c>
      <c r="F1051" s="2" t="s">
        <v>102</v>
      </c>
      <c r="G1051" s="2" t="s">
        <v>156</v>
      </c>
      <c r="H1051" s="2">
        <v>7</v>
      </c>
      <c r="I1051" s="2">
        <v>3109.83</v>
      </c>
      <c r="J1051" s="2">
        <v>0</v>
      </c>
      <c r="K1051" s="2" t="s">
        <v>17</v>
      </c>
      <c r="L1051" s="2" t="s">
        <v>25</v>
      </c>
    </row>
    <row r="1052" spans="1:12" x14ac:dyDescent="0.2">
      <c r="A1052" s="2">
        <v>100106</v>
      </c>
      <c r="B1052" s="2" t="s">
        <v>510</v>
      </c>
      <c r="C1052" s="2"/>
      <c r="D1052" s="2" t="s">
        <v>85</v>
      </c>
      <c r="E1052" s="2" t="s">
        <v>14</v>
      </c>
      <c r="F1052" s="2" t="s">
        <v>74</v>
      </c>
      <c r="G1052" s="2" t="s">
        <v>145</v>
      </c>
      <c r="H1052" s="2">
        <v>12</v>
      </c>
      <c r="I1052" s="2">
        <v>3136.72</v>
      </c>
      <c r="J1052" s="2">
        <v>0.05</v>
      </c>
      <c r="K1052" s="2" t="s">
        <v>66</v>
      </c>
      <c r="L1052" s="2" t="s">
        <v>25</v>
      </c>
    </row>
    <row r="1053" spans="1:12" x14ac:dyDescent="0.2">
      <c r="A1053" s="2">
        <v>100674</v>
      </c>
      <c r="B1053" s="17">
        <v>45308</v>
      </c>
      <c r="C1053" s="2"/>
      <c r="D1053" s="2" t="s">
        <v>58</v>
      </c>
      <c r="E1053" s="2" t="s">
        <v>38</v>
      </c>
      <c r="F1053" s="2" t="s">
        <v>80</v>
      </c>
      <c r="G1053" s="2" t="s">
        <v>81</v>
      </c>
      <c r="H1053" s="2">
        <v>10</v>
      </c>
      <c r="I1053" s="2">
        <v>251.02</v>
      </c>
      <c r="J1053" s="2">
        <v>0</v>
      </c>
      <c r="K1053" s="2" t="s">
        <v>24</v>
      </c>
      <c r="L1053" s="2" t="s">
        <v>87</v>
      </c>
    </row>
    <row r="1054" spans="1:12" x14ac:dyDescent="0.2">
      <c r="A1054" s="2">
        <v>100643</v>
      </c>
      <c r="B1054" s="17">
        <v>45545</v>
      </c>
      <c r="C1054" s="2" t="s">
        <v>306</v>
      </c>
      <c r="D1054" s="2" t="s">
        <v>131</v>
      </c>
      <c r="E1054" s="2" t="s">
        <v>133</v>
      </c>
      <c r="F1054" s="2" t="s">
        <v>80</v>
      </c>
      <c r="G1054" s="2" t="s">
        <v>158</v>
      </c>
      <c r="H1054" s="2">
        <v>4</v>
      </c>
      <c r="I1054" s="2">
        <v>93.25</v>
      </c>
      <c r="J1054" s="2">
        <v>0</v>
      </c>
      <c r="K1054" s="2" t="s">
        <v>83</v>
      </c>
      <c r="L1054" s="2" t="s">
        <v>42</v>
      </c>
    </row>
    <row r="1055" spans="1:12" x14ac:dyDescent="0.2">
      <c r="A1055" s="2">
        <v>100675</v>
      </c>
      <c r="B1055" s="2" t="s">
        <v>324</v>
      </c>
      <c r="C1055" s="2"/>
      <c r="D1055" s="2" t="s">
        <v>44</v>
      </c>
      <c r="E1055" s="2" t="s">
        <v>54</v>
      </c>
      <c r="F1055" s="2" t="s">
        <v>70</v>
      </c>
      <c r="G1055" s="2" t="s">
        <v>149</v>
      </c>
      <c r="H1055" s="2">
        <v>5</v>
      </c>
      <c r="I1055" s="2">
        <v>43380.42</v>
      </c>
      <c r="J1055" s="2">
        <v>0</v>
      </c>
      <c r="K1055" s="2" t="s">
        <v>29</v>
      </c>
      <c r="L1055" s="2" t="s">
        <v>35</v>
      </c>
    </row>
    <row r="1056" spans="1:12" x14ac:dyDescent="0.2">
      <c r="A1056" s="2">
        <v>100666</v>
      </c>
      <c r="B1056" s="17">
        <v>45341</v>
      </c>
      <c r="C1056" s="2" t="s">
        <v>237</v>
      </c>
      <c r="D1056" s="2" t="s">
        <v>48</v>
      </c>
      <c r="E1056" s="2" t="s">
        <v>79</v>
      </c>
      <c r="F1056" s="2" t="s">
        <v>45</v>
      </c>
      <c r="G1056" s="2" t="s">
        <v>97</v>
      </c>
      <c r="H1056" s="2">
        <v>5</v>
      </c>
      <c r="I1056" s="2" t="s">
        <v>826</v>
      </c>
      <c r="J1056" s="2">
        <v>0.2</v>
      </c>
      <c r="K1056" s="2" t="s">
        <v>29</v>
      </c>
      <c r="L1056" s="2" t="s">
        <v>18</v>
      </c>
    </row>
    <row r="1057" spans="1:12" x14ac:dyDescent="0.2">
      <c r="A1057" s="2">
        <v>100510</v>
      </c>
      <c r="B1057" s="17">
        <v>45388</v>
      </c>
      <c r="C1057" s="2"/>
      <c r="D1057" s="2" t="s">
        <v>37</v>
      </c>
      <c r="E1057" s="2" t="s">
        <v>69</v>
      </c>
      <c r="F1057" s="2" t="s">
        <v>102</v>
      </c>
      <c r="G1057" s="2" t="s">
        <v>137</v>
      </c>
      <c r="H1057" s="2">
        <v>12</v>
      </c>
      <c r="I1057" s="2">
        <v>4050.07</v>
      </c>
      <c r="J1057" s="2">
        <v>0.05</v>
      </c>
      <c r="K1057" s="2" t="s">
        <v>17</v>
      </c>
      <c r="L1057" s="2" t="s">
        <v>25</v>
      </c>
    </row>
    <row r="1058" spans="1:12" x14ac:dyDescent="0.2">
      <c r="A1058" s="2">
        <v>100132</v>
      </c>
      <c r="B1058" s="2" t="s">
        <v>827</v>
      </c>
      <c r="C1058" s="2" t="s">
        <v>506</v>
      </c>
      <c r="D1058" s="2" t="s">
        <v>92</v>
      </c>
      <c r="E1058" s="2" t="s">
        <v>32</v>
      </c>
      <c r="F1058" s="2" t="s">
        <v>45</v>
      </c>
      <c r="G1058" s="2" t="s">
        <v>97</v>
      </c>
      <c r="H1058" s="2">
        <v>11</v>
      </c>
      <c r="I1058" s="2">
        <v>29775.88</v>
      </c>
      <c r="J1058" s="2"/>
      <c r="K1058" s="2" t="s">
        <v>24</v>
      </c>
      <c r="L1058" s="2" t="s">
        <v>18</v>
      </c>
    </row>
    <row r="1059" spans="1:12" x14ac:dyDescent="0.2">
      <c r="A1059" s="2">
        <v>100445</v>
      </c>
      <c r="B1059" s="18">
        <v>45298</v>
      </c>
      <c r="C1059" s="2" t="s">
        <v>715</v>
      </c>
      <c r="D1059" s="2" t="s">
        <v>20</v>
      </c>
      <c r="E1059" s="2" t="s">
        <v>21</v>
      </c>
      <c r="F1059" s="2" t="s">
        <v>22</v>
      </c>
      <c r="G1059" s="2" t="s">
        <v>232</v>
      </c>
      <c r="H1059" s="2">
        <v>3</v>
      </c>
      <c r="I1059" s="2">
        <v>2934.25</v>
      </c>
      <c r="J1059" s="2">
        <v>20</v>
      </c>
      <c r="K1059" s="2" t="s">
        <v>41</v>
      </c>
      <c r="L1059" s="2" t="s">
        <v>143</v>
      </c>
    </row>
    <row r="1060" spans="1:12" x14ac:dyDescent="0.2">
      <c r="A1060" s="2">
        <v>100867</v>
      </c>
      <c r="B1060" s="2" t="s">
        <v>527</v>
      </c>
      <c r="C1060" s="2" t="s">
        <v>178</v>
      </c>
      <c r="D1060" s="2" t="s">
        <v>48</v>
      </c>
      <c r="E1060" s="2" t="s">
        <v>49</v>
      </c>
      <c r="F1060" s="2" t="s">
        <v>80</v>
      </c>
      <c r="G1060" s="2" t="s">
        <v>93</v>
      </c>
      <c r="H1060" s="2">
        <v>8</v>
      </c>
      <c r="I1060" s="2">
        <v>179.78</v>
      </c>
      <c r="J1060" s="2">
        <v>0</v>
      </c>
      <c r="K1060" s="2" t="s">
        <v>83</v>
      </c>
      <c r="L1060" s="2" t="s">
        <v>42</v>
      </c>
    </row>
    <row r="1061" spans="1:12" x14ac:dyDescent="0.2">
      <c r="A1061" s="2"/>
      <c r="B1061" s="2"/>
      <c r="C1061" s="2"/>
      <c r="D1061" s="2"/>
      <c r="E1061" s="2"/>
      <c r="F1061" s="2"/>
      <c r="G1061" s="2"/>
      <c r="H1061" s="2"/>
      <c r="I1061" s="2"/>
      <c r="J1061" s="2"/>
      <c r="K1061" s="2"/>
      <c r="L1061" s="2"/>
    </row>
    <row r="1062" spans="1:12" x14ac:dyDescent="0.2">
      <c r="A1062" s="2">
        <v>101798</v>
      </c>
      <c r="B1062" s="17">
        <v>45372</v>
      </c>
      <c r="C1062" s="2" t="s">
        <v>828</v>
      </c>
      <c r="D1062" s="2" t="s">
        <v>131</v>
      </c>
      <c r="E1062" s="2" t="s">
        <v>133</v>
      </c>
      <c r="F1062" s="2" t="s">
        <v>113</v>
      </c>
      <c r="G1062" s="2" t="s">
        <v>242</v>
      </c>
      <c r="H1062" s="2">
        <v>4</v>
      </c>
      <c r="I1062" s="2" t="s">
        <v>829</v>
      </c>
      <c r="J1062" s="2">
        <v>0.1</v>
      </c>
      <c r="K1062" s="2" t="s">
        <v>17</v>
      </c>
      <c r="L1062" s="2" t="s">
        <v>25</v>
      </c>
    </row>
    <row r="1063" spans="1:12" x14ac:dyDescent="0.2">
      <c r="A1063" s="2">
        <v>100058</v>
      </c>
      <c r="B1063" s="17">
        <v>45307</v>
      </c>
      <c r="C1063" s="2" t="s">
        <v>830</v>
      </c>
      <c r="D1063" s="2" t="s">
        <v>85</v>
      </c>
      <c r="E1063" s="2" t="s">
        <v>119</v>
      </c>
      <c r="F1063" s="2" t="s">
        <v>191</v>
      </c>
      <c r="G1063" s="2" t="s">
        <v>59</v>
      </c>
      <c r="H1063" s="2">
        <v>3</v>
      </c>
      <c r="I1063" s="2">
        <v>23195.360000000001</v>
      </c>
      <c r="J1063" s="2">
        <v>0</v>
      </c>
      <c r="K1063" s="2" t="s">
        <v>83</v>
      </c>
      <c r="L1063" s="2" t="s">
        <v>121</v>
      </c>
    </row>
    <row r="1064" spans="1:12" x14ac:dyDescent="0.2">
      <c r="A1064" s="2">
        <v>101678</v>
      </c>
      <c r="B1064" s="17">
        <v>45417</v>
      </c>
      <c r="C1064" s="2" t="s">
        <v>213</v>
      </c>
      <c r="D1064" s="2" t="s">
        <v>48</v>
      </c>
      <c r="E1064" s="2" t="s">
        <v>79</v>
      </c>
      <c r="F1064" s="2" t="s">
        <v>223</v>
      </c>
      <c r="G1064" s="2" t="s">
        <v>62</v>
      </c>
      <c r="H1064" s="2">
        <v>1</v>
      </c>
      <c r="I1064" s="2">
        <v>9904.2900000000009</v>
      </c>
      <c r="J1064" s="2">
        <v>0.05</v>
      </c>
      <c r="K1064" s="2" t="s">
        <v>24</v>
      </c>
      <c r="L1064" s="2" t="s">
        <v>52</v>
      </c>
    </row>
    <row r="1065" spans="1:12" x14ac:dyDescent="0.2">
      <c r="A1065" s="2">
        <v>101084</v>
      </c>
      <c r="B1065" s="17">
        <v>45500</v>
      </c>
      <c r="C1065" s="2" t="s">
        <v>806</v>
      </c>
      <c r="D1065" s="2" t="s">
        <v>101</v>
      </c>
      <c r="E1065" s="2" t="s">
        <v>69</v>
      </c>
      <c r="F1065" s="2" t="s">
        <v>113</v>
      </c>
      <c r="G1065" s="2" t="s">
        <v>242</v>
      </c>
      <c r="H1065" s="2">
        <v>3</v>
      </c>
      <c r="I1065" s="2">
        <v>786.91</v>
      </c>
      <c r="J1065" s="2">
        <v>0</v>
      </c>
      <c r="K1065" s="2" t="s">
        <v>24</v>
      </c>
      <c r="L1065" s="2" t="s">
        <v>121</v>
      </c>
    </row>
    <row r="1066" spans="1:12" x14ac:dyDescent="0.2">
      <c r="A1066" s="2">
        <v>101945</v>
      </c>
      <c r="B1066" s="18">
        <v>45453</v>
      </c>
      <c r="C1066" s="2" t="s">
        <v>572</v>
      </c>
      <c r="D1066" s="2" t="s">
        <v>101</v>
      </c>
      <c r="E1066" s="2" t="s">
        <v>69</v>
      </c>
      <c r="F1066" s="2" t="s">
        <v>120</v>
      </c>
      <c r="G1066" s="2" t="s">
        <v>75</v>
      </c>
      <c r="H1066" s="2">
        <v>2</v>
      </c>
      <c r="I1066" s="2">
        <v>3496.58</v>
      </c>
      <c r="J1066" s="2"/>
      <c r="K1066" s="2" t="s">
        <v>83</v>
      </c>
      <c r="L1066" s="2" t="s">
        <v>18</v>
      </c>
    </row>
    <row r="1067" spans="1:12" x14ac:dyDescent="0.2">
      <c r="A1067" s="2">
        <v>100087</v>
      </c>
      <c r="B1067" s="17">
        <v>45462</v>
      </c>
      <c r="C1067" s="2" t="s">
        <v>831</v>
      </c>
      <c r="D1067" s="2" t="s">
        <v>27</v>
      </c>
      <c r="E1067" s="2" t="s">
        <v>133</v>
      </c>
      <c r="F1067" s="2" t="s">
        <v>74</v>
      </c>
      <c r="G1067" s="2" t="s">
        <v>145</v>
      </c>
      <c r="H1067" s="2">
        <v>9</v>
      </c>
      <c r="I1067" s="2">
        <v>3310.74</v>
      </c>
      <c r="J1067" s="2">
        <v>0</v>
      </c>
      <c r="K1067" s="2" t="s">
        <v>17</v>
      </c>
      <c r="L1067" s="2" t="s">
        <v>18</v>
      </c>
    </row>
    <row r="1068" spans="1:12" x14ac:dyDescent="0.2">
      <c r="A1068" s="2">
        <v>101872</v>
      </c>
      <c r="B1068" s="17">
        <v>45523</v>
      </c>
      <c r="C1068" s="2" t="s">
        <v>832</v>
      </c>
      <c r="D1068" s="2" t="s">
        <v>58</v>
      </c>
      <c r="E1068" s="2" t="s">
        <v>38</v>
      </c>
      <c r="F1068" s="2" t="s">
        <v>113</v>
      </c>
      <c r="G1068" s="2" t="s">
        <v>165</v>
      </c>
      <c r="H1068" s="2">
        <v>6</v>
      </c>
      <c r="I1068" s="2">
        <v>224.24</v>
      </c>
      <c r="J1068" s="2">
        <v>0.15</v>
      </c>
      <c r="K1068" s="2" t="s">
        <v>83</v>
      </c>
      <c r="L1068" s="2" t="s">
        <v>52</v>
      </c>
    </row>
    <row r="1069" spans="1:12" x14ac:dyDescent="0.2">
      <c r="A1069" s="2">
        <v>100772</v>
      </c>
      <c r="B1069" s="2" t="s">
        <v>833</v>
      </c>
      <c r="C1069" s="2" t="s">
        <v>220</v>
      </c>
      <c r="D1069" s="2" t="s">
        <v>101</v>
      </c>
      <c r="E1069" s="2" t="s">
        <v>38</v>
      </c>
      <c r="F1069" s="2" t="s">
        <v>33</v>
      </c>
      <c r="G1069" s="2" t="s">
        <v>81</v>
      </c>
      <c r="H1069" s="2">
        <v>1</v>
      </c>
      <c r="I1069" s="2">
        <v>57.24</v>
      </c>
      <c r="J1069" s="2"/>
      <c r="K1069" s="2" t="s">
        <v>66</v>
      </c>
      <c r="L1069" s="2" t="s">
        <v>87</v>
      </c>
    </row>
    <row r="1070" spans="1:12" x14ac:dyDescent="0.2">
      <c r="A1070" s="2">
        <v>101402</v>
      </c>
      <c r="B1070" s="17">
        <v>45649</v>
      </c>
      <c r="C1070" s="2" t="s">
        <v>176</v>
      </c>
      <c r="D1070" s="2" t="s">
        <v>48</v>
      </c>
      <c r="E1070" s="2" t="s">
        <v>49</v>
      </c>
      <c r="F1070" s="2" t="s">
        <v>50</v>
      </c>
      <c r="G1070" s="2" t="s">
        <v>51</v>
      </c>
      <c r="H1070" s="2">
        <v>11</v>
      </c>
      <c r="I1070" s="2">
        <v>4173.6899999999996</v>
      </c>
      <c r="J1070" s="2">
        <v>0</v>
      </c>
      <c r="K1070" s="2" t="s">
        <v>17</v>
      </c>
      <c r="L1070" s="2" t="s">
        <v>18</v>
      </c>
    </row>
    <row r="1071" spans="1:12" x14ac:dyDescent="0.2">
      <c r="A1071" s="2">
        <v>100709</v>
      </c>
      <c r="B1071" s="2" t="s">
        <v>491</v>
      </c>
      <c r="C1071" s="2" t="s">
        <v>84</v>
      </c>
      <c r="D1071" s="2" t="s">
        <v>140</v>
      </c>
      <c r="E1071" s="2" t="s">
        <v>79</v>
      </c>
      <c r="F1071" s="2" t="s">
        <v>45</v>
      </c>
      <c r="G1071" s="2" t="s">
        <v>46</v>
      </c>
      <c r="H1071" s="2">
        <v>8</v>
      </c>
      <c r="I1071" s="2">
        <v>35845.11</v>
      </c>
      <c r="J1071" s="2">
        <v>0</v>
      </c>
      <c r="K1071" s="2" t="s">
        <v>29</v>
      </c>
      <c r="L1071" s="2" t="s">
        <v>87</v>
      </c>
    </row>
    <row r="1072" spans="1:12" x14ac:dyDescent="0.2">
      <c r="A1072" s="2">
        <v>101576</v>
      </c>
      <c r="B1072" s="18">
        <v>45436</v>
      </c>
      <c r="C1072" s="2" t="s">
        <v>834</v>
      </c>
      <c r="D1072" s="2" t="s">
        <v>89</v>
      </c>
      <c r="E1072" s="2" t="s">
        <v>54</v>
      </c>
      <c r="F1072" s="2" t="s">
        <v>15</v>
      </c>
      <c r="G1072" s="2" t="s">
        <v>59</v>
      </c>
      <c r="H1072" s="2">
        <v>4</v>
      </c>
      <c r="I1072" s="2">
        <v>20791.82</v>
      </c>
      <c r="J1072" s="2"/>
      <c r="K1072" s="2" t="s">
        <v>83</v>
      </c>
      <c r="L1072" s="2" t="s">
        <v>18</v>
      </c>
    </row>
    <row r="1073" spans="1:12" x14ac:dyDescent="0.2">
      <c r="A1073" s="2">
        <v>101354</v>
      </c>
      <c r="B1073" s="18">
        <v>45497</v>
      </c>
      <c r="C1073" s="2" t="s">
        <v>241</v>
      </c>
      <c r="D1073" s="2" t="s">
        <v>175</v>
      </c>
      <c r="E1073" s="2" t="s">
        <v>69</v>
      </c>
      <c r="F1073" s="2" t="s">
        <v>155</v>
      </c>
      <c r="G1073" s="2" t="s">
        <v>156</v>
      </c>
      <c r="H1073" s="2">
        <v>11</v>
      </c>
      <c r="I1073" s="2">
        <v>3868.14</v>
      </c>
      <c r="J1073" s="2">
        <v>10</v>
      </c>
      <c r="K1073" s="2" t="s">
        <v>41</v>
      </c>
      <c r="L1073" s="2" t="s">
        <v>25</v>
      </c>
    </row>
    <row r="1074" spans="1:12" x14ac:dyDescent="0.2">
      <c r="A1074" s="2">
        <v>101581</v>
      </c>
      <c r="B1074" s="17">
        <v>45387</v>
      </c>
      <c r="C1074" s="2" t="s">
        <v>229</v>
      </c>
      <c r="D1074" s="2" t="s">
        <v>89</v>
      </c>
      <c r="E1074" s="2" t="s">
        <v>54</v>
      </c>
      <c r="F1074" s="2" t="s">
        <v>64</v>
      </c>
      <c r="G1074" s="2" t="s">
        <v>165</v>
      </c>
      <c r="H1074" s="2">
        <v>9</v>
      </c>
      <c r="I1074" s="2">
        <v>798.58</v>
      </c>
      <c r="J1074" s="2">
        <v>0</v>
      </c>
      <c r="K1074" s="2" t="s">
        <v>24</v>
      </c>
      <c r="L1074" s="2" t="s">
        <v>52</v>
      </c>
    </row>
    <row r="1075" spans="1:12" x14ac:dyDescent="0.2">
      <c r="A1075" s="2">
        <v>100539</v>
      </c>
      <c r="B1075" s="17">
        <v>45410</v>
      </c>
      <c r="C1075" s="2" t="s">
        <v>413</v>
      </c>
      <c r="D1075" s="2" t="s">
        <v>44</v>
      </c>
      <c r="E1075" s="2" t="s">
        <v>32</v>
      </c>
      <c r="F1075" s="2" t="s">
        <v>64</v>
      </c>
      <c r="G1075" s="2" t="s">
        <v>40</v>
      </c>
      <c r="H1075" s="2">
        <v>12</v>
      </c>
      <c r="I1075" s="2">
        <v>668.42</v>
      </c>
      <c r="J1075" s="2">
        <v>0</v>
      </c>
      <c r="K1075" s="2" t="s">
        <v>83</v>
      </c>
      <c r="L1075" s="2" t="s">
        <v>121</v>
      </c>
    </row>
    <row r="1076" spans="1:12" x14ac:dyDescent="0.2">
      <c r="A1076" s="2">
        <v>101760</v>
      </c>
      <c r="B1076" s="17">
        <v>45656</v>
      </c>
      <c r="C1076" s="2" t="s">
        <v>328</v>
      </c>
      <c r="D1076" s="2" t="s">
        <v>89</v>
      </c>
      <c r="E1076" s="2" t="s">
        <v>32</v>
      </c>
      <c r="F1076" s="2" t="s">
        <v>223</v>
      </c>
      <c r="G1076" s="2" t="s">
        <v>207</v>
      </c>
      <c r="H1076" s="2">
        <v>1</v>
      </c>
      <c r="I1076" s="2">
        <v>9146.23</v>
      </c>
      <c r="J1076" s="2">
        <v>0</v>
      </c>
      <c r="K1076" s="2" t="s">
        <v>24</v>
      </c>
      <c r="L1076" s="2" t="s">
        <v>143</v>
      </c>
    </row>
    <row r="1077" spans="1:12" x14ac:dyDescent="0.2">
      <c r="A1077" s="2">
        <v>101278</v>
      </c>
      <c r="B1077" s="17">
        <v>45577</v>
      </c>
      <c r="C1077" s="2" t="s">
        <v>835</v>
      </c>
      <c r="D1077" s="2" t="s">
        <v>58</v>
      </c>
      <c r="E1077" s="2" t="s">
        <v>69</v>
      </c>
      <c r="F1077" s="2" t="s">
        <v>191</v>
      </c>
      <c r="G1077" s="2" t="s">
        <v>116</v>
      </c>
      <c r="H1077" s="2">
        <v>4</v>
      </c>
      <c r="I1077" s="2">
        <v>8882.34</v>
      </c>
      <c r="J1077" s="2"/>
      <c r="K1077" s="2" t="s">
        <v>17</v>
      </c>
      <c r="L1077" s="2" t="s">
        <v>18</v>
      </c>
    </row>
    <row r="1078" spans="1:12" x14ac:dyDescent="0.2">
      <c r="A1078" s="2">
        <v>101572</v>
      </c>
      <c r="B1078" s="17">
        <v>45553</v>
      </c>
      <c r="C1078" s="2" t="s">
        <v>450</v>
      </c>
      <c r="D1078" s="2" t="s">
        <v>44</v>
      </c>
      <c r="E1078" s="2" t="s">
        <v>32</v>
      </c>
      <c r="F1078" s="2" t="s">
        <v>191</v>
      </c>
      <c r="G1078" s="2" t="s">
        <v>152</v>
      </c>
      <c r="H1078" s="2">
        <v>6</v>
      </c>
      <c r="I1078" s="2">
        <v>12203.25</v>
      </c>
      <c r="J1078" s="2">
        <v>0.05</v>
      </c>
      <c r="K1078" s="2" t="s">
        <v>29</v>
      </c>
      <c r="L1078" s="2" t="s">
        <v>121</v>
      </c>
    </row>
    <row r="1079" spans="1:12" x14ac:dyDescent="0.2">
      <c r="A1079" s="2">
        <v>101321</v>
      </c>
      <c r="B1079" s="18">
        <v>45571</v>
      </c>
      <c r="C1079" s="2" t="s">
        <v>836</v>
      </c>
      <c r="D1079" s="2" t="s">
        <v>92</v>
      </c>
      <c r="E1079" s="2" t="s">
        <v>54</v>
      </c>
      <c r="F1079" s="2" t="s">
        <v>70</v>
      </c>
      <c r="G1079" s="2" t="s">
        <v>71</v>
      </c>
      <c r="H1079" s="2">
        <v>7</v>
      </c>
      <c r="I1079" s="2">
        <v>29957.95</v>
      </c>
      <c r="J1079" s="2"/>
      <c r="K1079" s="2" t="s">
        <v>83</v>
      </c>
      <c r="L1079" s="2" t="s">
        <v>87</v>
      </c>
    </row>
    <row r="1080" spans="1:12" x14ac:dyDescent="0.2">
      <c r="A1080" s="2">
        <v>100419</v>
      </c>
      <c r="B1080" s="17">
        <v>45585</v>
      </c>
      <c r="C1080" s="2" t="s">
        <v>681</v>
      </c>
      <c r="D1080" s="2" t="s">
        <v>89</v>
      </c>
      <c r="E1080" s="2" t="s">
        <v>54</v>
      </c>
      <c r="F1080" s="2" t="s">
        <v>80</v>
      </c>
      <c r="G1080" s="2" t="s">
        <v>81</v>
      </c>
      <c r="H1080" s="2">
        <v>11</v>
      </c>
      <c r="I1080" s="2">
        <v>36.61</v>
      </c>
      <c r="J1080" s="2">
        <v>0</v>
      </c>
      <c r="K1080" s="2" t="s">
        <v>24</v>
      </c>
      <c r="L1080" s="2" t="s">
        <v>25</v>
      </c>
    </row>
    <row r="1081" spans="1:12" x14ac:dyDescent="0.2">
      <c r="A1081" s="2">
        <v>101867</v>
      </c>
      <c r="B1081" s="18">
        <v>45317</v>
      </c>
      <c r="C1081" s="2" t="s">
        <v>809</v>
      </c>
      <c r="D1081" s="2" t="s">
        <v>101</v>
      </c>
      <c r="E1081" s="2" t="s">
        <v>38</v>
      </c>
      <c r="F1081" s="2" t="s">
        <v>39</v>
      </c>
      <c r="G1081" s="2" t="s">
        <v>242</v>
      </c>
      <c r="H1081" s="2">
        <v>2</v>
      </c>
      <c r="I1081" s="2">
        <v>812.34</v>
      </c>
      <c r="J1081" s="2">
        <v>0</v>
      </c>
      <c r="K1081" s="2" t="s">
        <v>83</v>
      </c>
      <c r="L1081" s="2" t="s">
        <v>143</v>
      </c>
    </row>
    <row r="1082" spans="1:12" x14ac:dyDescent="0.2">
      <c r="A1082" s="2">
        <v>101074</v>
      </c>
      <c r="B1082" s="18">
        <v>45496</v>
      </c>
      <c r="C1082" s="2" t="s">
        <v>88</v>
      </c>
      <c r="D1082" s="2" t="s">
        <v>13</v>
      </c>
      <c r="E1082" s="2" t="s">
        <v>119</v>
      </c>
      <c r="F1082" s="2" t="s">
        <v>45</v>
      </c>
      <c r="G1082" s="2" t="s">
        <v>111</v>
      </c>
      <c r="H1082" s="2">
        <v>12</v>
      </c>
      <c r="I1082" s="2">
        <v>10591.77</v>
      </c>
      <c r="J1082" s="2">
        <v>0.15</v>
      </c>
      <c r="K1082" s="2" t="s">
        <v>41</v>
      </c>
      <c r="L1082" s="2" t="s">
        <v>121</v>
      </c>
    </row>
    <row r="1083" spans="1:12" x14ac:dyDescent="0.2">
      <c r="A1083" s="2">
        <v>101724</v>
      </c>
      <c r="B1083" s="17">
        <v>45375</v>
      </c>
      <c r="C1083" s="2" t="s">
        <v>578</v>
      </c>
      <c r="D1083" s="2" t="s">
        <v>13</v>
      </c>
      <c r="E1083" s="2" t="s">
        <v>119</v>
      </c>
      <c r="F1083" s="2" t="s">
        <v>80</v>
      </c>
      <c r="G1083" s="2" t="s">
        <v>93</v>
      </c>
      <c r="H1083" s="2">
        <v>9</v>
      </c>
      <c r="I1083" s="2"/>
      <c r="J1083" s="2"/>
      <c r="K1083" s="2" t="s">
        <v>17</v>
      </c>
      <c r="L1083" s="2" t="s">
        <v>121</v>
      </c>
    </row>
    <row r="1084" spans="1:12" x14ac:dyDescent="0.2">
      <c r="A1084" s="2">
        <v>101295</v>
      </c>
      <c r="B1084" s="17">
        <v>45640</v>
      </c>
      <c r="C1084" s="2" t="s">
        <v>321</v>
      </c>
      <c r="D1084" s="2" t="s">
        <v>131</v>
      </c>
      <c r="E1084" s="2" t="s">
        <v>21</v>
      </c>
      <c r="F1084" s="2" t="s">
        <v>33</v>
      </c>
      <c r="G1084" s="2" t="s">
        <v>34</v>
      </c>
      <c r="H1084" s="2">
        <v>1</v>
      </c>
      <c r="I1084" s="2">
        <v>330.36</v>
      </c>
      <c r="J1084" s="2">
        <v>0.15</v>
      </c>
      <c r="K1084" s="2" t="s">
        <v>66</v>
      </c>
      <c r="L1084" s="2" t="s">
        <v>25</v>
      </c>
    </row>
    <row r="1085" spans="1:12" x14ac:dyDescent="0.2">
      <c r="A1085" s="2">
        <v>100852</v>
      </c>
      <c r="B1085" s="18">
        <v>45514</v>
      </c>
      <c r="C1085" s="2" t="s">
        <v>264</v>
      </c>
      <c r="D1085" s="2" t="s">
        <v>37</v>
      </c>
      <c r="E1085" s="2" t="s">
        <v>69</v>
      </c>
      <c r="F1085" s="2" t="s">
        <v>86</v>
      </c>
      <c r="G1085" s="2" t="s">
        <v>111</v>
      </c>
      <c r="H1085" s="2">
        <v>9</v>
      </c>
      <c r="I1085" s="2">
        <v>33316.39</v>
      </c>
      <c r="J1085" s="2"/>
      <c r="K1085" s="2" t="s">
        <v>83</v>
      </c>
      <c r="L1085" s="2" t="s">
        <v>35</v>
      </c>
    </row>
    <row r="1086" spans="1:12" x14ac:dyDescent="0.2">
      <c r="A1086" s="2">
        <v>101769</v>
      </c>
      <c r="B1086" s="2" t="s">
        <v>837</v>
      </c>
      <c r="C1086" s="2" t="s">
        <v>530</v>
      </c>
      <c r="D1086" s="2" t="s">
        <v>73</v>
      </c>
      <c r="E1086" s="2" t="s">
        <v>79</v>
      </c>
      <c r="F1086" s="2" t="s">
        <v>80</v>
      </c>
      <c r="G1086" s="2" t="s">
        <v>81</v>
      </c>
      <c r="H1086" s="2">
        <v>11</v>
      </c>
      <c r="I1086" s="2">
        <v>318.18</v>
      </c>
      <c r="J1086" s="2">
        <v>0</v>
      </c>
      <c r="K1086" s="2" t="s">
        <v>41</v>
      </c>
      <c r="L1086" s="2" t="s">
        <v>42</v>
      </c>
    </row>
    <row r="1087" spans="1:12" x14ac:dyDescent="0.2">
      <c r="A1087" s="2">
        <v>101887</v>
      </c>
      <c r="B1087" s="18">
        <v>45584</v>
      </c>
      <c r="C1087" s="2" t="s">
        <v>215</v>
      </c>
      <c r="D1087" s="2" t="s">
        <v>140</v>
      </c>
      <c r="E1087" s="2" t="s">
        <v>79</v>
      </c>
      <c r="F1087" s="2" t="s">
        <v>223</v>
      </c>
      <c r="G1087" s="2" t="s">
        <v>99</v>
      </c>
      <c r="H1087" s="2">
        <v>11</v>
      </c>
      <c r="I1087" s="2" t="s">
        <v>838</v>
      </c>
      <c r="J1087" s="2">
        <v>25</v>
      </c>
      <c r="K1087" s="2" t="s">
        <v>66</v>
      </c>
      <c r="L1087" s="2" t="s">
        <v>52</v>
      </c>
    </row>
    <row r="1088" spans="1:12" x14ac:dyDescent="0.2">
      <c r="A1088" s="2">
        <v>101710</v>
      </c>
      <c r="B1088" s="18">
        <v>45459</v>
      </c>
      <c r="C1088" s="2" t="s">
        <v>304</v>
      </c>
      <c r="D1088" s="2" t="s">
        <v>85</v>
      </c>
      <c r="E1088" s="2" t="s">
        <v>119</v>
      </c>
      <c r="F1088" s="2" t="s">
        <v>39</v>
      </c>
      <c r="G1088" s="2" t="s">
        <v>114</v>
      </c>
      <c r="H1088" s="2">
        <v>9</v>
      </c>
      <c r="I1088" s="2">
        <v>628.01</v>
      </c>
      <c r="J1088" s="2"/>
      <c r="K1088" s="2" t="s">
        <v>17</v>
      </c>
      <c r="L1088" s="2" t="s">
        <v>35</v>
      </c>
    </row>
    <row r="1089" spans="1:12" x14ac:dyDescent="0.2">
      <c r="A1089" s="2">
        <v>101782</v>
      </c>
      <c r="B1089" s="17">
        <v>45586</v>
      </c>
      <c r="C1089" s="2" t="s">
        <v>130</v>
      </c>
      <c r="D1089" s="2" t="s">
        <v>20</v>
      </c>
      <c r="E1089" s="2" t="s">
        <v>133</v>
      </c>
      <c r="F1089" s="2" t="s">
        <v>22</v>
      </c>
      <c r="G1089" s="2" t="s">
        <v>75</v>
      </c>
      <c r="H1089" s="2">
        <v>1</v>
      </c>
      <c r="I1089" s="2">
        <v>2735.04</v>
      </c>
      <c r="J1089" s="2">
        <v>5</v>
      </c>
      <c r="K1089" s="2" t="s">
        <v>17</v>
      </c>
      <c r="L1089" s="2" t="s">
        <v>143</v>
      </c>
    </row>
    <row r="1090" spans="1:12" x14ac:dyDescent="0.2">
      <c r="A1090" s="2">
        <v>101313</v>
      </c>
      <c r="B1090" s="2" t="s">
        <v>839</v>
      </c>
      <c r="C1090" s="2" t="s">
        <v>649</v>
      </c>
      <c r="D1090" s="2" t="s">
        <v>89</v>
      </c>
      <c r="E1090" s="2" t="s">
        <v>32</v>
      </c>
      <c r="F1090" s="2" t="s">
        <v>22</v>
      </c>
      <c r="G1090" s="2" t="s">
        <v>75</v>
      </c>
      <c r="H1090" s="2">
        <v>6</v>
      </c>
      <c r="I1090" s="2">
        <v>1909.1</v>
      </c>
      <c r="J1090" s="2">
        <v>0</v>
      </c>
      <c r="K1090" s="2" t="s">
        <v>41</v>
      </c>
      <c r="L1090" s="2" t="s">
        <v>42</v>
      </c>
    </row>
    <row r="1091" spans="1:12" x14ac:dyDescent="0.2">
      <c r="A1091" s="2">
        <v>101749</v>
      </c>
      <c r="B1091" s="18">
        <v>45637</v>
      </c>
      <c r="C1091" s="2" t="s">
        <v>446</v>
      </c>
      <c r="D1091" s="2" t="s">
        <v>129</v>
      </c>
      <c r="E1091" s="2" t="s">
        <v>79</v>
      </c>
      <c r="F1091" s="2" t="s">
        <v>191</v>
      </c>
      <c r="G1091" s="2" t="s">
        <v>205</v>
      </c>
      <c r="H1091" s="2">
        <v>6</v>
      </c>
      <c r="I1091" s="2">
        <v>11541.57</v>
      </c>
      <c r="J1091" s="2">
        <v>15</v>
      </c>
      <c r="K1091" s="2" t="s">
        <v>17</v>
      </c>
      <c r="L1091" s="2" t="s">
        <v>52</v>
      </c>
    </row>
    <row r="1092" spans="1:12" x14ac:dyDescent="0.2">
      <c r="A1092" s="2">
        <v>101815</v>
      </c>
      <c r="B1092" s="18">
        <v>45464</v>
      </c>
      <c r="C1092" s="2" t="s">
        <v>840</v>
      </c>
      <c r="D1092" s="2" t="s">
        <v>109</v>
      </c>
      <c r="E1092" s="2" t="s">
        <v>133</v>
      </c>
      <c r="F1092" s="2" t="s">
        <v>86</v>
      </c>
      <c r="G1092" s="2" t="s">
        <v>97</v>
      </c>
      <c r="H1092" s="2">
        <v>7</v>
      </c>
      <c r="I1092" s="2" t="s">
        <v>841</v>
      </c>
      <c r="J1092" s="2">
        <v>0.1</v>
      </c>
      <c r="K1092" s="2" t="s">
        <v>41</v>
      </c>
      <c r="L1092" s="2" t="s">
        <v>42</v>
      </c>
    </row>
    <row r="1093" spans="1:12" x14ac:dyDescent="0.2">
      <c r="A1093" s="2">
        <v>100305</v>
      </c>
      <c r="B1093" s="2" t="s">
        <v>842</v>
      </c>
      <c r="C1093" s="2" t="s">
        <v>506</v>
      </c>
      <c r="D1093" s="2" t="s">
        <v>20</v>
      </c>
      <c r="E1093" s="2" t="s">
        <v>21</v>
      </c>
      <c r="F1093" s="2" t="s">
        <v>86</v>
      </c>
      <c r="G1093" s="2" t="s">
        <v>153</v>
      </c>
      <c r="H1093" s="2">
        <v>5</v>
      </c>
      <c r="I1093" s="2">
        <v>19748.86</v>
      </c>
      <c r="J1093" s="2">
        <v>0</v>
      </c>
      <c r="K1093" s="2" t="s">
        <v>83</v>
      </c>
      <c r="L1093" s="2" t="s">
        <v>18</v>
      </c>
    </row>
    <row r="1094" spans="1:12" x14ac:dyDescent="0.2">
      <c r="A1094" s="2">
        <v>101532</v>
      </c>
      <c r="B1094" s="2" t="s">
        <v>756</v>
      </c>
      <c r="C1094" s="2" t="s">
        <v>709</v>
      </c>
      <c r="D1094" s="2" t="s">
        <v>175</v>
      </c>
      <c r="E1094" s="2" t="s">
        <v>69</v>
      </c>
      <c r="F1094" s="2" t="s">
        <v>55</v>
      </c>
      <c r="G1094" s="2" t="s">
        <v>51</v>
      </c>
      <c r="H1094" s="2">
        <v>1</v>
      </c>
      <c r="I1094" s="2">
        <v>9358.86</v>
      </c>
      <c r="J1094" s="2">
        <v>0</v>
      </c>
      <c r="K1094" s="2" t="s">
        <v>66</v>
      </c>
      <c r="L1094" s="2" t="s">
        <v>87</v>
      </c>
    </row>
    <row r="1095" spans="1:12" x14ac:dyDescent="0.2">
      <c r="A1095" s="2">
        <v>100336</v>
      </c>
      <c r="B1095" s="17">
        <v>45640</v>
      </c>
      <c r="C1095" s="2" t="s">
        <v>550</v>
      </c>
      <c r="D1095" s="2" t="s">
        <v>13</v>
      </c>
      <c r="E1095" s="2" t="s">
        <v>119</v>
      </c>
      <c r="F1095" s="2" t="s">
        <v>102</v>
      </c>
      <c r="G1095" s="2" t="s">
        <v>156</v>
      </c>
      <c r="H1095" s="2">
        <v>8</v>
      </c>
      <c r="I1095" s="2" t="s">
        <v>843</v>
      </c>
      <c r="J1095" s="2">
        <v>0</v>
      </c>
      <c r="K1095" s="2" t="s">
        <v>83</v>
      </c>
      <c r="L1095" s="2" t="s">
        <v>121</v>
      </c>
    </row>
    <row r="1096" spans="1:12" x14ac:dyDescent="0.2">
      <c r="A1096" s="2">
        <v>100996</v>
      </c>
      <c r="B1096" s="18">
        <v>45347</v>
      </c>
      <c r="C1096" s="2" t="s">
        <v>844</v>
      </c>
      <c r="D1096" s="2" t="s">
        <v>89</v>
      </c>
      <c r="E1096" s="2" t="s">
        <v>54</v>
      </c>
      <c r="F1096" s="2" t="s">
        <v>223</v>
      </c>
      <c r="G1096" s="2" t="s">
        <v>62</v>
      </c>
      <c r="H1096" s="2">
        <v>1</v>
      </c>
      <c r="I1096" s="2">
        <v>6084.6</v>
      </c>
      <c r="J1096" s="2">
        <v>0</v>
      </c>
      <c r="K1096" s="2" t="s">
        <v>17</v>
      </c>
      <c r="L1096" s="2" t="s">
        <v>121</v>
      </c>
    </row>
    <row r="1097" spans="1:12" x14ac:dyDescent="0.2">
      <c r="A1097" s="2">
        <v>100570</v>
      </c>
      <c r="B1097" s="17">
        <v>45412</v>
      </c>
      <c r="C1097" s="2" t="s">
        <v>47</v>
      </c>
      <c r="D1097" s="2" t="s">
        <v>58</v>
      </c>
      <c r="E1097" s="2" t="s">
        <v>69</v>
      </c>
      <c r="F1097" s="2" t="s">
        <v>96</v>
      </c>
      <c r="G1097" s="2" t="s">
        <v>97</v>
      </c>
      <c r="H1097" s="2">
        <v>7</v>
      </c>
      <c r="I1097" s="2">
        <v>26944.75</v>
      </c>
      <c r="J1097" s="2">
        <v>0.1</v>
      </c>
      <c r="K1097" s="2" t="s">
        <v>41</v>
      </c>
      <c r="L1097" s="2" t="s">
        <v>87</v>
      </c>
    </row>
    <row r="1098" spans="1:12" x14ac:dyDescent="0.2">
      <c r="A1098" s="2">
        <v>100089</v>
      </c>
      <c r="B1098" s="2" t="s">
        <v>845</v>
      </c>
      <c r="C1098" s="2" t="s">
        <v>646</v>
      </c>
      <c r="D1098" s="2" t="s">
        <v>181</v>
      </c>
      <c r="E1098" s="2" t="s">
        <v>14</v>
      </c>
      <c r="F1098" s="2" t="s">
        <v>33</v>
      </c>
      <c r="G1098" s="2" t="s">
        <v>34</v>
      </c>
      <c r="H1098" s="2">
        <v>10</v>
      </c>
      <c r="I1098" s="2">
        <v>362.61</v>
      </c>
      <c r="J1098" s="2">
        <v>5</v>
      </c>
      <c r="K1098" s="2" t="s">
        <v>29</v>
      </c>
      <c r="L1098" s="2" t="s">
        <v>42</v>
      </c>
    </row>
    <row r="1099" spans="1:12" x14ac:dyDescent="0.2">
      <c r="A1099" s="2">
        <v>100875</v>
      </c>
      <c r="B1099" s="2" t="s">
        <v>846</v>
      </c>
      <c r="C1099" s="2"/>
      <c r="D1099" s="2" t="s">
        <v>48</v>
      </c>
      <c r="E1099" s="2" t="s">
        <v>79</v>
      </c>
      <c r="F1099" s="2" t="s">
        <v>28</v>
      </c>
      <c r="G1099" s="2" t="s">
        <v>116</v>
      </c>
      <c r="H1099" s="2">
        <v>9</v>
      </c>
      <c r="I1099" s="2" t="s">
        <v>847</v>
      </c>
      <c r="J1099" s="2">
        <v>0</v>
      </c>
      <c r="K1099" s="2" t="s">
        <v>83</v>
      </c>
      <c r="L1099" s="2" t="s">
        <v>35</v>
      </c>
    </row>
    <row r="1100" spans="1:12" x14ac:dyDescent="0.2">
      <c r="A1100" s="2">
        <v>101165</v>
      </c>
      <c r="B1100" s="2" t="s">
        <v>209</v>
      </c>
      <c r="C1100" s="2" t="s">
        <v>142</v>
      </c>
      <c r="D1100" s="2" t="s">
        <v>31</v>
      </c>
      <c r="E1100" s="2" t="s">
        <v>54</v>
      </c>
      <c r="F1100" s="2" t="s">
        <v>223</v>
      </c>
      <c r="G1100" s="2" t="s">
        <v>51</v>
      </c>
      <c r="H1100" s="2">
        <v>6</v>
      </c>
      <c r="I1100" s="2">
        <v>4487.1099999999997</v>
      </c>
      <c r="J1100" s="2">
        <v>0</v>
      </c>
      <c r="K1100" s="2" t="s">
        <v>24</v>
      </c>
      <c r="L1100" s="2" t="s">
        <v>143</v>
      </c>
    </row>
    <row r="1101" spans="1:12" x14ac:dyDescent="0.2">
      <c r="A1101" s="2">
        <v>101540</v>
      </c>
      <c r="B1101" s="2" t="s">
        <v>503</v>
      </c>
      <c r="C1101" s="2" t="s">
        <v>620</v>
      </c>
      <c r="D1101" s="2" t="s">
        <v>129</v>
      </c>
      <c r="E1101" s="2" t="s">
        <v>79</v>
      </c>
      <c r="F1101" s="2" t="s">
        <v>39</v>
      </c>
      <c r="G1101" s="2" t="s">
        <v>165</v>
      </c>
      <c r="H1101" s="2">
        <v>9</v>
      </c>
      <c r="I1101" s="2">
        <v>234.75</v>
      </c>
      <c r="J1101" s="2">
        <v>0</v>
      </c>
      <c r="K1101" s="2" t="s">
        <v>66</v>
      </c>
      <c r="L1101" s="2" t="s">
        <v>18</v>
      </c>
    </row>
    <row r="1102" spans="1:12" x14ac:dyDescent="0.2">
      <c r="A1102" s="2">
        <v>100713</v>
      </c>
      <c r="B1102" s="17">
        <v>45384</v>
      </c>
      <c r="C1102" s="2" t="s">
        <v>127</v>
      </c>
      <c r="D1102" s="2" t="s">
        <v>13</v>
      </c>
      <c r="E1102" s="2" t="s">
        <v>119</v>
      </c>
      <c r="F1102" s="2" t="s">
        <v>124</v>
      </c>
      <c r="G1102" s="2" t="s">
        <v>99</v>
      </c>
      <c r="H1102" s="2">
        <v>3</v>
      </c>
      <c r="I1102" s="2">
        <v>5515.39</v>
      </c>
      <c r="J1102" s="2">
        <v>0.25</v>
      </c>
      <c r="K1102" s="2" t="s">
        <v>66</v>
      </c>
      <c r="L1102" s="2" t="s">
        <v>18</v>
      </c>
    </row>
    <row r="1103" spans="1:12" x14ac:dyDescent="0.2">
      <c r="A1103" s="2">
        <v>101766</v>
      </c>
      <c r="B1103" s="17">
        <v>45625</v>
      </c>
      <c r="C1103" s="2" t="s">
        <v>738</v>
      </c>
      <c r="D1103" s="2" t="s">
        <v>109</v>
      </c>
      <c r="E1103" s="2" t="s">
        <v>133</v>
      </c>
      <c r="F1103" s="2" t="s">
        <v>39</v>
      </c>
      <c r="G1103" s="2" t="s">
        <v>114</v>
      </c>
      <c r="H1103" s="2">
        <v>10</v>
      </c>
      <c r="I1103" s="2">
        <v>144.01</v>
      </c>
      <c r="J1103" s="2">
        <v>20</v>
      </c>
      <c r="K1103" s="2" t="s">
        <v>24</v>
      </c>
      <c r="L1103" s="2" t="s">
        <v>143</v>
      </c>
    </row>
    <row r="1104" spans="1:12" x14ac:dyDescent="0.2">
      <c r="A1104" s="2">
        <v>101869</v>
      </c>
      <c r="B1104" s="18">
        <v>45537</v>
      </c>
      <c r="C1104" s="2" t="s">
        <v>317</v>
      </c>
      <c r="D1104" s="2" t="s">
        <v>92</v>
      </c>
      <c r="E1104" s="2" t="s">
        <v>54</v>
      </c>
      <c r="F1104" s="2" t="s">
        <v>223</v>
      </c>
      <c r="G1104" s="2" t="s">
        <v>62</v>
      </c>
      <c r="H1104" s="2">
        <v>5</v>
      </c>
      <c r="I1104" s="2">
        <v>9367.01</v>
      </c>
      <c r="J1104" s="2">
        <v>0.2</v>
      </c>
      <c r="K1104" s="2" t="s">
        <v>29</v>
      </c>
      <c r="L1104" s="2" t="s">
        <v>25</v>
      </c>
    </row>
    <row r="1105" spans="1:12" x14ac:dyDescent="0.2">
      <c r="A1105" s="2">
        <v>101396</v>
      </c>
      <c r="B1105" s="17">
        <v>45547</v>
      </c>
      <c r="C1105" s="2" t="s">
        <v>405</v>
      </c>
      <c r="D1105" s="2" t="s">
        <v>109</v>
      </c>
      <c r="E1105" s="2" t="s">
        <v>133</v>
      </c>
      <c r="F1105" s="2" t="s">
        <v>106</v>
      </c>
      <c r="G1105" s="2" t="s">
        <v>137</v>
      </c>
      <c r="H1105" s="2">
        <v>1</v>
      </c>
      <c r="I1105" s="2">
        <v>797.54</v>
      </c>
      <c r="J1105" s="2">
        <v>0</v>
      </c>
      <c r="K1105" s="2" t="s">
        <v>29</v>
      </c>
      <c r="L1105" s="2" t="s">
        <v>143</v>
      </c>
    </row>
    <row r="1106" spans="1:12" x14ac:dyDescent="0.2">
      <c r="A1106" s="2">
        <v>100222</v>
      </c>
      <c r="B1106" s="17">
        <v>45429</v>
      </c>
      <c r="C1106" s="2" t="s">
        <v>492</v>
      </c>
      <c r="D1106" s="2" t="s">
        <v>89</v>
      </c>
      <c r="E1106" s="2" t="s">
        <v>32</v>
      </c>
      <c r="F1106" s="2" t="s">
        <v>22</v>
      </c>
      <c r="G1106" s="2" t="s">
        <v>75</v>
      </c>
      <c r="H1106" s="2">
        <v>10</v>
      </c>
      <c r="I1106" s="2">
        <v>2338.5</v>
      </c>
      <c r="J1106" s="2">
        <v>0.1</v>
      </c>
      <c r="K1106" s="2" t="s">
        <v>29</v>
      </c>
      <c r="L1106" s="2" t="s">
        <v>35</v>
      </c>
    </row>
    <row r="1107" spans="1:12" x14ac:dyDescent="0.2">
      <c r="A1107" s="2">
        <v>100320</v>
      </c>
      <c r="B1107" s="18">
        <v>45301</v>
      </c>
      <c r="C1107" s="2" t="s">
        <v>378</v>
      </c>
      <c r="D1107" s="2" t="s">
        <v>92</v>
      </c>
      <c r="E1107" s="2" t="s">
        <v>54</v>
      </c>
      <c r="F1107" s="2" t="s">
        <v>50</v>
      </c>
      <c r="G1107" s="2" t="s">
        <v>99</v>
      </c>
      <c r="H1107" s="2">
        <v>6</v>
      </c>
      <c r="I1107" s="2">
        <v>6501.5</v>
      </c>
      <c r="J1107" s="2">
        <v>0.25</v>
      </c>
      <c r="K1107" s="2" t="s">
        <v>29</v>
      </c>
      <c r="L1107" s="2" t="s">
        <v>35</v>
      </c>
    </row>
    <row r="1108" spans="1:12" x14ac:dyDescent="0.2">
      <c r="A1108" s="2">
        <v>101775</v>
      </c>
      <c r="B1108" s="18">
        <v>45515</v>
      </c>
      <c r="C1108" s="2"/>
      <c r="D1108" s="2" t="s">
        <v>85</v>
      </c>
      <c r="E1108" s="2" t="s">
        <v>14</v>
      </c>
      <c r="F1108" s="2" t="s">
        <v>28</v>
      </c>
      <c r="G1108" s="2" t="s">
        <v>59</v>
      </c>
      <c r="H1108" s="2">
        <v>7</v>
      </c>
      <c r="I1108" s="2">
        <v>19028.14</v>
      </c>
      <c r="J1108" s="2">
        <v>0.05</v>
      </c>
      <c r="K1108" s="2" t="s">
        <v>41</v>
      </c>
      <c r="L1108" s="2" t="s">
        <v>87</v>
      </c>
    </row>
    <row r="1109" spans="1:12" x14ac:dyDescent="0.2">
      <c r="A1109" s="2">
        <v>100879</v>
      </c>
      <c r="B1109" s="2" t="s">
        <v>702</v>
      </c>
      <c r="C1109" s="2" t="s">
        <v>743</v>
      </c>
      <c r="D1109" s="2" t="s">
        <v>44</v>
      </c>
      <c r="E1109" s="2" t="s">
        <v>54</v>
      </c>
      <c r="F1109" s="2" t="s">
        <v>50</v>
      </c>
      <c r="G1109" s="2" t="s">
        <v>56</v>
      </c>
      <c r="H1109" s="2">
        <v>1</v>
      </c>
      <c r="I1109" s="2">
        <v>7360.65</v>
      </c>
      <c r="J1109" s="2">
        <v>10</v>
      </c>
      <c r="K1109" s="2" t="s">
        <v>41</v>
      </c>
      <c r="L1109" s="2" t="s">
        <v>25</v>
      </c>
    </row>
    <row r="1110" spans="1:12" x14ac:dyDescent="0.2">
      <c r="A1110" s="2">
        <v>101821</v>
      </c>
      <c r="B1110" s="2" t="s">
        <v>839</v>
      </c>
      <c r="C1110" s="2" t="s">
        <v>359</v>
      </c>
      <c r="D1110" s="2" t="s">
        <v>160</v>
      </c>
      <c r="E1110" s="2" t="s">
        <v>49</v>
      </c>
      <c r="F1110" s="2" t="s">
        <v>50</v>
      </c>
      <c r="G1110" s="2" t="s">
        <v>62</v>
      </c>
      <c r="H1110" s="2">
        <v>7</v>
      </c>
      <c r="I1110" s="2">
        <v>9432.91</v>
      </c>
      <c r="J1110" s="2">
        <v>0.15</v>
      </c>
      <c r="K1110" s="2" t="s">
        <v>24</v>
      </c>
      <c r="L1110" s="2" t="s">
        <v>121</v>
      </c>
    </row>
    <row r="1111" spans="1:12" x14ac:dyDescent="0.2">
      <c r="A1111" s="2">
        <v>100826</v>
      </c>
      <c r="B1111" s="17">
        <v>45571</v>
      </c>
      <c r="C1111" s="2" t="s">
        <v>615</v>
      </c>
      <c r="D1111" s="2" t="s">
        <v>37</v>
      </c>
      <c r="E1111" s="2" t="s">
        <v>69</v>
      </c>
      <c r="F1111" s="2" t="s">
        <v>64</v>
      </c>
      <c r="G1111" s="2" t="s">
        <v>40</v>
      </c>
      <c r="H1111" s="2">
        <v>12</v>
      </c>
      <c r="I1111" s="2">
        <v>692.26</v>
      </c>
      <c r="J1111" s="2">
        <v>0.1</v>
      </c>
      <c r="K1111" s="2" t="s">
        <v>24</v>
      </c>
      <c r="L1111" s="2" t="s">
        <v>35</v>
      </c>
    </row>
    <row r="1112" spans="1:12" x14ac:dyDescent="0.2">
      <c r="A1112" s="2">
        <v>100614</v>
      </c>
      <c r="B1112" s="17">
        <v>45389</v>
      </c>
      <c r="C1112" s="2"/>
      <c r="D1112" s="2" t="s">
        <v>101</v>
      </c>
      <c r="E1112" s="2" t="s">
        <v>38</v>
      </c>
      <c r="F1112" s="2" t="s">
        <v>33</v>
      </c>
      <c r="G1112" s="2" t="s">
        <v>93</v>
      </c>
      <c r="H1112" s="2">
        <v>7</v>
      </c>
      <c r="I1112" s="2">
        <v>208.37</v>
      </c>
      <c r="J1112" s="2">
        <v>0.25</v>
      </c>
      <c r="K1112" s="2" t="s">
        <v>83</v>
      </c>
      <c r="L1112" s="2" t="s">
        <v>52</v>
      </c>
    </row>
    <row r="1113" spans="1:12" x14ac:dyDescent="0.2">
      <c r="A1113" s="2">
        <v>101482</v>
      </c>
      <c r="B1113" s="18">
        <v>45491</v>
      </c>
      <c r="C1113" s="2" t="s">
        <v>233</v>
      </c>
      <c r="D1113" s="2" t="s">
        <v>109</v>
      </c>
      <c r="E1113" s="2" t="s">
        <v>21</v>
      </c>
      <c r="F1113" s="2" t="s">
        <v>28</v>
      </c>
      <c r="G1113" s="2" t="s">
        <v>116</v>
      </c>
      <c r="H1113" s="2">
        <v>3</v>
      </c>
      <c r="I1113" s="2">
        <v>20396.82</v>
      </c>
      <c r="J1113" s="2">
        <v>0.25</v>
      </c>
      <c r="K1113" s="2" t="s">
        <v>41</v>
      </c>
      <c r="L1113" s="2" t="s">
        <v>18</v>
      </c>
    </row>
    <row r="1114" spans="1:12" x14ac:dyDescent="0.2">
      <c r="A1114" s="2">
        <v>100139</v>
      </c>
      <c r="B1114" s="18">
        <v>45336</v>
      </c>
      <c r="C1114" s="2" t="s">
        <v>695</v>
      </c>
      <c r="D1114" s="2" t="s">
        <v>37</v>
      </c>
      <c r="E1114" s="2" t="s">
        <v>69</v>
      </c>
      <c r="F1114" s="2" t="s">
        <v>45</v>
      </c>
      <c r="G1114" s="2" t="s">
        <v>46</v>
      </c>
      <c r="H1114" s="2">
        <v>7</v>
      </c>
      <c r="I1114" s="2"/>
      <c r="J1114" s="2">
        <v>0.1</v>
      </c>
      <c r="K1114" s="2" t="s">
        <v>83</v>
      </c>
      <c r="L1114" s="2" t="s">
        <v>42</v>
      </c>
    </row>
    <row r="1115" spans="1:12" x14ac:dyDescent="0.2">
      <c r="A1115" s="2">
        <v>100164</v>
      </c>
      <c r="B1115" s="18">
        <v>45436</v>
      </c>
      <c r="C1115" s="2" t="s">
        <v>286</v>
      </c>
      <c r="D1115" s="2" t="s">
        <v>175</v>
      </c>
      <c r="E1115" s="2" t="s">
        <v>69</v>
      </c>
      <c r="F1115" s="2" t="s">
        <v>120</v>
      </c>
      <c r="G1115" s="2" t="s">
        <v>145</v>
      </c>
      <c r="H1115" s="2">
        <v>9</v>
      </c>
      <c r="I1115" s="2">
        <v>2955.36</v>
      </c>
      <c r="J1115" s="2">
        <v>0.15</v>
      </c>
      <c r="K1115" s="2" t="s">
        <v>83</v>
      </c>
      <c r="L1115" s="2" t="s">
        <v>18</v>
      </c>
    </row>
    <row r="1116" spans="1:12" x14ac:dyDescent="0.2">
      <c r="A1116" s="2">
        <v>101801</v>
      </c>
      <c r="B1116" s="18">
        <v>45518</v>
      </c>
      <c r="C1116" s="2" t="s">
        <v>416</v>
      </c>
      <c r="D1116" s="2" t="s">
        <v>140</v>
      </c>
      <c r="E1116" s="2" t="s">
        <v>49</v>
      </c>
      <c r="F1116" s="2" t="s">
        <v>80</v>
      </c>
      <c r="G1116" s="2" t="s">
        <v>34</v>
      </c>
      <c r="H1116" s="2">
        <v>7</v>
      </c>
      <c r="I1116" s="2">
        <v>451.67</v>
      </c>
      <c r="J1116" s="2">
        <v>0</v>
      </c>
      <c r="K1116" s="2" t="s">
        <v>66</v>
      </c>
      <c r="L1116" s="2" t="s">
        <v>87</v>
      </c>
    </row>
    <row r="1117" spans="1:12" x14ac:dyDescent="0.2">
      <c r="A1117" s="2">
        <v>101465</v>
      </c>
      <c r="B1117" s="2" t="s">
        <v>848</v>
      </c>
      <c r="C1117" s="2" t="s">
        <v>391</v>
      </c>
      <c r="D1117" s="2" t="s">
        <v>37</v>
      </c>
      <c r="E1117" s="2" t="s">
        <v>38</v>
      </c>
      <c r="F1117" s="2" t="s">
        <v>223</v>
      </c>
      <c r="G1117" s="2" t="s">
        <v>56</v>
      </c>
      <c r="H1117" s="2">
        <v>12</v>
      </c>
      <c r="I1117" s="2">
        <v>2812.56</v>
      </c>
      <c r="J1117" s="2">
        <v>10</v>
      </c>
      <c r="K1117" s="2" t="s">
        <v>41</v>
      </c>
      <c r="L1117" s="2" t="s">
        <v>52</v>
      </c>
    </row>
    <row r="1118" spans="1:12" x14ac:dyDescent="0.2">
      <c r="A1118" s="2">
        <v>100961</v>
      </c>
      <c r="B1118" s="17">
        <v>45483</v>
      </c>
      <c r="C1118" s="2" t="s">
        <v>596</v>
      </c>
      <c r="D1118" s="2" t="s">
        <v>48</v>
      </c>
      <c r="E1118" s="2" t="s">
        <v>79</v>
      </c>
      <c r="F1118" s="2" t="s">
        <v>50</v>
      </c>
      <c r="G1118" s="2" t="s">
        <v>62</v>
      </c>
      <c r="H1118" s="2">
        <v>6</v>
      </c>
      <c r="I1118" s="2" t="s">
        <v>849</v>
      </c>
      <c r="J1118" s="2">
        <v>0.2</v>
      </c>
      <c r="K1118" s="2" t="s">
        <v>41</v>
      </c>
      <c r="L1118" s="2" t="s">
        <v>35</v>
      </c>
    </row>
    <row r="1119" spans="1:12" x14ac:dyDescent="0.2">
      <c r="A1119" s="2">
        <v>101455</v>
      </c>
      <c r="B1119" s="2" t="s">
        <v>812</v>
      </c>
      <c r="C1119" s="2" t="s">
        <v>670</v>
      </c>
      <c r="D1119" s="2" t="s">
        <v>92</v>
      </c>
      <c r="E1119" s="2" t="s">
        <v>54</v>
      </c>
      <c r="F1119" s="2" t="s">
        <v>64</v>
      </c>
      <c r="G1119" s="2" t="s">
        <v>242</v>
      </c>
      <c r="H1119" s="2">
        <v>8</v>
      </c>
      <c r="I1119" s="2">
        <v>860.93</v>
      </c>
      <c r="J1119" s="2"/>
      <c r="K1119" s="2" t="s">
        <v>17</v>
      </c>
      <c r="L1119" s="2" t="s">
        <v>143</v>
      </c>
    </row>
    <row r="1120" spans="1:12" x14ac:dyDescent="0.2">
      <c r="A1120" s="2">
        <v>101925</v>
      </c>
      <c r="B1120" s="18">
        <v>45648</v>
      </c>
      <c r="C1120" s="2" t="s">
        <v>72</v>
      </c>
      <c r="D1120" s="2" t="s">
        <v>160</v>
      </c>
      <c r="E1120" s="2" t="s">
        <v>79</v>
      </c>
      <c r="F1120" s="2" t="s">
        <v>80</v>
      </c>
      <c r="G1120" s="2" t="s">
        <v>93</v>
      </c>
      <c r="H1120" s="2">
        <v>12</v>
      </c>
      <c r="I1120" s="2">
        <v>358.66</v>
      </c>
      <c r="J1120" s="2">
        <v>0.05</v>
      </c>
      <c r="K1120" s="2" t="s">
        <v>24</v>
      </c>
      <c r="L1120" s="2" t="s">
        <v>42</v>
      </c>
    </row>
    <row r="1121" spans="1:12" x14ac:dyDescent="0.2">
      <c r="A1121" s="2">
        <v>101193</v>
      </c>
      <c r="B1121" s="18">
        <v>45568</v>
      </c>
      <c r="C1121" s="2" t="s">
        <v>698</v>
      </c>
      <c r="D1121" s="2" t="s">
        <v>13</v>
      </c>
      <c r="E1121" s="2" t="s">
        <v>14</v>
      </c>
      <c r="F1121" s="2" t="s">
        <v>191</v>
      </c>
      <c r="G1121" s="2" t="s">
        <v>116</v>
      </c>
      <c r="H1121" s="2">
        <v>12</v>
      </c>
      <c r="I1121" s="2">
        <v>17167.54</v>
      </c>
      <c r="J1121" s="2">
        <v>0</v>
      </c>
      <c r="K1121" s="2" t="s">
        <v>17</v>
      </c>
      <c r="L1121" s="2" t="s">
        <v>143</v>
      </c>
    </row>
    <row r="1122" spans="1:12" x14ac:dyDescent="0.2">
      <c r="A1122" s="2">
        <v>101950</v>
      </c>
      <c r="B1122" s="17">
        <v>45343</v>
      </c>
      <c r="C1122" s="2" t="s">
        <v>586</v>
      </c>
      <c r="D1122" s="2" t="s">
        <v>160</v>
      </c>
      <c r="E1122" s="2" t="s">
        <v>79</v>
      </c>
      <c r="F1122" s="2" t="s">
        <v>55</v>
      </c>
      <c r="G1122" s="2" t="s">
        <v>99</v>
      </c>
      <c r="H1122" s="2">
        <v>8</v>
      </c>
      <c r="I1122" s="2">
        <v>1689.83</v>
      </c>
      <c r="J1122" s="2">
        <v>0.2</v>
      </c>
      <c r="K1122" s="2" t="s">
        <v>17</v>
      </c>
      <c r="L1122" s="2" t="s">
        <v>87</v>
      </c>
    </row>
    <row r="1123" spans="1:12" x14ac:dyDescent="0.2">
      <c r="A1123" s="2">
        <v>101314</v>
      </c>
      <c r="B1123" s="17">
        <v>45408</v>
      </c>
      <c r="C1123" s="2" t="s">
        <v>850</v>
      </c>
      <c r="D1123" s="2" t="s">
        <v>20</v>
      </c>
      <c r="E1123" s="2" t="s">
        <v>21</v>
      </c>
      <c r="F1123" s="2" t="s">
        <v>124</v>
      </c>
      <c r="G1123" s="2" t="s">
        <v>51</v>
      </c>
      <c r="H1123" s="2">
        <v>8</v>
      </c>
      <c r="I1123" s="2"/>
      <c r="J1123" s="2">
        <v>0.25</v>
      </c>
      <c r="K1123" s="2" t="s">
        <v>29</v>
      </c>
      <c r="L1123" s="2" t="s">
        <v>25</v>
      </c>
    </row>
    <row r="1124" spans="1:12" x14ac:dyDescent="0.2">
      <c r="A1124" s="2">
        <v>101824</v>
      </c>
      <c r="B1124" s="17">
        <v>45371</v>
      </c>
      <c r="C1124" s="2" t="s">
        <v>851</v>
      </c>
      <c r="D1124" s="2" t="s">
        <v>31</v>
      </c>
      <c r="E1124" s="2" t="s">
        <v>32</v>
      </c>
      <c r="F1124" s="2" t="s">
        <v>22</v>
      </c>
      <c r="G1124" s="2" t="s">
        <v>232</v>
      </c>
      <c r="H1124" s="2">
        <v>8</v>
      </c>
      <c r="I1124" s="2">
        <v>3191.18</v>
      </c>
      <c r="J1124" s="2">
        <v>0</v>
      </c>
      <c r="K1124" s="2" t="s">
        <v>29</v>
      </c>
      <c r="L1124" s="2" t="s">
        <v>18</v>
      </c>
    </row>
    <row r="1125" spans="1:12" x14ac:dyDescent="0.2">
      <c r="A1125" s="2">
        <v>100634</v>
      </c>
      <c r="B1125" s="17">
        <v>45321</v>
      </c>
      <c r="C1125" s="2" t="s">
        <v>513</v>
      </c>
      <c r="D1125" s="2" t="s">
        <v>140</v>
      </c>
      <c r="E1125" s="2" t="s">
        <v>49</v>
      </c>
      <c r="F1125" s="2" t="s">
        <v>102</v>
      </c>
      <c r="G1125" s="2" t="s">
        <v>137</v>
      </c>
      <c r="H1125" s="2">
        <v>6</v>
      </c>
      <c r="I1125" s="2">
        <v>2974.34</v>
      </c>
      <c r="J1125" s="2"/>
      <c r="K1125" s="2" t="s">
        <v>29</v>
      </c>
      <c r="L1125" s="2" t="s">
        <v>143</v>
      </c>
    </row>
    <row r="1126" spans="1:12" x14ac:dyDescent="0.2">
      <c r="A1126" s="2">
        <v>101202</v>
      </c>
      <c r="B1126" s="2" t="s">
        <v>852</v>
      </c>
      <c r="C1126" s="2" t="s">
        <v>853</v>
      </c>
      <c r="D1126" s="2" t="s">
        <v>44</v>
      </c>
      <c r="E1126" s="2" t="s">
        <v>32</v>
      </c>
      <c r="F1126" s="2" t="s">
        <v>124</v>
      </c>
      <c r="G1126" s="2" t="s">
        <v>207</v>
      </c>
      <c r="H1126" s="2">
        <v>8</v>
      </c>
      <c r="I1126" s="2">
        <v>10630.22</v>
      </c>
      <c r="J1126" s="2">
        <v>0.2</v>
      </c>
      <c r="K1126" s="2" t="s">
        <v>66</v>
      </c>
      <c r="L1126" s="2" t="s">
        <v>121</v>
      </c>
    </row>
    <row r="1127" spans="1:12" x14ac:dyDescent="0.2">
      <c r="A1127" s="2">
        <v>100656</v>
      </c>
      <c r="B1127" s="18">
        <v>45528</v>
      </c>
      <c r="C1127" s="2" t="s">
        <v>148</v>
      </c>
      <c r="D1127" s="2" t="s">
        <v>13</v>
      </c>
      <c r="E1127" s="2" t="s">
        <v>119</v>
      </c>
      <c r="F1127" s="2" t="s">
        <v>39</v>
      </c>
      <c r="G1127" s="2" t="s">
        <v>40</v>
      </c>
      <c r="H1127" s="2">
        <v>7</v>
      </c>
      <c r="I1127" s="2">
        <v>806.97</v>
      </c>
      <c r="J1127" s="2">
        <v>0</v>
      </c>
      <c r="K1127" s="2" t="s">
        <v>17</v>
      </c>
      <c r="L1127" s="2" t="s">
        <v>52</v>
      </c>
    </row>
    <row r="1128" spans="1:12" x14ac:dyDescent="0.2">
      <c r="A1128" s="2">
        <v>100017</v>
      </c>
      <c r="B1128" s="2" t="s">
        <v>503</v>
      </c>
      <c r="C1128" s="2" t="s">
        <v>286</v>
      </c>
      <c r="D1128" s="2" t="s">
        <v>73</v>
      </c>
      <c r="E1128" s="2" t="s">
        <v>79</v>
      </c>
      <c r="F1128" s="2" t="s">
        <v>223</v>
      </c>
      <c r="G1128" s="2" t="s">
        <v>51</v>
      </c>
      <c r="H1128" s="2">
        <v>6</v>
      </c>
      <c r="I1128" s="2"/>
      <c r="J1128" s="2">
        <v>0</v>
      </c>
      <c r="K1128" s="2" t="s">
        <v>24</v>
      </c>
      <c r="L1128" s="2" t="s">
        <v>121</v>
      </c>
    </row>
    <row r="1129" spans="1:12" x14ac:dyDescent="0.2">
      <c r="A1129" s="2">
        <v>101649</v>
      </c>
      <c r="B1129" s="18">
        <v>45548</v>
      </c>
      <c r="C1129" s="2" t="s">
        <v>766</v>
      </c>
      <c r="D1129" s="2" t="s">
        <v>181</v>
      </c>
      <c r="E1129" s="2" t="s">
        <v>14</v>
      </c>
      <c r="F1129" s="2" t="s">
        <v>102</v>
      </c>
      <c r="G1129" s="2" t="s">
        <v>137</v>
      </c>
      <c r="H1129" s="2">
        <v>4</v>
      </c>
      <c r="I1129" s="2">
        <v>3519.05</v>
      </c>
      <c r="J1129" s="2">
        <v>0.25</v>
      </c>
      <c r="K1129" s="2" t="s">
        <v>17</v>
      </c>
      <c r="L1129" s="2" t="s">
        <v>52</v>
      </c>
    </row>
    <row r="1130" spans="1:12" x14ac:dyDescent="0.2">
      <c r="A1130" s="2">
        <v>101179</v>
      </c>
      <c r="B1130" s="18">
        <v>45467</v>
      </c>
      <c r="C1130" s="2" t="s">
        <v>405</v>
      </c>
      <c r="D1130" s="2" t="s">
        <v>44</v>
      </c>
      <c r="E1130" s="2" t="s">
        <v>54</v>
      </c>
      <c r="F1130" s="2" t="s">
        <v>39</v>
      </c>
      <c r="G1130" s="2" t="s">
        <v>242</v>
      </c>
      <c r="H1130" s="2">
        <v>12</v>
      </c>
      <c r="I1130" s="2">
        <v>157.79</v>
      </c>
      <c r="J1130" s="2">
        <v>0.05</v>
      </c>
      <c r="K1130" s="2" t="s">
        <v>17</v>
      </c>
      <c r="L1130" s="2" t="s">
        <v>143</v>
      </c>
    </row>
    <row r="1131" spans="1:12" x14ac:dyDescent="0.2">
      <c r="A1131" s="2">
        <v>100138</v>
      </c>
      <c r="B1131" s="18">
        <v>45310</v>
      </c>
      <c r="C1131" s="2" t="s">
        <v>808</v>
      </c>
      <c r="D1131" s="2" t="s">
        <v>48</v>
      </c>
      <c r="E1131" s="2" t="s">
        <v>79</v>
      </c>
      <c r="F1131" s="2" t="s">
        <v>28</v>
      </c>
      <c r="G1131" s="2" t="s">
        <v>16</v>
      </c>
      <c r="H1131" s="2">
        <v>1</v>
      </c>
      <c r="I1131" s="2"/>
      <c r="J1131" s="2">
        <v>0</v>
      </c>
      <c r="K1131" s="2" t="s">
        <v>29</v>
      </c>
      <c r="L1131" s="2" t="s">
        <v>18</v>
      </c>
    </row>
    <row r="1132" spans="1:12" x14ac:dyDescent="0.2">
      <c r="A1132" s="2">
        <v>101239</v>
      </c>
      <c r="B1132" s="17">
        <v>45574</v>
      </c>
      <c r="C1132" s="2" t="s">
        <v>854</v>
      </c>
      <c r="D1132" s="2" t="s">
        <v>109</v>
      </c>
      <c r="E1132" s="2" t="s">
        <v>21</v>
      </c>
      <c r="F1132" s="2" t="s">
        <v>155</v>
      </c>
      <c r="G1132" s="2" t="s">
        <v>103</v>
      </c>
      <c r="H1132" s="2">
        <v>7</v>
      </c>
      <c r="I1132" s="2">
        <v>926.21</v>
      </c>
      <c r="J1132" s="2">
        <v>0.05</v>
      </c>
      <c r="K1132" s="2" t="s">
        <v>66</v>
      </c>
      <c r="L1132" s="2" t="s">
        <v>35</v>
      </c>
    </row>
    <row r="1133" spans="1:12" x14ac:dyDescent="0.2">
      <c r="A1133" s="2">
        <v>100698</v>
      </c>
      <c r="B1133" s="17">
        <v>45487</v>
      </c>
      <c r="C1133" s="2"/>
      <c r="D1133" s="2" t="s">
        <v>181</v>
      </c>
      <c r="E1133" s="2" t="s">
        <v>14</v>
      </c>
      <c r="F1133" s="2" t="s">
        <v>155</v>
      </c>
      <c r="G1133" s="2" t="s">
        <v>156</v>
      </c>
      <c r="H1133" s="2">
        <v>4</v>
      </c>
      <c r="I1133" s="2">
        <v>2512.61</v>
      </c>
      <c r="J1133" s="2">
        <v>10</v>
      </c>
      <c r="K1133" s="2" t="s">
        <v>41</v>
      </c>
      <c r="L1133" s="2" t="s">
        <v>42</v>
      </c>
    </row>
    <row r="1134" spans="1:12" x14ac:dyDescent="0.2">
      <c r="A1134" s="2">
        <v>101098</v>
      </c>
      <c r="B1134" s="18">
        <v>45390</v>
      </c>
      <c r="C1134" s="2" t="s">
        <v>855</v>
      </c>
      <c r="D1134" s="2" t="s">
        <v>129</v>
      </c>
      <c r="E1134" s="2" t="s">
        <v>49</v>
      </c>
      <c r="F1134" s="2" t="s">
        <v>155</v>
      </c>
      <c r="G1134" s="2" t="s">
        <v>156</v>
      </c>
      <c r="H1134" s="2">
        <v>2</v>
      </c>
      <c r="I1134" s="2" t="s">
        <v>856</v>
      </c>
      <c r="J1134" s="2">
        <v>0</v>
      </c>
      <c r="K1134" s="2" t="s">
        <v>29</v>
      </c>
      <c r="L1134" s="2" t="s">
        <v>121</v>
      </c>
    </row>
    <row r="1135" spans="1:12" x14ac:dyDescent="0.2">
      <c r="A1135" s="2">
        <v>101634</v>
      </c>
      <c r="B1135" s="17">
        <v>45549</v>
      </c>
      <c r="C1135" s="2" t="s">
        <v>450</v>
      </c>
      <c r="D1135" s="2" t="s">
        <v>44</v>
      </c>
      <c r="E1135" s="2" t="s">
        <v>32</v>
      </c>
      <c r="F1135" s="2" t="s">
        <v>223</v>
      </c>
      <c r="G1135" s="2" t="s">
        <v>207</v>
      </c>
      <c r="H1135" s="2">
        <v>3</v>
      </c>
      <c r="I1135" s="2">
        <v>3695.08</v>
      </c>
      <c r="J1135" s="2">
        <v>0.2</v>
      </c>
      <c r="K1135" s="2" t="s">
        <v>29</v>
      </c>
      <c r="L1135" s="2" t="s">
        <v>121</v>
      </c>
    </row>
    <row r="1136" spans="1:12" x14ac:dyDescent="0.2">
      <c r="A1136" s="2">
        <v>100449</v>
      </c>
      <c r="B1136" s="18">
        <v>45367</v>
      </c>
      <c r="C1136" s="2" t="s">
        <v>857</v>
      </c>
      <c r="D1136" s="2" t="s">
        <v>20</v>
      </c>
      <c r="E1136" s="2" t="s">
        <v>133</v>
      </c>
      <c r="F1136" s="2" t="s">
        <v>22</v>
      </c>
      <c r="G1136" s="2" t="s">
        <v>141</v>
      </c>
      <c r="H1136" s="2">
        <v>12</v>
      </c>
      <c r="I1136" s="2">
        <v>3240.33</v>
      </c>
      <c r="J1136" s="2">
        <v>0</v>
      </c>
      <c r="K1136" s="2" t="s">
        <v>24</v>
      </c>
      <c r="L1136" s="2" t="s">
        <v>87</v>
      </c>
    </row>
    <row r="1137" spans="1:12" x14ac:dyDescent="0.2">
      <c r="A1137" s="2">
        <v>101915</v>
      </c>
      <c r="B1137" s="17">
        <v>45495</v>
      </c>
      <c r="C1137" s="2"/>
      <c r="D1137" s="2" t="s">
        <v>89</v>
      </c>
      <c r="E1137" s="2" t="s">
        <v>32</v>
      </c>
      <c r="F1137" s="2" t="s">
        <v>22</v>
      </c>
      <c r="G1137" s="2" t="s">
        <v>141</v>
      </c>
      <c r="H1137" s="2">
        <v>12</v>
      </c>
      <c r="I1137" s="2"/>
      <c r="J1137" s="2"/>
      <c r="K1137" s="2" t="s">
        <v>17</v>
      </c>
      <c r="L1137" s="2" t="s">
        <v>42</v>
      </c>
    </row>
    <row r="1138" spans="1:12" x14ac:dyDescent="0.2">
      <c r="A1138" s="2">
        <v>100328</v>
      </c>
      <c r="B1138" s="2" t="s">
        <v>858</v>
      </c>
      <c r="C1138" s="2" t="s">
        <v>334</v>
      </c>
      <c r="D1138" s="2" t="s">
        <v>31</v>
      </c>
      <c r="E1138" s="2" t="s">
        <v>32</v>
      </c>
      <c r="F1138" s="2" t="s">
        <v>33</v>
      </c>
      <c r="G1138" s="2" t="s">
        <v>93</v>
      </c>
      <c r="H1138" s="2">
        <v>11</v>
      </c>
      <c r="I1138" s="2">
        <v>480.88</v>
      </c>
      <c r="J1138" s="2">
        <v>0</v>
      </c>
      <c r="K1138" s="2" t="s">
        <v>83</v>
      </c>
      <c r="L1138" s="2" t="s">
        <v>35</v>
      </c>
    </row>
    <row r="1139" spans="1:12" x14ac:dyDescent="0.2">
      <c r="A1139" s="2">
        <v>100318</v>
      </c>
      <c r="B1139" s="18">
        <v>45397</v>
      </c>
      <c r="C1139" s="2" t="s">
        <v>434</v>
      </c>
      <c r="D1139" s="2" t="s">
        <v>181</v>
      </c>
      <c r="E1139" s="2" t="s">
        <v>14</v>
      </c>
      <c r="F1139" s="2" t="s">
        <v>70</v>
      </c>
      <c r="G1139" s="2" t="s">
        <v>97</v>
      </c>
      <c r="H1139" s="2">
        <v>6</v>
      </c>
      <c r="I1139" s="2">
        <v>2467.29</v>
      </c>
      <c r="J1139" s="2">
        <v>0</v>
      </c>
      <c r="K1139" s="2" t="s">
        <v>17</v>
      </c>
      <c r="L1139" s="2" t="s">
        <v>52</v>
      </c>
    </row>
    <row r="1140" spans="1:12" x14ac:dyDescent="0.2">
      <c r="A1140" s="2">
        <v>101546</v>
      </c>
      <c r="B1140" s="17">
        <v>45496</v>
      </c>
      <c r="C1140" s="2" t="s">
        <v>859</v>
      </c>
      <c r="D1140" s="2" t="s">
        <v>85</v>
      </c>
      <c r="E1140" s="2" t="s">
        <v>119</v>
      </c>
      <c r="F1140" s="2" t="s">
        <v>96</v>
      </c>
      <c r="G1140" s="2" t="s">
        <v>71</v>
      </c>
      <c r="H1140" s="2">
        <v>7</v>
      </c>
      <c r="I1140" s="2">
        <v>26460.66</v>
      </c>
      <c r="J1140" s="2">
        <v>0.15</v>
      </c>
      <c r="K1140" s="2" t="s">
        <v>66</v>
      </c>
      <c r="L1140" s="2" t="s">
        <v>42</v>
      </c>
    </row>
    <row r="1141" spans="1:12" x14ac:dyDescent="0.2">
      <c r="A1141" s="2">
        <v>100527</v>
      </c>
      <c r="B1141" s="17">
        <v>45295</v>
      </c>
      <c r="C1141" s="2" t="s">
        <v>188</v>
      </c>
      <c r="D1141" s="2" t="s">
        <v>131</v>
      </c>
      <c r="E1141" s="2" t="s">
        <v>133</v>
      </c>
      <c r="F1141" s="2" t="s">
        <v>50</v>
      </c>
      <c r="G1141" s="2" t="s">
        <v>56</v>
      </c>
      <c r="H1141" s="2">
        <v>9</v>
      </c>
      <c r="I1141" s="2">
        <v>4200.57</v>
      </c>
      <c r="J1141" s="2">
        <v>20</v>
      </c>
      <c r="K1141" s="2" t="s">
        <v>66</v>
      </c>
      <c r="L1141" s="2" t="s">
        <v>18</v>
      </c>
    </row>
    <row r="1142" spans="1:12" x14ac:dyDescent="0.2">
      <c r="A1142" s="2">
        <v>100088</v>
      </c>
      <c r="B1142" s="17">
        <v>45636</v>
      </c>
      <c r="C1142" s="2" t="s">
        <v>122</v>
      </c>
      <c r="D1142" s="2" t="s">
        <v>85</v>
      </c>
      <c r="E1142" s="2" t="s">
        <v>119</v>
      </c>
      <c r="F1142" s="2" t="s">
        <v>39</v>
      </c>
      <c r="G1142" s="2" t="s">
        <v>165</v>
      </c>
      <c r="H1142" s="2">
        <v>8</v>
      </c>
      <c r="I1142" s="2">
        <v>554.66999999999996</v>
      </c>
      <c r="J1142" s="2">
        <v>0</v>
      </c>
      <c r="K1142" s="2" t="s">
        <v>29</v>
      </c>
      <c r="L1142" s="2" t="s">
        <v>143</v>
      </c>
    </row>
    <row r="1143" spans="1:12" x14ac:dyDescent="0.2">
      <c r="A1143" s="2">
        <v>101288</v>
      </c>
      <c r="B1143" s="18">
        <v>45314</v>
      </c>
      <c r="C1143" s="2" t="s">
        <v>211</v>
      </c>
      <c r="D1143" s="2" t="s">
        <v>101</v>
      </c>
      <c r="E1143" s="2" t="s">
        <v>69</v>
      </c>
      <c r="F1143" s="2" t="s">
        <v>33</v>
      </c>
      <c r="G1143" s="2" t="s">
        <v>81</v>
      </c>
      <c r="H1143" s="2">
        <v>3</v>
      </c>
      <c r="I1143" s="2">
        <v>488.89</v>
      </c>
      <c r="J1143" s="2">
        <v>15</v>
      </c>
      <c r="K1143" s="2" t="s">
        <v>41</v>
      </c>
      <c r="L1143" s="2" t="s">
        <v>121</v>
      </c>
    </row>
    <row r="1144" spans="1:12" x14ac:dyDescent="0.2">
      <c r="A1144" s="2">
        <v>100149</v>
      </c>
      <c r="B1144" s="2" t="s">
        <v>860</v>
      </c>
      <c r="C1144" s="2" t="s">
        <v>506</v>
      </c>
      <c r="D1144" s="2" t="s">
        <v>73</v>
      </c>
      <c r="E1144" s="2" t="s">
        <v>79</v>
      </c>
      <c r="F1144" s="2" t="s">
        <v>70</v>
      </c>
      <c r="G1144" s="2" t="s">
        <v>149</v>
      </c>
      <c r="H1144" s="2">
        <v>6</v>
      </c>
      <c r="I1144" s="2">
        <v>15930.43</v>
      </c>
      <c r="J1144" s="2">
        <v>15</v>
      </c>
      <c r="K1144" s="2" t="s">
        <v>41</v>
      </c>
      <c r="L1144" s="2" t="s">
        <v>18</v>
      </c>
    </row>
    <row r="1145" spans="1:12" x14ac:dyDescent="0.2">
      <c r="A1145" s="2">
        <v>101641</v>
      </c>
      <c r="B1145" s="18">
        <v>45516</v>
      </c>
      <c r="C1145" s="2" t="s">
        <v>91</v>
      </c>
      <c r="D1145" s="2" t="s">
        <v>27</v>
      </c>
      <c r="E1145" s="2" t="s">
        <v>133</v>
      </c>
      <c r="F1145" s="2" t="s">
        <v>64</v>
      </c>
      <c r="G1145" s="2" t="s">
        <v>292</v>
      </c>
      <c r="H1145" s="2">
        <v>10</v>
      </c>
      <c r="I1145" s="2">
        <v>730.63</v>
      </c>
      <c r="J1145" s="2">
        <v>0.25</v>
      </c>
      <c r="K1145" s="2" t="s">
        <v>29</v>
      </c>
      <c r="L1145" s="2" t="s">
        <v>87</v>
      </c>
    </row>
    <row r="1146" spans="1:12" x14ac:dyDescent="0.2">
      <c r="A1146" s="2">
        <v>101222</v>
      </c>
      <c r="B1146" s="17">
        <v>45343</v>
      </c>
      <c r="C1146" s="2" t="s">
        <v>449</v>
      </c>
      <c r="D1146" s="2" t="s">
        <v>27</v>
      </c>
      <c r="E1146" s="2" t="s">
        <v>21</v>
      </c>
      <c r="F1146" s="2" t="s">
        <v>39</v>
      </c>
      <c r="G1146" s="2" t="s">
        <v>165</v>
      </c>
      <c r="H1146" s="2">
        <v>4</v>
      </c>
      <c r="I1146" s="2">
        <v>706.01</v>
      </c>
      <c r="J1146" s="2">
        <v>15</v>
      </c>
      <c r="K1146" s="2" t="s">
        <v>83</v>
      </c>
      <c r="L1146" s="2" t="s">
        <v>121</v>
      </c>
    </row>
    <row r="1147" spans="1:12" x14ac:dyDescent="0.2">
      <c r="A1147" s="2">
        <v>101477</v>
      </c>
      <c r="B1147" s="2" t="s">
        <v>750</v>
      </c>
      <c r="C1147" s="2" t="s">
        <v>290</v>
      </c>
      <c r="D1147" s="2" t="s">
        <v>109</v>
      </c>
      <c r="E1147" s="2" t="s">
        <v>133</v>
      </c>
      <c r="F1147" s="2" t="s">
        <v>102</v>
      </c>
      <c r="G1147" s="2" t="s">
        <v>156</v>
      </c>
      <c r="H1147" s="2">
        <v>10</v>
      </c>
      <c r="I1147" s="2">
        <v>2691.22</v>
      </c>
      <c r="J1147" s="2"/>
      <c r="K1147" s="2" t="s">
        <v>24</v>
      </c>
      <c r="L1147" s="2" t="s">
        <v>25</v>
      </c>
    </row>
    <row r="1148" spans="1:12" x14ac:dyDescent="0.2">
      <c r="A1148" s="2">
        <v>100366</v>
      </c>
      <c r="B1148" s="17">
        <v>45380</v>
      </c>
      <c r="C1148" s="2" t="s">
        <v>740</v>
      </c>
      <c r="D1148" s="2" t="s">
        <v>175</v>
      </c>
      <c r="E1148" s="2" t="s">
        <v>69</v>
      </c>
      <c r="F1148" s="2" t="s">
        <v>22</v>
      </c>
      <c r="G1148" s="2" t="s">
        <v>75</v>
      </c>
      <c r="H1148" s="2"/>
      <c r="I1148" s="2">
        <v>3372.88</v>
      </c>
      <c r="J1148" s="2"/>
      <c r="K1148" s="2" t="s">
        <v>29</v>
      </c>
      <c r="L1148" s="2" t="s">
        <v>87</v>
      </c>
    </row>
    <row r="1149" spans="1:12" x14ac:dyDescent="0.2">
      <c r="A1149" s="2">
        <v>100590</v>
      </c>
      <c r="B1149" s="18">
        <v>45326</v>
      </c>
      <c r="C1149" s="2" t="s">
        <v>861</v>
      </c>
      <c r="D1149" s="2" t="s">
        <v>13</v>
      </c>
      <c r="E1149" s="2" t="s">
        <v>119</v>
      </c>
      <c r="F1149" s="2" t="s">
        <v>64</v>
      </c>
      <c r="G1149" s="2" t="s">
        <v>165</v>
      </c>
      <c r="H1149" s="2">
        <v>9</v>
      </c>
      <c r="I1149" s="2">
        <v>536.82000000000005</v>
      </c>
      <c r="J1149" s="2">
        <v>0</v>
      </c>
      <c r="K1149" s="2" t="s">
        <v>17</v>
      </c>
      <c r="L1149" s="2" t="s">
        <v>121</v>
      </c>
    </row>
    <row r="1150" spans="1:12" x14ac:dyDescent="0.2">
      <c r="A1150" s="2">
        <v>101528</v>
      </c>
      <c r="B1150" s="18">
        <v>45494</v>
      </c>
      <c r="C1150" s="2" t="s">
        <v>652</v>
      </c>
      <c r="D1150" s="2" t="s">
        <v>31</v>
      </c>
      <c r="E1150" s="2" t="s">
        <v>32</v>
      </c>
      <c r="F1150" s="2" t="s">
        <v>120</v>
      </c>
      <c r="G1150" s="2" t="s">
        <v>145</v>
      </c>
      <c r="H1150" s="2">
        <v>9</v>
      </c>
      <c r="I1150" s="2">
        <v>795.17</v>
      </c>
      <c r="J1150" s="2"/>
      <c r="K1150" s="2" t="s">
        <v>29</v>
      </c>
      <c r="L1150" s="2" t="s">
        <v>52</v>
      </c>
    </row>
    <row r="1151" spans="1:12" x14ac:dyDescent="0.2">
      <c r="A1151" s="2">
        <v>100199</v>
      </c>
      <c r="B1151" s="17">
        <v>45600</v>
      </c>
      <c r="C1151" s="2" t="s">
        <v>862</v>
      </c>
      <c r="D1151" s="2" t="s">
        <v>101</v>
      </c>
      <c r="E1151" s="2" t="s">
        <v>69</v>
      </c>
      <c r="F1151" s="2" t="s">
        <v>55</v>
      </c>
      <c r="G1151" s="2" t="s">
        <v>51</v>
      </c>
      <c r="H1151" s="2">
        <v>4</v>
      </c>
      <c r="I1151" s="2">
        <v>973.23</v>
      </c>
      <c r="J1151" s="2">
        <v>5</v>
      </c>
      <c r="K1151" s="2" t="s">
        <v>41</v>
      </c>
      <c r="L1151" s="2" t="s">
        <v>35</v>
      </c>
    </row>
    <row r="1152" spans="1:12" x14ac:dyDescent="0.2">
      <c r="A1152" s="2">
        <v>101953</v>
      </c>
      <c r="B1152" s="18">
        <v>45440</v>
      </c>
      <c r="C1152" s="2" t="s">
        <v>863</v>
      </c>
      <c r="D1152" s="2" t="s">
        <v>101</v>
      </c>
      <c r="E1152" s="2" t="s">
        <v>69</v>
      </c>
      <c r="F1152" s="2" t="s">
        <v>45</v>
      </c>
      <c r="G1152" s="2" t="s">
        <v>97</v>
      </c>
      <c r="H1152" s="2">
        <v>9</v>
      </c>
      <c r="I1152" s="2">
        <v>30233.91</v>
      </c>
      <c r="J1152" s="2">
        <v>0</v>
      </c>
      <c r="K1152" s="2" t="s">
        <v>24</v>
      </c>
      <c r="L1152" s="2" t="s">
        <v>42</v>
      </c>
    </row>
    <row r="1153" spans="1:12" x14ac:dyDescent="0.2">
      <c r="A1153" s="2">
        <v>100193</v>
      </c>
      <c r="B1153" s="17">
        <v>45412</v>
      </c>
      <c r="C1153" s="2" t="s">
        <v>437</v>
      </c>
      <c r="D1153" s="2" t="s">
        <v>131</v>
      </c>
      <c r="E1153" s="2" t="s">
        <v>21</v>
      </c>
      <c r="F1153" s="2" t="s">
        <v>55</v>
      </c>
      <c r="G1153" s="2" t="s">
        <v>51</v>
      </c>
      <c r="H1153" s="2">
        <v>4</v>
      </c>
      <c r="I1153" s="2">
        <v>1711.9</v>
      </c>
      <c r="J1153" s="2">
        <v>0.15</v>
      </c>
      <c r="K1153" s="2" t="s">
        <v>24</v>
      </c>
      <c r="L1153" s="2" t="s">
        <v>35</v>
      </c>
    </row>
    <row r="1154" spans="1:12" x14ac:dyDescent="0.2">
      <c r="A1154" s="2">
        <v>100405</v>
      </c>
      <c r="B1154" s="17">
        <v>45648</v>
      </c>
      <c r="C1154" s="2" t="s">
        <v>68</v>
      </c>
      <c r="D1154" s="2" t="s">
        <v>140</v>
      </c>
      <c r="E1154" s="2" t="s">
        <v>49</v>
      </c>
      <c r="F1154" s="2" t="s">
        <v>124</v>
      </c>
      <c r="G1154" s="2" t="s">
        <v>99</v>
      </c>
      <c r="H1154" s="2">
        <v>-1</v>
      </c>
      <c r="I1154" s="2">
        <v>9210.9</v>
      </c>
      <c r="J1154" s="2"/>
      <c r="K1154" s="2" t="s">
        <v>17</v>
      </c>
      <c r="L1154" s="2" t="s">
        <v>121</v>
      </c>
    </row>
    <row r="1155" spans="1:12" x14ac:dyDescent="0.2">
      <c r="A1155" s="2">
        <v>101592</v>
      </c>
      <c r="B1155" s="18">
        <v>45573</v>
      </c>
      <c r="C1155" s="2" t="s">
        <v>346</v>
      </c>
      <c r="D1155" s="2" t="s">
        <v>37</v>
      </c>
      <c r="E1155" s="2" t="s">
        <v>69</v>
      </c>
      <c r="F1155" s="2" t="s">
        <v>39</v>
      </c>
      <c r="G1155" s="2" t="s">
        <v>165</v>
      </c>
      <c r="H1155" s="2">
        <v>-1</v>
      </c>
      <c r="I1155" s="2" t="s">
        <v>864</v>
      </c>
      <c r="J1155" s="2">
        <v>0</v>
      </c>
      <c r="K1155" s="2" t="s">
        <v>24</v>
      </c>
      <c r="L1155" s="2" t="s">
        <v>87</v>
      </c>
    </row>
    <row r="1156" spans="1:12" x14ac:dyDescent="0.2">
      <c r="A1156" s="2">
        <v>100448</v>
      </c>
      <c r="B1156" s="17">
        <v>45423</v>
      </c>
      <c r="C1156" s="2" t="s">
        <v>217</v>
      </c>
      <c r="D1156" s="2" t="s">
        <v>160</v>
      </c>
      <c r="E1156" s="2" t="s">
        <v>79</v>
      </c>
      <c r="F1156" s="2" t="s">
        <v>96</v>
      </c>
      <c r="G1156" s="2" t="s">
        <v>149</v>
      </c>
      <c r="H1156" s="2">
        <v>6</v>
      </c>
      <c r="I1156" s="2">
        <v>43106.29</v>
      </c>
      <c r="J1156" s="2">
        <v>0</v>
      </c>
      <c r="K1156" s="2" t="s">
        <v>29</v>
      </c>
      <c r="L1156" s="2" t="s">
        <v>25</v>
      </c>
    </row>
    <row r="1157" spans="1:12" x14ac:dyDescent="0.2">
      <c r="A1157" s="2">
        <v>100484</v>
      </c>
      <c r="B1157" s="17">
        <v>45545</v>
      </c>
      <c r="C1157" s="2" t="s">
        <v>800</v>
      </c>
      <c r="D1157" s="2" t="s">
        <v>92</v>
      </c>
      <c r="E1157" s="2" t="s">
        <v>32</v>
      </c>
      <c r="F1157" s="2" t="s">
        <v>74</v>
      </c>
      <c r="G1157" s="2" t="s">
        <v>23</v>
      </c>
      <c r="H1157" s="2">
        <v>11</v>
      </c>
      <c r="I1157" s="2">
        <v>1494.33</v>
      </c>
      <c r="J1157" s="2"/>
      <c r="K1157" s="2" t="s">
        <v>24</v>
      </c>
      <c r="L1157" s="2" t="s">
        <v>42</v>
      </c>
    </row>
    <row r="1158" spans="1:12" x14ac:dyDescent="0.2">
      <c r="A1158" s="2">
        <v>101476</v>
      </c>
      <c r="B1158" s="18">
        <v>45350</v>
      </c>
      <c r="C1158" s="2" t="s">
        <v>267</v>
      </c>
      <c r="D1158" s="2" t="s">
        <v>131</v>
      </c>
      <c r="E1158" s="2" t="s">
        <v>133</v>
      </c>
      <c r="F1158" s="2" t="s">
        <v>102</v>
      </c>
      <c r="G1158" s="2" t="s">
        <v>156</v>
      </c>
      <c r="H1158" s="2">
        <v>5</v>
      </c>
      <c r="I1158" s="2">
        <v>3243.59</v>
      </c>
      <c r="J1158" s="2">
        <v>0</v>
      </c>
      <c r="K1158" s="2" t="s">
        <v>66</v>
      </c>
      <c r="L1158" s="2" t="s">
        <v>121</v>
      </c>
    </row>
    <row r="1159" spans="1:12" x14ac:dyDescent="0.2">
      <c r="A1159" s="2">
        <v>100792</v>
      </c>
      <c r="B1159" s="17">
        <v>45533</v>
      </c>
      <c r="C1159" s="2" t="s">
        <v>530</v>
      </c>
      <c r="D1159" s="2" t="s">
        <v>129</v>
      </c>
      <c r="E1159" s="2" t="s">
        <v>79</v>
      </c>
      <c r="F1159" s="2" t="s">
        <v>70</v>
      </c>
      <c r="G1159" s="2" t="s">
        <v>111</v>
      </c>
      <c r="H1159" s="2">
        <v>5</v>
      </c>
      <c r="I1159" s="2">
        <v>1853</v>
      </c>
      <c r="J1159" s="2">
        <v>0.25</v>
      </c>
      <c r="K1159" s="2" t="s">
        <v>17</v>
      </c>
      <c r="L1159" s="2" t="s">
        <v>18</v>
      </c>
    </row>
    <row r="1160" spans="1:12" x14ac:dyDescent="0.2">
      <c r="A1160" s="2">
        <v>100800</v>
      </c>
      <c r="B1160" s="18">
        <v>45536</v>
      </c>
      <c r="C1160" s="2" t="s">
        <v>761</v>
      </c>
      <c r="D1160" s="2" t="s">
        <v>131</v>
      </c>
      <c r="E1160" s="2" t="s">
        <v>21</v>
      </c>
      <c r="F1160" s="2" t="s">
        <v>96</v>
      </c>
      <c r="G1160" s="2" t="s">
        <v>111</v>
      </c>
      <c r="H1160" s="2">
        <v>10</v>
      </c>
      <c r="I1160" s="2">
        <v>26607.7</v>
      </c>
      <c r="J1160" s="2">
        <v>0</v>
      </c>
      <c r="K1160" s="2" t="s">
        <v>17</v>
      </c>
      <c r="L1160" s="2" t="s">
        <v>143</v>
      </c>
    </row>
    <row r="1161" spans="1:12" x14ac:dyDescent="0.2">
      <c r="A1161" s="2">
        <v>100385</v>
      </c>
      <c r="B1161" s="18">
        <v>45357</v>
      </c>
      <c r="C1161" s="2" t="s">
        <v>865</v>
      </c>
      <c r="D1161" s="2" t="s">
        <v>44</v>
      </c>
      <c r="E1161" s="2" t="s">
        <v>32</v>
      </c>
      <c r="F1161" s="2" t="s">
        <v>22</v>
      </c>
      <c r="G1161" s="2" t="s">
        <v>75</v>
      </c>
      <c r="H1161" s="2">
        <v>8</v>
      </c>
      <c r="I1161" s="2">
        <v>2787.41</v>
      </c>
      <c r="J1161" s="2">
        <v>0</v>
      </c>
      <c r="K1161" s="2" t="s">
        <v>83</v>
      </c>
      <c r="L1161" s="2" t="s">
        <v>18</v>
      </c>
    </row>
    <row r="1162" spans="1:12" x14ac:dyDescent="0.2">
      <c r="A1162" s="2">
        <v>100751</v>
      </c>
      <c r="B1162" s="17">
        <v>45619</v>
      </c>
      <c r="C1162" s="2" t="s">
        <v>30</v>
      </c>
      <c r="D1162" s="2" t="s">
        <v>175</v>
      </c>
      <c r="E1162" s="2" t="s">
        <v>38</v>
      </c>
      <c r="F1162" s="2" t="s">
        <v>223</v>
      </c>
      <c r="G1162" s="2" t="s">
        <v>99</v>
      </c>
      <c r="H1162" s="2">
        <v>12</v>
      </c>
      <c r="I1162" s="2">
        <v>8952.99</v>
      </c>
      <c r="J1162" s="2">
        <v>0</v>
      </c>
      <c r="K1162" s="2" t="s">
        <v>17</v>
      </c>
      <c r="L1162" s="2" t="s">
        <v>18</v>
      </c>
    </row>
    <row r="1163" spans="1:12" x14ac:dyDescent="0.2">
      <c r="A1163" s="2">
        <v>100423</v>
      </c>
      <c r="B1163" s="17">
        <v>45638</v>
      </c>
      <c r="C1163" s="2" t="s">
        <v>775</v>
      </c>
      <c r="D1163" s="2" t="s">
        <v>13</v>
      </c>
      <c r="E1163" s="2" t="s">
        <v>14</v>
      </c>
      <c r="F1163" s="2" t="s">
        <v>22</v>
      </c>
      <c r="G1163" s="2" t="s">
        <v>145</v>
      </c>
      <c r="H1163" s="2">
        <v>11</v>
      </c>
      <c r="I1163" s="2">
        <v>1708.25</v>
      </c>
      <c r="J1163" s="2">
        <v>0</v>
      </c>
      <c r="K1163" s="2" t="s">
        <v>29</v>
      </c>
      <c r="L1163" s="2" t="s">
        <v>52</v>
      </c>
    </row>
    <row r="1164" spans="1:12" x14ac:dyDescent="0.2">
      <c r="A1164" s="2">
        <v>100315</v>
      </c>
      <c r="B1164" s="17">
        <v>45512</v>
      </c>
      <c r="C1164" s="2" t="s">
        <v>853</v>
      </c>
      <c r="D1164" s="2" t="s">
        <v>160</v>
      </c>
      <c r="E1164" s="2" t="s">
        <v>79</v>
      </c>
      <c r="F1164" s="2" t="s">
        <v>113</v>
      </c>
      <c r="G1164" s="2" t="s">
        <v>165</v>
      </c>
      <c r="H1164" s="2">
        <v>3</v>
      </c>
      <c r="I1164" s="2"/>
      <c r="J1164" s="2">
        <v>0.1</v>
      </c>
      <c r="K1164" s="2" t="s">
        <v>29</v>
      </c>
      <c r="L1164" s="2" t="s">
        <v>35</v>
      </c>
    </row>
    <row r="1165" spans="1:12" x14ac:dyDescent="0.2">
      <c r="A1165" s="2">
        <v>101022</v>
      </c>
      <c r="B1165" s="18">
        <v>45444</v>
      </c>
      <c r="C1165" s="2"/>
      <c r="D1165" s="2" t="s">
        <v>13</v>
      </c>
      <c r="E1165" s="2" t="s">
        <v>119</v>
      </c>
      <c r="F1165" s="2" t="s">
        <v>39</v>
      </c>
      <c r="G1165" s="2" t="s">
        <v>242</v>
      </c>
      <c r="H1165" s="2">
        <v>2</v>
      </c>
      <c r="I1165" s="2">
        <v>892.61</v>
      </c>
      <c r="J1165" s="2">
        <v>20</v>
      </c>
      <c r="K1165" s="2" t="s">
        <v>29</v>
      </c>
      <c r="L1165" s="2" t="s">
        <v>25</v>
      </c>
    </row>
    <row r="1166" spans="1:12" x14ac:dyDescent="0.2">
      <c r="A1166" s="2">
        <v>100544</v>
      </c>
      <c r="B1166" s="18">
        <v>45390</v>
      </c>
      <c r="C1166" s="2" t="s">
        <v>445</v>
      </c>
      <c r="D1166" s="2" t="s">
        <v>95</v>
      </c>
      <c r="E1166" s="2" t="s">
        <v>21</v>
      </c>
      <c r="F1166" s="2" t="s">
        <v>155</v>
      </c>
      <c r="G1166" s="2" t="s">
        <v>135</v>
      </c>
      <c r="H1166" s="2">
        <v>2</v>
      </c>
      <c r="I1166" s="2">
        <v>878.86</v>
      </c>
      <c r="J1166" s="2"/>
      <c r="K1166" s="2" t="s">
        <v>66</v>
      </c>
      <c r="L1166" s="2" t="s">
        <v>25</v>
      </c>
    </row>
    <row r="1167" spans="1:12" x14ac:dyDescent="0.2">
      <c r="A1167" s="2">
        <v>100914</v>
      </c>
      <c r="B1167" s="17">
        <v>45410</v>
      </c>
      <c r="C1167" s="2" t="s">
        <v>585</v>
      </c>
      <c r="D1167" s="2" t="s">
        <v>95</v>
      </c>
      <c r="E1167" s="2" t="s">
        <v>133</v>
      </c>
      <c r="F1167" s="2" t="s">
        <v>28</v>
      </c>
      <c r="G1167" s="2" t="s">
        <v>205</v>
      </c>
      <c r="H1167" s="2">
        <v>5</v>
      </c>
      <c r="I1167" s="2">
        <v>2770.17</v>
      </c>
      <c r="J1167" s="2"/>
      <c r="K1167" s="2" t="s">
        <v>29</v>
      </c>
      <c r="L1167" s="2" t="s">
        <v>25</v>
      </c>
    </row>
    <row r="1168" spans="1:12" x14ac:dyDescent="0.2">
      <c r="A1168" s="2">
        <v>100663</v>
      </c>
      <c r="B1168" s="18">
        <v>45603</v>
      </c>
      <c r="C1168" s="2" t="s">
        <v>213</v>
      </c>
      <c r="D1168" s="2" t="s">
        <v>85</v>
      </c>
      <c r="E1168" s="2" t="s">
        <v>119</v>
      </c>
      <c r="F1168" s="2" t="s">
        <v>64</v>
      </c>
      <c r="G1168" s="2" t="s">
        <v>242</v>
      </c>
      <c r="H1168" s="2">
        <v>5</v>
      </c>
      <c r="I1168" s="2">
        <v>505.8</v>
      </c>
      <c r="J1168" s="2">
        <v>20</v>
      </c>
      <c r="K1168" s="2" t="s">
        <v>41</v>
      </c>
      <c r="L1168" s="2" t="s">
        <v>52</v>
      </c>
    </row>
    <row r="1169" spans="1:12" x14ac:dyDescent="0.2">
      <c r="A1169" s="2">
        <v>100903</v>
      </c>
      <c r="B1169" s="17">
        <v>45296</v>
      </c>
      <c r="C1169" s="2" t="s">
        <v>590</v>
      </c>
      <c r="D1169" s="2" t="s">
        <v>48</v>
      </c>
      <c r="E1169" s="2" t="s">
        <v>79</v>
      </c>
      <c r="F1169" s="2" t="s">
        <v>191</v>
      </c>
      <c r="G1169" s="2" t="s">
        <v>116</v>
      </c>
      <c r="H1169" s="2">
        <v>6</v>
      </c>
      <c r="I1169" s="2" t="s">
        <v>866</v>
      </c>
      <c r="J1169" s="2">
        <v>0.25</v>
      </c>
      <c r="K1169" s="2" t="s">
        <v>83</v>
      </c>
      <c r="L1169" s="2" t="s">
        <v>42</v>
      </c>
    </row>
    <row r="1170" spans="1:12" x14ac:dyDescent="0.2">
      <c r="A1170" s="2">
        <v>101413</v>
      </c>
      <c r="B1170" s="18">
        <v>45545</v>
      </c>
      <c r="C1170" s="2" t="s">
        <v>150</v>
      </c>
      <c r="D1170" s="2" t="s">
        <v>95</v>
      </c>
      <c r="E1170" s="2" t="s">
        <v>133</v>
      </c>
      <c r="F1170" s="2" t="s">
        <v>80</v>
      </c>
      <c r="G1170" s="2" t="s">
        <v>34</v>
      </c>
      <c r="H1170" s="2">
        <v>7</v>
      </c>
      <c r="I1170" s="2">
        <v>34.42</v>
      </c>
      <c r="J1170" s="2">
        <v>5</v>
      </c>
      <c r="K1170" s="2" t="s">
        <v>29</v>
      </c>
      <c r="L1170" s="2" t="s">
        <v>35</v>
      </c>
    </row>
    <row r="1171" spans="1:12" x14ac:dyDescent="0.2">
      <c r="A1171" s="2">
        <v>100686</v>
      </c>
      <c r="B1171" s="18">
        <v>45430</v>
      </c>
      <c r="C1171" s="2" t="s">
        <v>198</v>
      </c>
      <c r="D1171" s="2" t="s">
        <v>13</v>
      </c>
      <c r="E1171" s="2" t="s">
        <v>119</v>
      </c>
      <c r="F1171" s="2" t="s">
        <v>80</v>
      </c>
      <c r="G1171" s="2" t="s">
        <v>158</v>
      </c>
      <c r="H1171" s="2">
        <v>3</v>
      </c>
      <c r="I1171" s="2">
        <v>147.27000000000001</v>
      </c>
      <c r="J1171" s="2">
        <v>15</v>
      </c>
      <c r="K1171" s="2" t="s">
        <v>41</v>
      </c>
      <c r="L1171" s="2" t="s">
        <v>52</v>
      </c>
    </row>
    <row r="1172" spans="1:12" x14ac:dyDescent="0.2">
      <c r="A1172" s="2">
        <v>101697</v>
      </c>
      <c r="B1172" s="17">
        <v>45531</v>
      </c>
      <c r="C1172" s="2" t="s">
        <v>867</v>
      </c>
      <c r="D1172" s="2" t="s">
        <v>89</v>
      </c>
      <c r="E1172" s="2" t="s">
        <v>54</v>
      </c>
      <c r="F1172" s="2" t="s">
        <v>74</v>
      </c>
      <c r="G1172" s="2" t="s">
        <v>75</v>
      </c>
      <c r="H1172" s="2">
        <v>8</v>
      </c>
      <c r="I1172" s="2">
        <v>1633.29</v>
      </c>
      <c r="J1172" s="2">
        <v>0.1</v>
      </c>
      <c r="K1172" s="2" t="s">
        <v>29</v>
      </c>
      <c r="L1172" s="2" t="s">
        <v>42</v>
      </c>
    </row>
    <row r="1173" spans="1:12" x14ac:dyDescent="0.2">
      <c r="A1173" s="2">
        <v>100160</v>
      </c>
      <c r="B1173" s="18">
        <v>45518</v>
      </c>
      <c r="C1173" s="2" t="s">
        <v>19</v>
      </c>
      <c r="D1173" s="2" t="s">
        <v>160</v>
      </c>
      <c r="E1173" s="2" t="s">
        <v>49</v>
      </c>
      <c r="F1173" s="2" t="s">
        <v>22</v>
      </c>
      <c r="G1173" s="2" t="s">
        <v>141</v>
      </c>
      <c r="H1173" s="2">
        <v>8</v>
      </c>
      <c r="I1173" s="2">
        <v>2933.9</v>
      </c>
      <c r="J1173" s="2">
        <v>5</v>
      </c>
      <c r="K1173" s="2" t="s">
        <v>24</v>
      </c>
      <c r="L1173" s="2" t="s">
        <v>42</v>
      </c>
    </row>
    <row r="1174" spans="1:12" x14ac:dyDescent="0.2">
      <c r="A1174" s="2">
        <v>101000</v>
      </c>
      <c r="B1174" s="17">
        <v>45605</v>
      </c>
      <c r="C1174" s="2" t="s">
        <v>554</v>
      </c>
      <c r="D1174" s="2" t="s">
        <v>175</v>
      </c>
      <c r="E1174" s="2" t="s">
        <v>69</v>
      </c>
      <c r="F1174" s="2" t="s">
        <v>96</v>
      </c>
      <c r="G1174" s="2" t="s">
        <v>46</v>
      </c>
      <c r="H1174" s="2">
        <v>5</v>
      </c>
      <c r="I1174" s="2">
        <v>39048.76</v>
      </c>
      <c r="J1174" s="2">
        <v>20</v>
      </c>
      <c r="K1174" s="2" t="s">
        <v>17</v>
      </c>
      <c r="L1174" s="2" t="s">
        <v>121</v>
      </c>
    </row>
    <row r="1175" spans="1:12" x14ac:dyDescent="0.2">
      <c r="A1175" s="2">
        <v>101554</v>
      </c>
      <c r="B1175" s="2" t="s">
        <v>868</v>
      </c>
      <c r="C1175" s="2" t="s">
        <v>627</v>
      </c>
      <c r="D1175" s="2" t="s">
        <v>44</v>
      </c>
      <c r="E1175" s="2" t="s">
        <v>54</v>
      </c>
      <c r="F1175" s="2" t="s">
        <v>39</v>
      </c>
      <c r="G1175" s="2" t="s">
        <v>114</v>
      </c>
      <c r="H1175" s="2">
        <v>4</v>
      </c>
      <c r="I1175" s="2">
        <v>346.54</v>
      </c>
      <c r="J1175" s="2">
        <v>0.1</v>
      </c>
      <c r="K1175" s="2" t="s">
        <v>24</v>
      </c>
      <c r="L1175" s="2" t="s">
        <v>121</v>
      </c>
    </row>
    <row r="1176" spans="1:12" x14ac:dyDescent="0.2">
      <c r="A1176" s="2">
        <v>101797</v>
      </c>
      <c r="B1176" s="18">
        <v>45560</v>
      </c>
      <c r="C1176" s="2"/>
      <c r="D1176" s="2" t="s">
        <v>48</v>
      </c>
      <c r="E1176" s="2" t="s">
        <v>49</v>
      </c>
      <c r="F1176" s="2" t="s">
        <v>28</v>
      </c>
      <c r="G1176" s="2" t="s">
        <v>116</v>
      </c>
      <c r="H1176" s="2">
        <v>11</v>
      </c>
      <c r="I1176" s="2">
        <v>22866.13</v>
      </c>
      <c r="J1176" s="2">
        <v>0</v>
      </c>
      <c r="K1176" s="2" t="s">
        <v>83</v>
      </c>
      <c r="L1176" s="2" t="s">
        <v>35</v>
      </c>
    </row>
    <row r="1177" spans="1:12" x14ac:dyDescent="0.2">
      <c r="A1177" s="2">
        <v>100203</v>
      </c>
      <c r="B1177" s="17">
        <v>45422</v>
      </c>
      <c r="C1177" s="2" t="s">
        <v>644</v>
      </c>
      <c r="D1177" s="2" t="s">
        <v>89</v>
      </c>
      <c r="E1177" s="2" t="s">
        <v>54</v>
      </c>
      <c r="F1177" s="2" t="s">
        <v>50</v>
      </c>
      <c r="G1177" s="2" t="s">
        <v>51</v>
      </c>
      <c r="H1177" s="2">
        <v>7</v>
      </c>
      <c r="I1177" s="2">
        <v>5661.41</v>
      </c>
      <c r="J1177" s="2">
        <v>0</v>
      </c>
      <c r="K1177" s="2" t="s">
        <v>66</v>
      </c>
      <c r="L1177" s="2" t="s">
        <v>25</v>
      </c>
    </row>
    <row r="1178" spans="1:12" x14ac:dyDescent="0.2">
      <c r="A1178" s="2">
        <v>101024</v>
      </c>
      <c r="B1178" s="17">
        <v>45328</v>
      </c>
      <c r="C1178" s="2" t="s">
        <v>869</v>
      </c>
      <c r="D1178" s="2" t="s">
        <v>31</v>
      </c>
      <c r="E1178" s="2" t="s">
        <v>32</v>
      </c>
      <c r="F1178" s="2" t="s">
        <v>45</v>
      </c>
      <c r="G1178" s="2" t="s">
        <v>111</v>
      </c>
      <c r="H1178" s="2">
        <v>3</v>
      </c>
      <c r="I1178" s="2">
        <v>32596.78</v>
      </c>
      <c r="J1178" s="2">
        <v>0</v>
      </c>
      <c r="K1178" s="2" t="s">
        <v>41</v>
      </c>
      <c r="L1178" s="2" t="s">
        <v>42</v>
      </c>
    </row>
    <row r="1179" spans="1:12" x14ac:dyDescent="0.2">
      <c r="A1179" s="2">
        <v>101551</v>
      </c>
      <c r="B1179" s="17">
        <v>45542</v>
      </c>
      <c r="C1179" s="2" t="s">
        <v>221</v>
      </c>
      <c r="D1179" s="2" t="s">
        <v>181</v>
      </c>
      <c r="E1179" s="2" t="s">
        <v>14</v>
      </c>
      <c r="F1179" s="2" t="s">
        <v>191</v>
      </c>
      <c r="G1179" s="2" t="s">
        <v>59</v>
      </c>
      <c r="H1179" s="2">
        <v>11</v>
      </c>
      <c r="I1179" s="2">
        <v>16270.35</v>
      </c>
      <c r="J1179" s="2">
        <v>0.25</v>
      </c>
      <c r="K1179" s="2" t="s">
        <v>29</v>
      </c>
      <c r="L1179" s="2" t="s">
        <v>87</v>
      </c>
    </row>
    <row r="1180" spans="1:12" x14ac:dyDescent="0.2">
      <c r="A1180" s="2">
        <v>101600</v>
      </c>
      <c r="B1180" s="18">
        <v>45413</v>
      </c>
      <c r="C1180" s="2" t="s">
        <v>170</v>
      </c>
      <c r="D1180" s="2" t="s">
        <v>181</v>
      </c>
      <c r="E1180" s="2" t="s">
        <v>119</v>
      </c>
      <c r="F1180" s="2" t="s">
        <v>39</v>
      </c>
      <c r="G1180" s="2" t="s">
        <v>292</v>
      </c>
      <c r="H1180" s="2">
        <v>10</v>
      </c>
      <c r="I1180" s="2">
        <v>368</v>
      </c>
      <c r="J1180" s="2">
        <v>0</v>
      </c>
      <c r="K1180" s="2" t="s">
        <v>41</v>
      </c>
      <c r="L1180" s="2" t="s">
        <v>18</v>
      </c>
    </row>
    <row r="1181" spans="1:12" x14ac:dyDescent="0.2">
      <c r="A1181" s="2">
        <v>100113</v>
      </c>
      <c r="B1181" s="18">
        <v>45294</v>
      </c>
      <c r="C1181" s="2" t="s">
        <v>622</v>
      </c>
      <c r="D1181" s="2" t="s">
        <v>131</v>
      </c>
      <c r="E1181" s="2" t="s">
        <v>133</v>
      </c>
      <c r="F1181" s="2" t="s">
        <v>86</v>
      </c>
      <c r="G1181" s="2" t="s">
        <v>46</v>
      </c>
      <c r="H1181" s="2">
        <v>12</v>
      </c>
      <c r="I1181" s="2">
        <v>32520.22</v>
      </c>
      <c r="J1181" s="2">
        <v>0.2</v>
      </c>
      <c r="K1181" s="2" t="s">
        <v>41</v>
      </c>
      <c r="L1181" s="2" t="s">
        <v>121</v>
      </c>
    </row>
    <row r="1182" spans="1:12" x14ac:dyDescent="0.2">
      <c r="A1182" s="2">
        <v>101827</v>
      </c>
      <c r="B1182" s="17">
        <v>45353</v>
      </c>
      <c r="C1182" s="2" t="s">
        <v>627</v>
      </c>
      <c r="D1182" s="2" t="s">
        <v>73</v>
      </c>
      <c r="E1182" s="2" t="s">
        <v>49</v>
      </c>
      <c r="F1182" s="2" t="s">
        <v>106</v>
      </c>
      <c r="G1182" s="2" t="s">
        <v>103</v>
      </c>
      <c r="H1182" s="2">
        <v>12</v>
      </c>
      <c r="I1182" s="2">
        <v>3274.82</v>
      </c>
      <c r="J1182" s="2">
        <v>0</v>
      </c>
      <c r="K1182" s="2" t="s">
        <v>24</v>
      </c>
      <c r="L1182" s="2" t="s">
        <v>42</v>
      </c>
    </row>
    <row r="1183" spans="1:12" x14ac:dyDescent="0.2">
      <c r="A1183" s="2">
        <v>101248</v>
      </c>
      <c r="B1183" s="17">
        <v>45416</v>
      </c>
      <c r="C1183" s="2" t="s">
        <v>185</v>
      </c>
      <c r="D1183" s="2" t="s">
        <v>95</v>
      </c>
      <c r="E1183" s="2" t="s">
        <v>133</v>
      </c>
      <c r="F1183" s="2" t="s">
        <v>96</v>
      </c>
      <c r="G1183" s="2" t="s">
        <v>149</v>
      </c>
      <c r="H1183" s="2">
        <v>10</v>
      </c>
      <c r="I1183" s="2">
        <v>21953.98</v>
      </c>
      <c r="J1183" s="2">
        <v>0.1</v>
      </c>
      <c r="K1183" s="2" t="s">
        <v>83</v>
      </c>
      <c r="L1183" s="2" t="s">
        <v>18</v>
      </c>
    </row>
    <row r="1184" spans="1:12" x14ac:dyDescent="0.2">
      <c r="A1184" s="2">
        <v>100981</v>
      </c>
      <c r="B1184" s="18">
        <v>45503</v>
      </c>
      <c r="C1184" s="2" t="s">
        <v>667</v>
      </c>
      <c r="D1184" s="2" t="s">
        <v>48</v>
      </c>
      <c r="E1184" s="2" t="s">
        <v>79</v>
      </c>
      <c r="F1184" s="2" t="s">
        <v>120</v>
      </c>
      <c r="G1184" s="2" t="s">
        <v>145</v>
      </c>
      <c r="H1184" s="2">
        <v>9</v>
      </c>
      <c r="I1184" s="2">
        <v>3258.78</v>
      </c>
      <c r="J1184" s="2">
        <v>0.1</v>
      </c>
      <c r="K1184" s="2" t="s">
        <v>66</v>
      </c>
      <c r="L1184" s="2" t="s">
        <v>25</v>
      </c>
    </row>
    <row r="1185" spans="1:12" x14ac:dyDescent="0.2">
      <c r="A1185" s="2">
        <v>100923</v>
      </c>
      <c r="B1185" s="17">
        <v>45348</v>
      </c>
      <c r="C1185" s="2" t="s">
        <v>620</v>
      </c>
      <c r="D1185" s="2" t="s">
        <v>160</v>
      </c>
      <c r="E1185" s="2" t="s">
        <v>49</v>
      </c>
      <c r="F1185" s="2" t="s">
        <v>33</v>
      </c>
      <c r="G1185" s="2" t="s">
        <v>158</v>
      </c>
      <c r="H1185" s="2">
        <v>10</v>
      </c>
      <c r="I1185" s="2">
        <v>371.01</v>
      </c>
      <c r="J1185" s="2">
        <v>0</v>
      </c>
      <c r="K1185" s="2" t="s">
        <v>24</v>
      </c>
      <c r="L1185" s="2" t="s">
        <v>52</v>
      </c>
    </row>
    <row r="1186" spans="1:12" x14ac:dyDescent="0.2">
      <c r="A1186" s="2">
        <v>101500</v>
      </c>
      <c r="B1186" s="18">
        <v>45357</v>
      </c>
      <c r="C1186" s="2" t="s">
        <v>179</v>
      </c>
      <c r="D1186" s="2" t="s">
        <v>129</v>
      </c>
      <c r="E1186" s="2" t="s">
        <v>79</v>
      </c>
      <c r="F1186" s="2" t="s">
        <v>15</v>
      </c>
      <c r="G1186" s="2" t="s">
        <v>205</v>
      </c>
      <c r="H1186" s="2">
        <v>9</v>
      </c>
      <c r="I1186" s="2">
        <v>17704.400000000001</v>
      </c>
      <c r="J1186" s="2">
        <v>0.2</v>
      </c>
      <c r="K1186" s="2" t="s">
        <v>41</v>
      </c>
      <c r="L1186" s="2" t="s">
        <v>52</v>
      </c>
    </row>
    <row r="1187" spans="1:12" x14ac:dyDescent="0.2">
      <c r="A1187" s="2">
        <v>101607</v>
      </c>
      <c r="B1187" s="18">
        <v>45522</v>
      </c>
      <c r="C1187" s="2" t="s">
        <v>609</v>
      </c>
      <c r="D1187" s="2" t="s">
        <v>44</v>
      </c>
      <c r="E1187" s="2" t="s">
        <v>54</v>
      </c>
      <c r="F1187" s="2" t="s">
        <v>80</v>
      </c>
      <c r="G1187" s="2" t="s">
        <v>158</v>
      </c>
      <c r="H1187" s="2">
        <v>2</v>
      </c>
      <c r="I1187" s="2">
        <v>236.97</v>
      </c>
      <c r="J1187" s="2">
        <v>0.25</v>
      </c>
      <c r="K1187" s="2" t="s">
        <v>66</v>
      </c>
      <c r="L1187" s="2" t="s">
        <v>18</v>
      </c>
    </row>
    <row r="1188" spans="1:12" x14ac:dyDescent="0.2">
      <c r="A1188" s="2">
        <v>101433</v>
      </c>
      <c r="B1188" s="17">
        <v>45480</v>
      </c>
      <c r="C1188" s="2" t="s">
        <v>294</v>
      </c>
      <c r="D1188" s="2" t="s">
        <v>58</v>
      </c>
      <c r="E1188" s="2" t="s">
        <v>69</v>
      </c>
      <c r="F1188" s="2" t="s">
        <v>102</v>
      </c>
      <c r="G1188" s="2" t="s">
        <v>137</v>
      </c>
      <c r="H1188" s="2">
        <v>11</v>
      </c>
      <c r="I1188" s="2" t="s">
        <v>870</v>
      </c>
      <c r="J1188" s="2">
        <v>0.25</v>
      </c>
      <c r="K1188" s="2" t="s">
        <v>41</v>
      </c>
      <c r="L1188" s="2" t="s">
        <v>121</v>
      </c>
    </row>
    <row r="1189" spans="1:12" x14ac:dyDescent="0.2">
      <c r="A1189" s="2">
        <v>101257</v>
      </c>
      <c r="B1189" s="18">
        <v>45583</v>
      </c>
      <c r="C1189" s="2" t="s">
        <v>319</v>
      </c>
      <c r="D1189" s="2" t="s">
        <v>13</v>
      </c>
      <c r="E1189" s="2" t="s">
        <v>119</v>
      </c>
      <c r="F1189" s="2" t="s">
        <v>33</v>
      </c>
      <c r="G1189" s="2" t="s">
        <v>158</v>
      </c>
      <c r="H1189" s="2">
        <v>11</v>
      </c>
      <c r="I1189" s="2">
        <v>303.76</v>
      </c>
      <c r="J1189" s="2">
        <v>0</v>
      </c>
      <c r="K1189" s="2" t="s">
        <v>83</v>
      </c>
      <c r="L1189" s="2" t="s">
        <v>87</v>
      </c>
    </row>
    <row r="1190" spans="1:12" x14ac:dyDescent="0.2">
      <c r="A1190" s="2">
        <v>100816</v>
      </c>
      <c r="B1190" s="17">
        <v>45531</v>
      </c>
      <c r="C1190" s="2" t="s">
        <v>831</v>
      </c>
      <c r="D1190" s="2" t="s">
        <v>61</v>
      </c>
      <c r="E1190" s="2" t="s">
        <v>14</v>
      </c>
      <c r="F1190" s="2" t="s">
        <v>50</v>
      </c>
      <c r="G1190" s="2" t="s">
        <v>207</v>
      </c>
      <c r="H1190" s="2">
        <v>7</v>
      </c>
      <c r="I1190" s="2">
        <v>8797.5</v>
      </c>
      <c r="J1190" s="2"/>
      <c r="K1190" s="2" t="s">
        <v>17</v>
      </c>
      <c r="L1190" s="2" t="s">
        <v>87</v>
      </c>
    </row>
    <row r="1191" spans="1:12" x14ac:dyDescent="0.2">
      <c r="A1191" s="2">
        <v>101380</v>
      </c>
      <c r="B1191" s="18">
        <v>45493</v>
      </c>
      <c r="C1191" s="2" t="s">
        <v>748</v>
      </c>
      <c r="D1191" s="2" t="s">
        <v>95</v>
      </c>
      <c r="E1191" s="2" t="s">
        <v>133</v>
      </c>
      <c r="F1191" s="2" t="s">
        <v>74</v>
      </c>
      <c r="G1191" s="2" t="s">
        <v>145</v>
      </c>
      <c r="H1191" s="2">
        <v>-1</v>
      </c>
      <c r="I1191" s="2">
        <v>2344.9</v>
      </c>
      <c r="J1191" s="2">
        <v>0</v>
      </c>
      <c r="K1191" s="2" t="s">
        <v>83</v>
      </c>
      <c r="L1191" s="2" t="s">
        <v>87</v>
      </c>
    </row>
    <row r="1192" spans="1:12" x14ac:dyDescent="0.2">
      <c r="A1192" s="2">
        <v>101305</v>
      </c>
      <c r="B1192" s="18">
        <v>45447</v>
      </c>
      <c r="C1192" s="2" t="s">
        <v>871</v>
      </c>
      <c r="D1192" s="2" t="s">
        <v>13</v>
      </c>
      <c r="E1192" s="2" t="s">
        <v>14</v>
      </c>
      <c r="F1192" s="2" t="s">
        <v>80</v>
      </c>
      <c r="G1192" s="2" t="s">
        <v>81</v>
      </c>
      <c r="H1192" s="2">
        <v>6</v>
      </c>
      <c r="I1192" s="2">
        <v>280.79000000000002</v>
      </c>
      <c r="J1192" s="2">
        <v>0</v>
      </c>
      <c r="K1192" s="2" t="s">
        <v>24</v>
      </c>
      <c r="L1192" s="2" t="s">
        <v>35</v>
      </c>
    </row>
    <row r="1193" spans="1:12" x14ac:dyDescent="0.2">
      <c r="A1193" s="2">
        <v>100680</v>
      </c>
      <c r="B1193" s="17">
        <v>45298</v>
      </c>
      <c r="C1193" s="2" t="s">
        <v>872</v>
      </c>
      <c r="D1193" s="2" t="s">
        <v>85</v>
      </c>
      <c r="E1193" s="2" t="s">
        <v>14</v>
      </c>
      <c r="F1193" s="2" t="s">
        <v>96</v>
      </c>
      <c r="G1193" s="2" t="s">
        <v>97</v>
      </c>
      <c r="H1193" s="2">
        <v>3</v>
      </c>
      <c r="I1193" s="2">
        <v>19476.63</v>
      </c>
      <c r="J1193" s="2"/>
      <c r="K1193" s="2" t="s">
        <v>17</v>
      </c>
      <c r="L1193" s="2" t="s">
        <v>18</v>
      </c>
    </row>
    <row r="1194" spans="1:12" x14ac:dyDescent="0.2">
      <c r="A1194" s="2">
        <v>101094</v>
      </c>
      <c r="B1194" s="18">
        <v>45654</v>
      </c>
      <c r="C1194" s="2" t="s">
        <v>873</v>
      </c>
      <c r="D1194" s="2" t="s">
        <v>85</v>
      </c>
      <c r="E1194" s="2" t="s">
        <v>119</v>
      </c>
      <c r="F1194" s="2" t="s">
        <v>191</v>
      </c>
      <c r="G1194" s="2" t="s">
        <v>152</v>
      </c>
      <c r="H1194" s="2">
        <v>5</v>
      </c>
      <c r="I1194" s="2">
        <v>9706.34</v>
      </c>
      <c r="J1194" s="2">
        <v>0</v>
      </c>
      <c r="K1194" s="2" t="s">
        <v>41</v>
      </c>
      <c r="L1194" s="2" t="s">
        <v>25</v>
      </c>
    </row>
    <row r="1195" spans="1:12" x14ac:dyDescent="0.2">
      <c r="A1195" s="2">
        <v>100081</v>
      </c>
      <c r="B1195" s="17">
        <v>45320</v>
      </c>
      <c r="C1195" s="2" t="s">
        <v>874</v>
      </c>
      <c r="D1195" s="2" t="s">
        <v>31</v>
      </c>
      <c r="E1195" s="2" t="s">
        <v>32</v>
      </c>
      <c r="F1195" s="2" t="s">
        <v>120</v>
      </c>
      <c r="G1195" s="2" t="s">
        <v>23</v>
      </c>
      <c r="H1195" s="2">
        <v>9</v>
      </c>
      <c r="I1195" s="2">
        <v>1794.92</v>
      </c>
      <c r="J1195" s="2">
        <v>0</v>
      </c>
      <c r="K1195" s="2" t="s">
        <v>29</v>
      </c>
      <c r="L1195" s="2" t="s">
        <v>42</v>
      </c>
    </row>
    <row r="1196" spans="1:12" x14ac:dyDescent="0.2">
      <c r="A1196" s="2">
        <v>101780</v>
      </c>
      <c r="B1196" s="18">
        <v>45545</v>
      </c>
      <c r="C1196" s="2" t="s">
        <v>100</v>
      </c>
      <c r="D1196" s="2" t="s">
        <v>58</v>
      </c>
      <c r="E1196" s="2" t="s">
        <v>38</v>
      </c>
      <c r="F1196" s="2" t="s">
        <v>96</v>
      </c>
      <c r="G1196" s="2" t="s">
        <v>153</v>
      </c>
      <c r="H1196" s="2">
        <v>3</v>
      </c>
      <c r="I1196" s="2">
        <v>10737.02</v>
      </c>
      <c r="J1196" s="2">
        <v>0</v>
      </c>
      <c r="K1196" s="2" t="s">
        <v>66</v>
      </c>
      <c r="L1196" s="2" t="s">
        <v>143</v>
      </c>
    </row>
    <row r="1197" spans="1:12" x14ac:dyDescent="0.2">
      <c r="A1197" s="2">
        <v>101738</v>
      </c>
      <c r="B1197" s="17">
        <v>45596</v>
      </c>
      <c r="C1197" s="2" t="s">
        <v>123</v>
      </c>
      <c r="D1197" s="2" t="s">
        <v>181</v>
      </c>
      <c r="E1197" s="2" t="s">
        <v>119</v>
      </c>
      <c r="F1197" s="2" t="s">
        <v>22</v>
      </c>
      <c r="G1197" s="2" t="s">
        <v>23</v>
      </c>
      <c r="H1197" s="2">
        <v>11</v>
      </c>
      <c r="I1197" s="2">
        <v>3462.14</v>
      </c>
      <c r="J1197" s="2"/>
      <c r="K1197" s="2" t="s">
        <v>17</v>
      </c>
      <c r="L1197" s="2" t="s">
        <v>87</v>
      </c>
    </row>
    <row r="1198" spans="1:12" x14ac:dyDescent="0.2">
      <c r="A1198" s="2">
        <v>101550</v>
      </c>
      <c r="B1198" s="17">
        <v>45391</v>
      </c>
      <c r="C1198" s="2" t="s">
        <v>217</v>
      </c>
      <c r="D1198" s="2" t="s">
        <v>61</v>
      </c>
      <c r="E1198" s="2" t="s">
        <v>14</v>
      </c>
      <c r="F1198" s="2" t="s">
        <v>39</v>
      </c>
      <c r="G1198" s="2" t="s">
        <v>292</v>
      </c>
      <c r="H1198" s="2">
        <v>3</v>
      </c>
      <c r="I1198" s="2">
        <v>373.76</v>
      </c>
      <c r="J1198" s="2">
        <v>20</v>
      </c>
      <c r="K1198" s="2" t="s">
        <v>41</v>
      </c>
      <c r="L1198" s="2" t="s">
        <v>18</v>
      </c>
    </row>
    <row r="1199" spans="1:12" x14ac:dyDescent="0.2">
      <c r="A1199" s="2">
        <v>100753</v>
      </c>
      <c r="B1199" s="18">
        <v>45605</v>
      </c>
      <c r="C1199" s="2" t="s">
        <v>809</v>
      </c>
      <c r="D1199" s="2" t="s">
        <v>92</v>
      </c>
      <c r="E1199" s="2" t="s">
        <v>32</v>
      </c>
      <c r="F1199" s="2" t="s">
        <v>39</v>
      </c>
      <c r="G1199" s="2" t="s">
        <v>165</v>
      </c>
      <c r="H1199" s="2">
        <v>7</v>
      </c>
      <c r="I1199" s="2" t="s">
        <v>875</v>
      </c>
      <c r="J1199" s="2">
        <v>0</v>
      </c>
      <c r="K1199" s="2" t="s">
        <v>66</v>
      </c>
      <c r="L1199" s="2" t="s">
        <v>25</v>
      </c>
    </row>
    <row r="1200" spans="1:12" x14ac:dyDescent="0.2">
      <c r="A1200" s="2">
        <v>101333</v>
      </c>
      <c r="B1200" s="17">
        <v>45572</v>
      </c>
      <c r="C1200" s="2" t="s">
        <v>245</v>
      </c>
      <c r="D1200" s="2" t="s">
        <v>31</v>
      </c>
      <c r="E1200" s="2" t="s">
        <v>54</v>
      </c>
      <c r="F1200" s="2" t="s">
        <v>39</v>
      </c>
      <c r="G1200" s="2" t="s">
        <v>292</v>
      </c>
      <c r="H1200" s="2">
        <v>11</v>
      </c>
      <c r="I1200" s="2">
        <v>669.58</v>
      </c>
      <c r="J1200" s="2">
        <v>0.05</v>
      </c>
      <c r="K1200" s="2" t="s">
        <v>24</v>
      </c>
      <c r="L1200" s="2" t="s">
        <v>35</v>
      </c>
    </row>
    <row r="1201" spans="1:12" x14ac:dyDescent="0.2">
      <c r="A1201" s="2">
        <v>101055</v>
      </c>
      <c r="B1201" s="17">
        <v>45325</v>
      </c>
      <c r="C1201" s="2" t="s">
        <v>867</v>
      </c>
      <c r="D1201" s="2" t="s">
        <v>160</v>
      </c>
      <c r="E1201" s="2" t="s">
        <v>79</v>
      </c>
      <c r="F1201" s="2" t="s">
        <v>106</v>
      </c>
      <c r="G1201" s="2" t="s">
        <v>103</v>
      </c>
      <c r="H1201" s="2">
        <v>1</v>
      </c>
      <c r="I1201" s="2" t="s">
        <v>876</v>
      </c>
      <c r="J1201" s="2">
        <v>0</v>
      </c>
      <c r="K1201" s="2" t="s">
        <v>24</v>
      </c>
      <c r="L1201" s="2" t="s">
        <v>121</v>
      </c>
    </row>
    <row r="1202" spans="1:12" x14ac:dyDescent="0.2">
      <c r="A1202" s="2">
        <v>100243</v>
      </c>
      <c r="B1202" s="18">
        <v>45451</v>
      </c>
      <c r="C1202" s="2" t="s">
        <v>157</v>
      </c>
      <c r="D1202" s="2" t="s">
        <v>95</v>
      </c>
      <c r="E1202" s="2" t="s">
        <v>133</v>
      </c>
      <c r="F1202" s="2" t="s">
        <v>39</v>
      </c>
      <c r="G1202" s="2" t="s">
        <v>242</v>
      </c>
      <c r="H1202" s="2">
        <v>10</v>
      </c>
      <c r="I1202" s="2">
        <v>124.63</v>
      </c>
      <c r="J1202" s="2">
        <v>20</v>
      </c>
      <c r="K1202" s="2" t="s">
        <v>17</v>
      </c>
      <c r="L1202" s="2" t="s">
        <v>42</v>
      </c>
    </row>
    <row r="1203" spans="1:12" x14ac:dyDescent="0.2">
      <c r="A1203" s="2">
        <v>101355</v>
      </c>
      <c r="B1203" s="18">
        <v>45644</v>
      </c>
      <c r="C1203" s="2" t="s">
        <v>877</v>
      </c>
      <c r="D1203" s="2" t="s">
        <v>44</v>
      </c>
      <c r="E1203" s="2" t="s">
        <v>54</v>
      </c>
      <c r="F1203" s="2" t="s">
        <v>106</v>
      </c>
      <c r="G1203" s="2" t="s">
        <v>156</v>
      </c>
      <c r="H1203" s="2">
        <v>-2</v>
      </c>
      <c r="I1203" s="2">
        <v>1723.11</v>
      </c>
      <c r="J1203" s="2">
        <v>0</v>
      </c>
      <c r="K1203" s="2" t="s">
        <v>83</v>
      </c>
      <c r="L1203" s="2" t="s">
        <v>35</v>
      </c>
    </row>
    <row r="1204" spans="1:12" x14ac:dyDescent="0.2">
      <c r="A1204" s="2">
        <v>100642</v>
      </c>
      <c r="B1204" s="18">
        <v>45635</v>
      </c>
      <c r="C1204" s="2" t="s">
        <v>878</v>
      </c>
      <c r="D1204" s="2" t="s">
        <v>89</v>
      </c>
      <c r="E1204" s="2" t="s">
        <v>32</v>
      </c>
      <c r="F1204" s="2" t="s">
        <v>50</v>
      </c>
      <c r="G1204" s="2" t="s">
        <v>51</v>
      </c>
      <c r="H1204" s="2">
        <v>10</v>
      </c>
      <c r="I1204" s="2">
        <v>8538.15</v>
      </c>
      <c r="J1204" s="2">
        <v>0</v>
      </c>
      <c r="K1204" s="2" t="s">
        <v>41</v>
      </c>
      <c r="L1204" s="2" t="s">
        <v>121</v>
      </c>
    </row>
    <row r="1205" spans="1:12" x14ac:dyDescent="0.2">
      <c r="A1205" s="2">
        <v>100697</v>
      </c>
      <c r="B1205" s="17">
        <v>45569</v>
      </c>
      <c r="C1205" s="2" t="s">
        <v>820</v>
      </c>
      <c r="D1205" s="2" t="s">
        <v>109</v>
      </c>
      <c r="E1205" s="2" t="s">
        <v>21</v>
      </c>
      <c r="F1205" s="2" t="s">
        <v>33</v>
      </c>
      <c r="G1205" s="2" t="s">
        <v>158</v>
      </c>
      <c r="H1205" s="2">
        <v>7</v>
      </c>
      <c r="I1205" s="2"/>
      <c r="J1205" s="2">
        <v>0.25</v>
      </c>
      <c r="K1205" s="2" t="s">
        <v>66</v>
      </c>
      <c r="L1205" s="2" t="s">
        <v>18</v>
      </c>
    </row>
    <row r="1206" spans="1:12" x14ac:dyDescent="0.2">
      <c r="A1206" s="2">
        <v>100210</v>
      </c>
      <c r="B1206" s="18">
        <v>45636</v>
      </c>
      <c r="C1206" s="2" t="s">
        <v>711</v>
      </c>
      <c r="D1206" s="2" t="s">
        <v>129</v>
      </c>
      <c r="E1206" s="2" t="s">
        <v>79</v>
      </c>
      <c r="F1206" s="2" t="s">
        <v>39</v>
      </c>
      <c r="G1206" s="2" t="s">
        <v>242</v>
      </c>
      <c r="H1206" s="2"/>
      <c r="I1206" s="2">
        <v>625.38</v>
      </c>
      <c r="J1206" s="2"/>
      <c r="K1206" s="2" t="s">
        <v>83</v>
      </c>
      <c r="L1206" s="2" t="s">
        <v>42</v>
      </c>
    </row>
    <row r="1207" spans="1:12" x14ac:dyDescent="0.2">
      <c r="A1207" s="2"/>
      <c r="B1207" s="2"/>
      <c r="C1207" s="2"/>
      <c r="D1207" s="2"/>
      <c r="E1207" s="2"/>
      <c r="F1207" s="2"/>
      <c r="G1207" s="2"/>
      <c r="H1207" s="2"/>
      <c r="I1207" s="2"/>
      <c r="J1207" s="2"/>
      <c r="K1207" s="2"/>
      <c r="L1207" s="2"/>
    </row>
    <row r="1208" spans="1:12" x14ac:dyDescent="0.2">
      <c r="A1208" s="2">
        <v>100771</v>
      </c>
      <c r="B1208" s="18">
        <v>45585</v>
      </c>
      <c r="C1208" s="2" t="s">
        <v>150</v>
      </c>
      <c r="D1208" s="2" t="s">
        <v>73</v>
      </c>
      <c r="E1208" s="2" t="s">
        <v>79</v>
      </c>
      <c r="F1208" s="2" t="s">
        <v>33</v>
      </c>
      <c r="G1208" s="2" t="s">
        <v>34</v>
      </c>
      <c r="H1208" s="2">
        <v>2</v>
      </c>
      <c r="I1208" s="2" t="s">
        <v>879</v>
      </c>
      <c r="J1208" s="2">
        <v>15</v>
      </c>
      <c r="K1208" s="2" t="s">
        <v>29</v>
      </c>
      <c r="L1208" s="2" t="s">
        <v>52</v>
      </c>
    </row>
    <row r="1209" spans="1:12" x14ac:dyDescent="0.2">
      <c r="A1209" s="2">
        <v>101774</v>
      </c>
      <c r="B1209" s="18">
        <v>45459</v>
      </c>
      <c r="C1209" s="2" t="s">
        <v>880</v>
      </c>
      <c r="D1209" s="2" t="s">
        <v>31</v>
      </c>
      <c r="E1209" s="2" t="s">
        <v>54</v>
      </c>
      <c r="F1209" s="2" t="s">
        <v>223</v>
      </c>
      <c r="G1209" s="2" t="s">
        <v>62</v>
      </c>
      <c r="H1209" s="2">
        <v>3</v>
      </c>
      <c r="I1209" s="2">
        <v>5494.63</v>
      </c>
      <c r="J1209" s="2">
        <v>20</v>
      </c>
      <c r="K1209" s="2" t="s">
        <v>17</v>
      </c>
      <c r="L1209" s="2" t="s">
        <v>52</v>
      </c>
    </row>
    <row r="1210" spans="1:12" x14ac:dyDescent="0.2">
      <c r="A1210" s="2">
        <v>100436</v>
      </c>
      <c r="B1210" s="17">
        <v>45330</v>
      </c>
      <c r="C1210" s="2" t="s">
        <v>881</v>
      </c>
      <c r="D1210" s="2" t="s">
        <v>89</v>
      </c>
      <c r="E1210" s="2" t="s">
        <v>54</v>
      </c>
      <c r="F1210" s="2" t="s">
        <v>33</v>
      </c>
      <c r="G1210" s="2" t="s">
        <v>158</v>
      </c>
      <c r="H1210" s="2">
        <v>11</v>
      </c>
      <c r="I1210" s="2">
        <v>221.62</v>
      </c>
      <c r="J1210" s="2">
        <v>15</v>
      </c>
      <c r="K1210" s="2" t="s">
        <v>29</v>
      </c>
      <c r="L1210" s="2" t="s">
        <v>18</v>
      </c>
    </row>
    <row r="1211" spans="1:12" x14ac:dyDescent="0.2">
      <c r="A1211" s="2">
        <v>101064</v>
      </c>
      <c r="B1211" s="18">
        <v>45600</v>
      </c>
      <c r="C1211" s="2" t="s">
        <v>669</v>
      </c>
      <c r="D1211" s="2" t="s">
        <v>58</v>
      </c>
      <c r="E1211" s="2" t="s">
        <v>38</v>
      </c>
      <c r="F1211" s="2" t="s">
        <v>22</v>
      </c>
      <c r="G1211" s="2" t="s">
        <v>232</v>
      </c>
      <c r="H1211" s="2">
        <v>5</v>
      </c>
      <c r="I1211" s="2">
        <v>1189.9000000000001</v>
      </c>
      <c r="J1211" s="2">
        <v>0</v>
      </c>
      <c r="K1211" s="2" t="s">
        <v>17</v>
      </c>
      <c r="L1211" s="2" t="s">
        <v>121</v>
      </c>
    </row>
    <row r="1212" spans="1:12" x14ac:dyDescent="0.2">
      <c r="A1212" s="2">
        <v>100975</v>
      </c>
      <c r="B1212" s="17">
        <v>45361</v>
      </c>
      <c r="C1212" s="2" t="s">
        <v>326</v>
      </c>
      <c r="D1212" s="2" t="s">
        <v>131</v>
      </c>
      <c r="E1212" s="2" t="s">
        <v>133</v>
      </c>
      <c r="F1212" s="2" t="s">
        <v>39</v>
      </c>
      <c r="G1212" s="2" t="s">
        <v>242</v>
      </c>
      <c r="H1212" s="2">
        <v>1</v>
      </c>
      <c r="I1212" s="2">
        <v>97.68</v>
      </c>
      <c r="J1212" s="2">
        <v>0.05</v>
      </c>
      <c r="K1212" s="2" t="s">
        <v>66</v>
      </c>
      <c r="L1212" s="2" t="s">
        <v>143</v>
      </c>
    </row>
    <row r="1213" spans="1:12" x14ac:dyDescent="0.2">
      <c r="A1213" s="2">
        <v>100552</v>
      </c>
      <c r="B1213" s="18">
        <v>45418</v>
      </c>
      <c r="C1213" s="2" t="s">
        <v>771</v>
      </c>
      <c r="D1213" s="2" t="s">
        <v>181</v>
      </c>
      <c r="E1213" s="2" t="s">
        <v>119</v>
      </c>
      <c r="F1213" s="2" t="s">
        <v>45</v>
      </c>
      <c r="G1213" s="2" t="s">
        <v>46</v>
      </c>
      <c r="H1213" s="2">
        <v>1</v>
      </c>
      <c r="I1213" s="2">
        <v>33235.440000000002</v>
      </c>
      <c r="J1213" s="2">
        <v>0.05</v>
      </c>
      <c r="K1213" s="2" t="s">
        <v>83</v>
      </c>
      <c r="L1213" s="2" t="s">
        <v>143</v>
      </c>
    </row>
    <row r="1214" spans="1:12" x14ac:dyDescent="0.2">
      <c r="A1214" s="2">
        <v>101410</v>
      </c>
      <c r="B1214" s="17">
        <v>45513</v>
      </c>
      <c r="C1214" s="2" t="s">
        <v>882</v>
      </c>
      <c r="D1214" s="2" t="s">
        <v>37</v>
      </c>
      <c r="E1214" s="2" t="s">
        <v>38</v>
      </c>
      <c r="F1214" s="2" t="s">
        <v>86</v>
      </c>
      <c r="G1214" s="2" t="s">
        <v>153</v>
      </c>
      <c r="H1214" s="2">
        <v>1</v>
      </c>
      <c r="I1214" s="2">
        <v>36401.86</v>
      </c>
      <c r="J1214" s="2">
        <v>0</v>
      </c>
      <c r="K1214" s="2" t="s">
        <v>66</v>
      </c>
      <c r="L1214" s="2" t="s">
        <v>42</v>
      </c>
    </row>
    <row r="1215" spans="1:12" x14ac:dyDescent="0.2">
      <c r="A1215" s="2">
        <v>101523</v>
      </c>
      <c r="B1215" s="17">
        <v>45432</v>
      </c>
      <c r="C1215" s="2" t="s">
        <v>452</v>
      </c>
      <c r="D1215" s="2" t="s">
        <v>48</v>
      </c>
      <c r="E1215" s="2" t="s">
        <v>49</v>
      </c>
      <c r="F1215" s="2" t="s">
        <v>50</v>
      </c>
      <c r="G1215" s="2" t="s">
        <v>99</v>
      </c>
      <c r="H1215" s="2">
        <v>3</v>
      </c>
      <c r="I1215" s="2">
        <v>4888.34</v>
      </c>
      <c r="J1215" s="2">
        <v>20</v>
      </c>
      <c r="K1215" s="2" t="s">
        <v>29</v>
      </c>
      <c r="L1215" s="2" t="s">
        <v>25</v>
      </c>
    </row>
    <row r="1216" spans="1:12" x14ac:dyDescent="0.2">
      <c r="A1216" s="2">
        <v>101014</v>
      </c>
      <c r="B1216" s="18">
        <v>45475</v>
      </c>
      <c r="C1216" s="2" t="s">
        <v>502</v>
      </c>
      <c r="D1216" s="2" t="s">
        <v>27</v>
      </c>
      <c r="E1216" s="2" t="s">
        <v>133</v>
      </c>
      <c r="F1216" s="2" t="s">
        <v>80</v>
      </c>
      <c r="G1216" s="2" t="s">
        <v>158</v>
      </c>
      <c r="H1216" s="2">
        <v>12</v>
      </c>
      <c r="I1216" s="2">
        <v>111.98</v>
      </c>
      <c r="J1216" s="2">
        <v>0.2</v>
      </c>
      <c r="K1216" s="2" t="s">
        <v>66</v>
      </c>
      <c r="L1216" s="2" t="s">
        <v>35</v>
      </c>
    </row>
    <row r="1217" spans="1:12" x14ac:dyDescent="0.2">
      <c r="A1217" s="2">
        <v>101906</v>
      </c>
      <c r="B1217" s="17">
        <v>45375</v>
      </c>
      <c r="C1217" s="2" t="s">
        <v>654</v>
      </c>
      <c r="D1217" s="2" t="s">
        <v>175</v>
      </c>
      <c r="E1217" s="2" t="s">
        <v>69</v>
      </c>
      <c r="F1217" s="2" t="s">
        <v>155</v>
      </c>
      <c r="G1217" s="2" t="s">
        <v>103</v>
      </c>
      <c r="H1217" s="2">
        <v>9</v>
      </c>
      <c r="I1217" s="2" t="s">
        <v>883</v>
      </c>
      <c r="J1217" s="2">
        <v>0.2</v>
      </c>
      <c r="K1217" s="2" t="s">
        <v>17</v>
      </c>
      <c r="L1217" s="2" t="s">
        <v>143</v>
      </c>
    </row>
    <row r="1218" spans="1:12" x14ac:dyDescent="0.2">
      <c r="A1218" s="2">
        <v>100467</v>
      </c>
      <c r="B1218" s="2" t="s">
        <v>238</v>
      </c>
      <c r="C1218" s="2" t="s">
        <v>293</v>
      </c>
      <c r="D1218" s="2" t="s">
        <v>37</v>
      </c>
      <c r="E1218" s="2" t="s">
        <v>69</v>
      </c>
      <c r="F1218" s="2" t="s">
        <v>120</v>
      </c>
      <c r="G1218" s="2" t="s">
        <v>23</v>
      </c>
      <c r="H1218" s="2">
        <v>7</v>
      </c>
      <c r="I1218" s="2">
        <v>2567.88</v>
      </c>
      <c r="J1218" s="2">
        <v>0.2</v>
      </c>
      <c r="K1218" s="2" t="s">
        <v>17</v>
      </c>
      <c r="L1218" s="2" t="s">
        <v>25</v>
      </c>
    </row>
    <row r="1219" spans="1:12" x14ac:dyDescent="0.2">
      <c r="A1219" s="2">
        <v>101491</v>
      </c>
      <c r="B1219" s="2" t="s">
        <v>702</v>
      </c>
      <c r="C1219" s="2" t="s">
        <v>884</v>
      </c>
      <c r="D1219" s="2" t="s">
        <v>140</v>
      </c>
      <c r="E1219" s="2" t="s">
        <v>49</v>
      </c>
      <c r="F1219" s="2" t="s">
        <v>102</v>
      </c>
      <c r="G1219" s="2" t="s">
        <v>137</v>
      </c>
      <c r="H1219" s="2">
        <v>2</v>
      </c>
      <c r="I1219" s="2">
        <v>3030.09</v>
      </c>
      <c r="J1219" s="2">
        <v>0</v>
      </c>
      <c r="K1219" s="2" t="s">
        <v>66</v>
      </c>
      <c r="L1219" s="2" t="s">
        <v>25</v>
      </c>
    </row>
    <row r="1220" spans="1:12" x14ac:dyDescent="0.2">
      <c r="A1220" s="2">
        <v>101320</v>
      </c>
      <c r="B1220" s="17">
        <v>45585</v>
      </c>
      <c r="C1220" s="2" t="s">
        <v>533</v>
      </c>
      <c r="D1220" s="2" t="s">
        <v>140</v>
      </c>
      <c r="E1220" s="2" t="s">
        <v>79</v>
      </c>
      <c r="F1220" s="2" t="s">
        <v>64</v>
      </c>
      <c r="G1220" s="2" t="s">
        <v>292</v>
      </c>
      <c r="H1220" s="2">
        <v>9</v>
      </c>
      <c r="I1220" s="2">
        <v>226</v>
      </c>
      <c r="J1220" s="2">
        <v>0.1</v>
      </c>
      <c r="K1220" s="2" t="s">
        <v>17</v>
      </c>
      <c r="L1220" s="2" t="s">
        <v>35</v>
      </c>
    </row>
    <row r="1221" spans="1:12" x14ac:dyDescent="0.2">
      <c r="A1221" s="2">
        <v>100278</v>
      </c>
      <c r="B1221" s="17">
        <v>45329</v>
      </c>
      <c r="C1221" s="2" t="s">
        <v>885</v>
      </c>
      <c r="D1221" s="2" t="s">
        <v>31</v>
      </c>
      <c r="E1221" s="2" t="s">
        <v>54</v>
      </c>
      <c r="F1221" s="2" t="s">
        <v>28</v>
      </c>
      <c r="G1221" s="2" t="s">
        <v>116</v>
      </c>
      <c r="H1221" s="2">
        <v>7</v>
      </c>
      <c r="I1221" s="2">
        <v>6104.17</v>
      </c>
      <c r="J1221" s="2">
        <v>0.25</v>
      </c>
      <c r="K1221" s="2" t="s">
        <v>24</v>
      </c>
      <c r="L1221" s="2" t="s">
        <v>121</v>
      </c>
    </row>
    <row r="1222" spans="1:12" x14ac:dyDescent="0.2">
      <c r="A1222" s="2">
        <v>101070</v>
      </c>
      <c r="B1222" s="18">
        <v>45521</v>
      </c>
      <c r="C1222" s="2"/>
      <c r="D1222" s="2" t="s">
        <v>73</v>
      </c>
      <c r="E1222" s="2" t="s">
        <v>49</v>
      </c>
      <c r="F1222" s="2" t="s">
        <v>50</v>
      </c>
      <c r="G1222" s="2" t="s">
        <v>51</v>
      </c>
      <c r="H1222" s="2">
        <v>1</v>
      </c>
      <c r="I1222" s="2">
        <v>3100.86</v>
      </c>
      <c r="J1222" s="2">
        <v>0.1</v>
      </c>
      <c r="K1222" s="2" t="s">
        <v>24</v>
      </c>
      <c r="L1222" s="2" t="s">
        <v>143</v>
      </c>
    </row>
    <row r="1223" spans="1:12" x14ac:dyDescent="0.2">
      <c r="A1223" s="2">
        <v>101018</v>
      </c>
      <c r="B1223" s="17">
        <v>45572</v>
      </c>
      <c r="C1223" s="2" t="s">
        <v>368</v>
      </c>
      <c r="D1223" s="2" t="s">
        <v>89</v>
      </c>
      <c r="E1223" s="2" t="s">
        <v>32</v>
      </c>
      <c r="F1223" s="2" t="s">
        <v>64</v>
      </c>
      <c r="G1223" s="2" t="s">
        <v>40</v>
      </c>
      <c r="H1223" s="2">
        <v>9</v>
      </c>
      <c r="I1223" s="2">
        <v>189.72</v>
      </c>
      <c r="J1223" s="2">
        <v>0.2</v>
      </c>
      <c r="K1223" s="2" t="s">
        <v>66</v>
      </c>
      <c r="L1223" s="2" t="s">
        <v>121</v>
      </c>
    </row>
    <row r="1224" spans="1:12" x14ac:dyDescent="0.2">
      <c r="A1224" s="2">
        <v>101356</v>
      </c>
      <c r="B1224" s="17">
        <v>45409</v>
      </c>
      <c r="C1224" s="2" t="s">
        <v>331</v>
      </c>
      <c r="D1224" s="2" t="s">
        <v>95</v>
      </c>
      <c r="E1224" s="2" t="s">
        <v>21</v>
      </c>
      <c r="F1224" s="2" t="s">
        <v>15</v>
      </c>
      <c r="G1224" s="2" t="s">
        <v>152</v>
      </c>
      <c r="H1224" s="2">
        <v>11</v>
      </c>
      <c r="I1224" s="2">
        <v>23487.84</v>
      </c>
      <c r="J1224" s="2">
        <v>0</v>
      </c>
      <c r="K1224" s="2" t="s">
        <v>24</v>
      </c>
      <c r="L1224" s="2" t="s">
        <v>52</v>
      </c>
    </row>
    <row r="1225" spans="1:12" x14ac:dyDescent="0.2">
      <c r="A1225" s="2">
        <v>100723</v>
      </c>
      <c r="B1225" s="18">
        <v>45362</v>
      </c>
      <c r="C1225" s="2" t="s">
        <v>390</v>
      </c>
      <c r="D1225" s="2" t="s">
        <v>92</v>
      </c>
      <c r="E1225" s="2" t="s">
        <v>54</v>
      </c>
      <c r="F1225" s="2" t="s">
        <v>74</v>
      </c>
      <c r="G1225" s="2" t="s">
        <v>23</v>
      </c>
      <c r="H1225" s="2">
        <v>12</v>
      </c>
      <c r="I1225" s="2">
        <v>3422.9</v>
      </c>
      <c r="J1225" s="2">
        <v>0.1</v>
      </c>
      <c r="K1225" s="2" t="s">
        <v>41</v>
      </c>
      <c r="L1225" s="2" t="s">
        <v>52</v>
      </c>
    </row>
    <row r="1226" spans="1:12" x14ac:dyDescent="0.2">
      <c r="A1226" s="2">
        <v>101973</v>
      </c>
      <c r="B1226" s="18">
        <v>45624</v>
      </c>
      <c r="C1226" s="2" t="s">
        <v>91</v>
      </c>
      <c r="D1226" s="2" t="s">
        <v>20</v>
      </c>
      <c r="E1226" s="2" t="s">
        <v>21</v>
      </c>
      <c r="F1226" s="2" t="s">
        <v>70</v>
      </c>
      <c r="G1226" s="2" t="s">
        <v>149</v>
      </c>
      <c r="H1226" s="2">
        <v>12</v>
      </c>
      <c r="I1226" s="2">
        <v>10579.15</v>
      </c>
      <c r="J1226" s="2">
        <v>0</v>
      </c>
      <c r="K1226" s="2" t="s">
        <v>83</v>
      </c>
      <c r="L1226" s="2" t="s">
        <v>143</v>
      </c>
    </row>
    <row r="1227" spans="1:12" x14ac:dyDescent="0.2">
      <c r="A1227" s="2">
        <v>100787</v>
      </c>
      <c r="B1227" s="18">
        <v>45461</v>
      </c>
      <c r="C1227" s="2" t="s">
        <v>808</v>
      </c>
      <c r="D1227" s="2" t="s">
        <v>181</v>
      </c>
      <c r="E1227" s="2" t="s">
        <v>119</v>
      </c>
      <c r="F1227" s="2" t="s">
        <v>102</v>
      </c>
      <c r="G1227" s="2" t="s">
        <v>156</v>
      </c>
      <c r="H1227" s="2">
        <v>6</v>
      </c>
      <c r="I1227" s="2" t="s">
        <v>886</v>
      </c>
      <c r="J1227" s="2">
        <v>0.15</v>
      </c>
      <c r="K1227" s="2" t="s">
        <v>66</v>
      </c>
      <c r="L1227" s="2" t="s">
        <v>25</v>
      </c>
    </row>
    <row r="1228" spans="1:12" x14ac:dyDescent="0.2">
      <c r="A1228" s="2">
        <v>101563</v>
      </c>
      <c r="B1228" s="18">
        <v>45460</v>
      </c>
      <c r="C1228" s="2" t="s">
        <v>887</v>
      </c>
      <c r="D1228" s="2" t="s">
        <v>92</v>
      </c>
      <c r="E1228" s="2" t="s">
        <v>54</v>
      </c>
      <c r="F1228" s="2" t="s">
        <v>39</v>
      </c>
      <c r="G1228" s="2" t="s">
        <v>165</v>
      </c>
      <c r="H1228" s="2">
        <v>5</v>
      </c>
      <c r="I1228" s="2"/>
      <c r="J1228" s="2">
        <v>25</v>
      </c>
      <c r="K1228" s="2" t="s">
        <v>66</v>
      </c>
      <c r="L1228" s="2" t="s">
        <v>121</v>
      </c>
    </row>
    <row r="1229" spans="1:12" x14ac:dyDescent="0.2">
      <c r="A1229" s="2">
        <v>101777</v>
      </c>
      <c r="B1229" s="2" t="s">
        <v>525</v>
      </c>
      <c r="C1229" s="2" t="s">
        <v>615</v>
      </c>
      <c r="D1229" s="2" t="s">
        <v>31</v>
      </c>
      <c r="E1229" s="2" t="s">
        <v>54</v>
      </c>
      <c r="F1229" s="2" t="s">
        <v>33</v>
      </c>
      <c r="G1229" s="2" t="s">
        <v>93</v>
      </c>
      <c r="H1229" s="2">
        <v>8</v>
      </c>
      <c r="I1229" s="2">
        <v>49.57</v>
      </c>
      <c r="J1229" s="2">
        <v>0</v>
      </c>
      <c r="K1229" s="2" t="s">
        <v>41</v>
      </c>
      <c r="L1229" s="2" t="s">
        <v>25</v>
      </c>
    </row>
    <row r="1230" spans="1:12" x14ac:dyDescent="0.2">
      <c r="A1230" s="2">
        <v>101450</v>
      </c>
      <c r="B1230" s="18">
        <v>45610</v>
      </c>
      <c r="C1230" s="2" t="s">
        <v>670</v>
      </c>
      <c r="D1230" s="2" t="s">
        <v>73</v>
      </c>
      <c r="E1230" s="2" t="s">
        <v>79</v>
      </c>
      <c r="F1230" s="2" t="s">
        <v>39</v>
      </c>
      <c r="G1230" s="2" t="s">
        <v>242</v>
      </c>
      <c r="H1230" s="2">
        <v>1</v>
      </c>
      <c r="I1230" s="2">
        <v>523.96</v>
      </c>
      <c r="J1230" s="2">
        <v>0.15</v>
      </c>
      <c r="K1230" s="2" t="s">
        <v>24</v>
      </c>
      <c r="L1230" s="2" t="s">
        <v>18</v>
      </c>
    </row>
    <row r="1231" spans="1:12" x14ac:dyDescent="0.2">
      <c r="A1231" s="2">
        <v>101317</v>
      </c>
      <c r="B1231" s="18">
        <v>45523</v>
      </c>
      <c r="C1231" s="2" t="s">
        <v>72</v>
      </c>
      <c r="D1231" s="2" t="s">
        <v>109</v>
      </c>
      <c r="E1231" s="2" t="s">
        <v>21</v>
      </c>
      <c r="F1231" s="2" t="s">
        <v>70</v>
      </c>
      <c r="G1231" s="2" t="s">
        <v>111</v>
      </c>
      <c r="H1231" s="2">
        <v>6</v>
      </c>
      <c r="I1231" s="2">
        <v>25275.11</v>
      </c>
      <c r="J1231" s="2">
        <v>0.2</v>
      </c>
      <c r="K1231" s="2" t="s">
        <v>17</v>
      </c>
      <c r="L1231" s="2" t="s">
        <v>121</v>
      </c>
    </row>
    <row r="1232" spans="1:12" x14ac:dyDescent="0.2">
      <c r="A1232" s="2">
        <v>100907</v>
      </c>
      <c r="B1232" s="17">
        <v>45471</v>
      </c>
      <c r="C1232" s="2" t="s">
        <v>877</v>
      </c>
      <c r="D1232" s="2" t="s">
        <v>89</v>
      </c>
      <c r="E1232" s="2" t="s">
        <v>32</v>
      </c>
      <c r="F1232" s="2" t="s">
        <v>86</v>
      </c>
      <c r="G1232" s="2" t="s">
        <v>46</v>
      </c>
      <c r="H1232" s="2">
        <v>1</v>
      </c>
      <c r="I1232" s="2">
        <v>26264.97</v>
      </c>
      <c r="J1232" s="2">
        <v>0</v>
      </c>
      <c r="K1232" s="2" t="s">
        <v>17</v>
      </c>
      <c r="L1232" s="2" t="s">
        <v>25</v>
      </c>
    </row>
    <row r="1233" spans="1:12" x14ac:dyDescent="0.2">
      <c r="A1233" s="2">
        <v>100564</v>
      </c>
      <c r="B1233" s="17">
        <v>45474</v>
      </c>
      <c r="C1233" s="2" t="s">
        <v>421</v>
      </c>
      <c r="D1233" s="2" t="s">
        <v>58</v>
      </c>
      <c r="E1233" s="2" t="s">
        <v>69</v>
      </c>
      <c r="F1233" s="2" t="s">
        <v>80</v>
      </c>
      <c r="G1233" s="2" t="s">
        <v>34</v>
      </c>
      <c r="H1233" s="2">
        <v>1</v>
      </c>
      <c r="I1233" s="2">
        <v>339.37</v>
      </c>
      <c r="J1233" s="2">
        <v>0</v>
      </c>
      <c r="K1233" s="2" t="s">
        <v>41</v>
      </c>
      <c r="L1233" s="2" t="s">
        <v>121</v>
      </c>
    </row>
    <row r="1234" spans="1:12" x14ac:dyDescent="0.2">
      <c r="A1234" s="2">
        <v>100389</v>
      </c>
      <c r="B1234" s="17">
        <v>45543</v>
      </c>
      <c r="C1234" s="2"/>
      <c r="D1234" s="2" t="s">
        <v>131</v>
      </c>
      <c r="E1234" s="2" t="s">
        <v>133</v>
      </c>
      <c r="F1234" s="2" t="s">
        <v>106</v>
      </c>
      <c r="G1234" s="2" t="s">
        <v>103</v>
      </c>
      <c r="H1234" s="2">
        <v>3</v>
      </c>
      <c r="I1234" s="2" t="s">
        <v>888</v>
      </c>
      <c r="J1234" s="2">
        <v>0.05</v>
      </c>
      <c r="K1234" s="2" t="s">
        <v>29</v>
      </c>
      <c r="L1234" s="2" t="s">
        <v>35</v>
      </c>
    </row>
    <row r="1235" spans="1:12" x14ac:dyDescent="0.2">
      <c r="A1235" s="2">
        <v>100023</v>
      </c>
      <c r="B1235" s="17">
        <v>45354</v>
      </c>
      <c r="C1235" s="2" t="s">
        <v>294</v>
      </c>
      <c r="D1235" s="2" t="s">
        <v>92</v>
      </c>
      <c r="E1235" s="2" t="s">
        <v>54</v>
      </c>
      <c r="F1235" s="2" t="s">
        <v>113</v>
      </c>
      <c r="G1235" s="2" t="s">
        <v>242</v>
      </c>
      <c r="H1235" s="2">
        <v>2</v>
      </c>
      <c r="I1235" s="2">
        <v>175.44</v>
      </c>
      <c r="J1235" s="2">
        <v>25</v>
      </c>
      <c r="K1235" s="2" t="s">
        <v>66</v>
      </c>
      <c r="L1235" s="2" t="s">
        <v>18</v>
      </c>
    </row>
    <row r="1236" spans="1:12" x14ac:dyDescent="0.2">
      <c r="A1236" s="2">
        <v>101735</v>
      </c>
      <c r="B1236" s="17">
        <v>45630</v>
      </c>
      <c r="C1236" s="2" t="s">
        <v>889</v>
      </c>
      <c r="D1236" s="2" t="s">
        <v>131</v>
      </c>
      <c r="E1236" s="2" t="s">
        <v>21</v>
      </c>
      <c r="F1236" s="2" t="s">
        <v>22</v>
      </c>
      <c r="G1236" s="2" t="s">
        <v>232</v>
      </c>
      <c r="H1236" s="2">
        <v>5</v>
      </c>
      <c r="I1236" s="2">
        <v>2334.5300000000002</v>
      </c>
      <c r="J1236" s="2">
        <v>0</v>
      </c>
      <c r="K1236" s="2" t="s">
        <v>24</v>
      </c>
      <c r="L1236" s="2" t="s">
        <v>121</v>
      </c>
    </row>
    <row r="1237" spans="1:12" x14ac:dyDescent="0.2">
      <c r="A1237" s="2">
        <v>100125</v>
      </c>
      <c r="B1237" s="18">
        <v>45517</v>
      </c>
      <c r="C1237" s="2" t="s">
        <v>272</v>
      </c>
      <c r="D1237" s="2" t="s">
        <v>131</v>
      </c>
      <c r="E1237" s="2" t="s">
        <v>133</v>
      </c>
      <c r="F1237" s="2" t="s">
        <v>191</v>
      </c>
      <c r="G1237" s="2" t="s">
        <v>16</v>
      </c>
      <c r="H1237" s="2">
        <v>2</v>
      </c>
      <c r="I1237" s="2">
        <v>19077.919999999998</v>
      </c>
      <c r="J1237" s="2">
        <v>0.15</v>
      </c>
      <c r="K1237" s="2" t="s">
        <v>17</v>
      </c>
      <c r="L1237" s="2" t="s">
        <v>52</v>
      </c>
    </row>
    <row r="1238" spans="1:12" x14ac:dyDescent="0.2">
      <c r="A1238" s="2">
        <v>101260</v>
      </c>
      <c r="B1238" s="17">
        <v>45537</v>
      </c>
      <c r="C1238" s="2" t="s">
        <v>474</v>
      </c>
      <c r="D1238" s="2" t="s">
        <v>85</v>
      </c>
      <c r="E1238" s="2" t="s">
        <v>14</v>
      </c>
      <c r="F1238" s="2" t="s">
        <v>70</v>
      </c>
      <c r="G1238" s="2" t="s">
        <v>153</v>
      </c>
      <c r="H1238" s="2">
        <v>6</v>
      </c>
      <c r="I1238" s="2"/>
      <c r="J1238" s="2">
        <v>0.15</v>
      </c>
      <c r="K1238" s="2" t="s">
        <v>24</v>
      </c>
      <c r="L1238" s="2" t="s">
        <v>52</v>
      </c>
    </row>
    <row r="1239" spans="1:12" x14ac:dyDescent="0.2">
      <c r="A1239" s="2">
        <v>100774</v>
      </c>
      <c r="B1239" s="17">
        <v>45585</v>
      </c>
      <c r="C1239" s="2" t="s">
        <v>865</v>
      </c>
      <c r="D1239" s="2" t="s">
        <v>181</v>
      </c>
      <c r="E1239" s="2" t="s">
        <v>119</v>
      </c>
      <c r="F1239" s="2" t="s">
        <v>55</v>
      </c>
      <c r="G1239" s="2" t="s">
        <v>56</v>
      </c>
      <c r="H1239" s="2">
        <v>9</v>
      </c>
      <c r="I1239" s="2">
        <v>10609.54</v>
      </c>
      <c r="J1239" s="2">
        <v>0.15</v>
      </c>
      <c r="K1239" s="2" t="s">
        <v>66</v>
      </c>
      <c r="L1239" s="2" t="s">
        <v>25</v>
      </c>
    </row>
    <row r="1240" spans="1:12" x14ac:dyDescent="0.2">
      <c r="A1240" s="2">
        <v>100881</v>
      </c>
      <c r="B1240" s="18">
        <v>45407</v>
      </c>
      <c r="C1240" s="2"/>
      <c r="D1240" s="2" t="s">
        <v>37</v>
      </c>
      <c r="E1240" s="2" t="s">
        <v>69</v>
      </c>
      <c r="F1240" s="2" t="s">
        <v>155</v>
      </c>
      <c r="G1240" s="2" t="s">
        <v>135</v>
      </c>
      <c r="H1240" s="2">
        <v>7</v>
      </c>
      <c r="I1240" s="2" t="s">
        <v>890</v>
      </c>
      <c r="J1240" s="2">
        <v>0.1</v>
      </c>
      <c r="K1240" s="2" t="s">
        <v>24</v>
      </c>
      <c r="L1240" s="2" t="s">
        <v>121</v>
      </c>
    </row>
    <row r="1241" spans="1:12" x14ac:dyDescent="0.2">
      <c r="A1241" s="2">
        <v>101145</v>
      </c>
      <c r="B1241" s="18">
        <v>45354</v>
      </c>
      <c r="C1241" s="2" t="s">
        <v>891</v>
      </c>
      <c r="D1241" s="2" t="s">
        <v>140</v>
      </c>
      <c r="E1241" s="2" t="s">
        <v>49</v>
      </c>
      <c r="F1241" s="2" t="s">
        <v>102</v>
      </c>
      <c r="G1241" s="2" t="s">
        <v>103</v>
      </c>
      <c r="H1241" s="2">
        <v>1</v>
      </c>
      <c r="I1241" s="2">
        <v>3758.07</v>
      </c>
      <c r="J1241" s="2">
        <v>0.1</v>
      </c>
      <c r="K1241" s="2" t="s">
        <v>24</v>
      </c>
      <c r="L1241" s="2" t="s">
        <v>25</v>
      </c>
    </row>
    <row r="1242" spans="1:12" x14ac:dyDescent="0.2">
      <c r="A1242" s="2">
        <v>101167</v>
      </c>
      <c r="B1242" s="17">
        <v>45576</v>
      </c>
      <c r="C1242" s="2" t="s">
        <v>742</v>
      </c>
      <c r="D1242" s="2" t="s">
        <v>73</v>
      </c>
      <c r="E1242" s="2" t="s">
        <v>49</v>
      </c>
      <c r="F1242" s="2" t="s">
        <v>33</v>
      </c>
      <c r="G1242" s="2" t="s">
        <v>81</v>
      </c>
      <c r="H1242" s="2">
        <v>4</v>
      </c>
      <c r="I1242" s="2">
        <v>365.02</v>
      </c>
      <c r="J1242" s="2">
        <v>0.05</v>
      </c>
      <c r="K1242" s="2" t="s">
        <v>83</v>
      </c>
      <c r="L1242" s="2" t="s">
        <v>35</v>
      </c>
    </row>
    <row r="1243" spans="1:12" x14ac:dyDescent="0.2">
      <c r="A1243" s="2">
        <v>100051</v>
      </c>
      <c r="B1243" s="18">
        <v>45643</v>
      </c>
      <c r="C1243" s="2" t="s">
        <v>892</v>
      </c>
      <c r="D1243" s="2" t="s">
        <v>13</v>
      </c>
      <c r="E1243" s="2" t="s">
        <v>14</v>
      </c>
      <c r="F1243" s="2" t="s">
        <v>33</v>
      </c>
      <c r="G1243" s="2" t="s">
        <v>93</v>
      </c>
      <c r="H1243" s="2">
        <v>12</v>
      </c>
      <c r="I1243" s="2">
        <v>380.92</v>
      </c>
      <c r="J1243" s="2"/>
      <c r="K1243" s="2" t="s">
        <v>41</v>
      </c>
      <c r="L1243" s="2" t="s">
        <v>35</v>
      </c>
    </row>
    <row r="1244" spans="1:12" x14ac:dyDescent="0.2">
      <c r="A1244" s="2">
        <v>101657</v>
      </c>
      <c r="B1244" s="18">
        <v>45489</v>
      </c>
      <c r="C1244" s="2" t="s">
        <v>749</v>
      </c>
      <c r="D1244" s="2" t="s">
        <v>44</v>
      </c>
      <c r="E1244" s="2" t="s">
        <v>54</v>
      </c>
      <c r="F1244" s="2" t="s">
        <v>223</v>
      </c>
      <c r="G1244" s="2" t="s">
        <v>51</v>
      </c>
      <c r="H1244" s="2">
        <v>5</v>
      </c>
      <c r="I1244" s="2">
        <v>5234.75</v>
      </c>
      <c r="J1244" s="2">
        <v>0</v>
      </c>
      <c r="K1244" s="2" t="s">
        <v>66</v>
      </c>
      <c r="L1244" s="2" t="s">
        <v>25</v>
      </c>
    </row>
    <row r="1245" spans="1:12" x14ac:dyDescent="0.2">
      <c r="A1245" s="2">
        <v>101767</v>
      </c>
      <c r="B1245" s="18">
        <v>45603</v>
      </c>
      <c r="C1245" s="2"/>
      <c r="D1245" s="2" t="s">
        <v>92</v>
      </c>
      <c r="E1245" s="2" t="s">
        <v>32</v>
      </c>
      <c r="F1245" s="2" t="s">
        <v>15</v>
      </c>
      <c r="G1245" s="2" t="s">
        <v>116</v>
      </c>
      <c r="H1245" s="2">
        <v>12</v>
      </c>
      <c r="I1245" s="2">
        <v>6336.95</v>
      </c>
      <c r="J1245" s="2">
        <v>0.2</v>
      </c>
      <c r="K1245" s="2" t="s">
        <v>41</v>
      </c>
      <c r="L1245" s="2" t="s">
        <v>143</v>
      </c>
    </row>
    <row r="1246" spans="1:12" x14ac:dyDescent="0.2">
      <c r="A1246" s="2">
        <v>101106</v>
      </c>
      <c r="B1246" s="18">
        <v>45299</v>
      </c>
      <c r="C1246" s="2" t="s">
        <v>377</v>
      </c>
      <c r="D1246" s="2" t="s">
        <v>20</v>
      </c>
      <c r="E1246" s="2" t="s">
        <v>133</v>
      </c>
      <c r="F1246" s="2" t="s">
        <v>155</v>
      </c>
      <c r="G1246" s="2" t="s">
        <v>137</v>
      </c>
      <c r="H1246" s="2">
        <v>6</v>
      </c>
      <c r="I1246" s="2">
        <v>1695.3</v>
      </c>
      <c r="J1246" s="2">
        <v>25</v>
      </c>
      <c r="K1246" s="2" t="s">
        <v>66</v>
      </c>
      <c r="L1246" s="2" t="s">
        <v>52</v>
      </c>
    </row>
    <row r="1247" spans="1:12" x14ac:dyDescent="0.2">
      <c r="A1247" s="2">
        <v>100704</v>
      </c>
      <c r="B1247" s="18">
        <v>45371</v>
      </c>
      <c r="C1247" s="2" t="s">
        <v>543</v>
      </c>
      <c r="D1247" s="2" t="s">
        <v>140</v>
      </c>
      <c r="E1247" s="2" t="s">
        <v>49</v>
      </c>
      <c r="F1247" s="2" t="s">
        <v>223</v>
      </c>
      <c r="G1247" s="2" t="s">
        <v>51</v>
      </c>
      <c r="H1247" s="2">
        <v>5</v>
      </c>
      <c r="I1247" s="2">
        <v>8979.93</v>
      </c>
      <c r="J1247" s="2">
        <v>0.15</v>
      </c>
      <c r="K1247" s="2" t="s">
        <v>17</v>
      </c>
      <c r="L1247" s="2" t="s">
        <v>42</v>
      </c>
    </row>
    <row r="1248" spans="1:12" x14ac:dyDescent="0.2">
      <c r="A1248" s="2">
        <v>100483</v>
      </c>
      <c r="B1248" s="18">
        <v>45559</v>
      </c>
      <c r="C1248" s="2" t="s">
        <v>474</v>
      </c>
      <c r="D1248" s="2" t="s">
        <v>58</v>
      </c>
      <c r="E1248" s="2" t="s">
        <v>69</v>
      </c>
      <c r="F1248" s="2" t="s">
        <v>33</v>
      </c>
      <c r="G1248" s="2" t="s">
        <v>158</v>
      </c>
      <c r="H1248" s="2">
        <v>3</v>
      </c>
      <c r="I1248" s="2">
        <v>362.57</v>
      </c>
      <c r="J1248" s="2">
        <v>0.2</v>
      </c>
      <c r="K1248" s="2" t="s">
        <v>83</v>
      </c>
      <c r="L1248" s="2" t="s">
        <v>18</v>
      </c>
    </row>
    <row r="1249" spans="1:12" x14ac:dyDescent="0.2">
      <c r="A1249" s="2">
        <v>101146</v>
      </c>
      <c r="B1249" s="17">
        <v>45347</v>
      </c>
      <c r="C1249" s="2" t="s">
        <v>201</v>
      </c>
      <c r="D1249" s="2" t="s">
        <v>20</v>
      </c>
      <c r="E1249" s="2" t="s">
        <v>133</v>
      </c>
      <c r="F1249" s="2" t="s">
        <v>124</v>
      </c>
      <c r="G1249" s="2" t="s">
        <v>51</v>
      </c>
      <c r="H1249" s="2">
        <v>12</v>
      </c>
      <c r="I1249" s="2">
        <v>11905.59</v>
      </c>
      <c r="J1249" s="2">
        <v>0.05</v>
      </c>
      <c r="K1249" s="2" t="s">
        <v>83</v>
      </c>
      <c r="L1249" s="2" t="s">
        <v>143</v>
      </c>
    </row>
    <row r="1250" spans="1:12" x14ac:dyDescent="0.2">
      <c r="A1250" s="2">
        <v>101931</v>
      </c>
      <c r="B1250" s="17">
        <v>45570</v>
      </c>
      <c r="C1250" s="2" t="s">
        <v>189</v>
      </c>
      <c r="D1250" s="2" t="s">
        <v>109</v>
      </c>
      <c r="E1250" s="2" t="s">
        <v>21</v>
      </c>
      <c r="F1250" s="2" t="s">
        <v>22</v>
      </c>
      <c r="G1250" s="2" t="s">
        <v>232</v>
      </c>
      <c r="H1250" s="2">
        <v>8</v>
      </c>
      <c r="I1250" s="2">
        <v>1265.73</v>
      </c>
      <c r="J1250" s="2">
        <v>25</v>
      </c>
      <c r="K1250" s="2" t="s">
        <v>17</v>
      </c>
      <c r="L1250" s="2" t="s">
        <v>143</v>
      </c>
    </row>
    <row r="1251" spans="1:12" x14ac:dyDescent="0.2">
      <c r="A1251" s="2">
        <v>100067</v>
      </c>
      <c r="B1251" s="18">
        <v>45508</v>
      </c>
      <c r="C1251" s="2" t="s">
        <v>26</v>
      </c>
      <c r="D1251" s="2" t="s">
        <v>131</v>
      </c>
      <c r="E1251" s="2" t="s">
        <v>21</v>
      </c>
      <c r="F1251" s="2" t="s">
        <v>120</v>
      </c>
      <c r="G1251" s="2" t="s">
        <v>75</v>
      </c>
      <c r="H1251" s="2">
        <v>12</v>
      </c>
      <c r="I1251" s="2">
        <v>2394.83</v>
      </c>
      <c r="J1251" s="2">
        <v>0</v>
      </c>
      <c r="K1251" s="2" t="s">
        <v>17</v>
      </c>
      <c r="L1251" s="2" t="s">
        <v>18</v>
      </c>
    </row>
    <row r="1252" spans="1:12" x14ac:dyDescent="0.2">
      <c r="A1252" s="2">
        <v>101740</v>
      </c>
      <c r="B1252" s="17">
        <v>45492</v>
      </c>
      <c r="C1252" s="2" t="s">
        <v>352</v>
      </c>
      <c r="D1252" s="2" t="s">
        <v>109</v>
      </c>
      <c r="E1252" s="2" t="s">
        <v>21</v>
      </c>
      <c r="F1252" s="2" t="s">
        <v>102</v>
      </c>
      <c r="G1252" s="2" t="s">
        <v>103</v>
      </c>
      <c r="H1252" s="2">
        <v>4</v>
      </c>
      <c r="I1252" s="2">
        <v>3656.81</v>
      </c>
      <c r="J1252" s="2"/>
      <c r="K1252" s="2" t="s">
        <v>41</v>
      </c>
      <c r="L1252" s="2" t="s">
        <v>35</v>
      </c>
    </row>
    <row r="1253" spans="1:12" x14ac:dyDescent="0.2">
      <c r="A1253" s="2">
        <v>100734</v>
      </c>
      <c r="B1253" s="18">
        <v>45600</v>
      </c>
      <c r="C1253" s="2" t="s">
        <v>326</v>
      </c>
      <c r="D1253" s="2" t="s">
        <v>85</v>
      </c>
      <c r="E1253" s="2" t="s">
        <v>119</v>
      </c>
      <c r="F1253" s="2" t="s">
        <v>64</v>
      </c>
      <c r="G1253" s="2" t="s">
        <v>242</v>
      </c>
      <c r="H1253" s="2">
        <v>5</v>
      </c>
      <c r="I1253" s="2">
        <v>142.19999999999999</v>
      </c>
      <c r="J1253" s="2">
        <v>0.05</v>
      </c>
      <c r="K1253" s="2" t="s">
        <v>17</v>
      </c>
      <c r="L1253" s="2" t="s">
        <v>42</v>
      </c>
    </row>
    <row r="1254" spans="1:12" x14ac:dyDescent="0.2">
      <c r="A1254" s="2">
        <v>101804</v>
      </c>
      <c r="B1254" s="18">
        <v>45586</v>
      </c>
      <c r="C1254" s="2" t="s">
        <v>291</v>
      </c>
      <c r="D1254" s="2" t="s">
        <v>37</v>
      </c>
      <c r="E1254" s="2" t="s">
        <v>69</v>
      </c>
      <c r="F1254" s="2" t="s">
        <v>113</v>
      </c>
      <c r="G1254" s="2" t="s">
        <v>114</v>
      </c>
      <c r="H1254" s="2">
        <v>11</v>
      </c>
      <c r="I1254" s="2">
        <v>264.69</v>
      </c>
      <c r="J1254" s="2">
        <v>0</v>
      </c>
      <c r="K1254" s="2" t="s">
        <v>66</v>
      </c>
      <c r="L1254" s="2" t="s">
        <v>121</v>
      </c>
    </row>
    <row r="1255" spans="1:12" x14ac:dyDescent="0.2">
      <c r="A1255" s="2">
        <v>100802</v>
      </c>
      <c r="B1255" s="18">
        <v>45630</v>
      </c>
      <c r="C1255" s="2" t="s">
        <v>276</v>
      </c>
      <c r="D1255" s="2" t="s">
        <v>48</v>
      </c>
      <c r="E1255" s="2" t="s">
        <v>79</v>
      </c>
      <c r="F1255" s="2" t="s">
        <v>45</v>
      </c>
      <c r="G1255" s="2" t="s">
        <v>71</v>
      </c>
      <c r="H1255" s="2">
        <v>2</v>
      </c>
      <c r="I1255" s="2">
        <v>19017.29</v>
      </c>
      <c r="J1255" s="2">
        <v>0</v>
      </c>
      <c r="K1255" s="2" t="s">
        <v>66</v>
      </c>
      <c r="L1255" s="2" t="s">
        <v>42</v>
      </c>
    </row>
    <row r="1256" spans="1:12" x14ac:dyDescent="0.2">
      <c r="A1256" s="2">
        <v>101564</v>
      </c>
      <c r="B1256" s="17">
        <v>45334</v>
      </c>
      <c r="C1256" s="2" t="s">
        <v>434</v>
      </c>
      <c r="D1256" s="2" t="s">
        <v>92</v>
      </c>
      <c r="E1256" s="2" t="s">
        <v>32</v>
      </c>
      <c r="F1256" s="2" t="s">
        <v>106</v>
      </c>
      <c r="G1256" s="2" t="s">
        <v>156</v>
      </c>
      <c r="H1256" s="2">
        <v>9</v>
      </c>
      <c r="I1256" s="2">
        <v>970.74</v>
      </c>
      <c r="J1256" s="2">
        <v>0.2</v>
      </c>
      <c r="K1256" s="2" t="s">
        <v>83</v>
      </c>
      <c r="L1256" s="2" t="s">
        <v>52</v>
      </c>
    </row>
    <row r="1257" spans="1:12" x14ac:dyDescent="0.2">
      <c r="A1257" s="2">
        <v>101485</v>
      </c>
      <c r="B1257" s="2" t="s">
        <v>254</v>
      </c>
      <c r="C1257" s="2" t="s">
        <v>893</v>
      </c>
      <c r="D1257" s="2" t="s">
        <v>175</v>
      </c>
      <c r="E1257" s="2" t="s">
        <v>38</v>
      </c>
      <c r="F1257" s="2" t="s">
        <v>80</v>
      </c>
      <c r="G1257" s="2" t="s">
        <v>81</v>
      </c>
      <c r="H1257" s="2">
        <v>-1</v>
      </c>
      <c r="I1257" s="2">
        <v>511.5</v>
      </c>
      <c r="J1257" s="2">
        <v>0</v>
      </c>
      <c r="K1257" s="2" t="s">
        <v>83</v>
      </c>
      <c r="L1257" s="2" t="s">
        <v>18</v>
      </c>
    </row>
    <row r="1258" spans="1:12" x14ac:dyDescent="0.2">
      <c r="A1258" s="2">
        <v>100908</v>
      </c>
      <c r="B1258" s="17">
        <v>45573</v>
      </c>
      <c r="C1258" s="2" t="s">
        <v>696</v>
      </c>
      <c r="D1258" s="2" t="s">
        <v>175</v>
      </c>
      <c r="E1258" s="2" t="s">
        <v>38</v>
      </c>
      <c r="F1258" s="2" t="s">
        <v>223</v>
      </c>
      <c r="G1258" s="2" t="s">
        <v>51</v>
      </c>
      <c r="H1258" s="2">
        <v>10</v>
      </c>
      <c r="I1258" s="2">
        <v>4118.79</v>
      </c>
      <c r="J1258" s="2">
        <v>0.15</v>
      </c>
      <c r="K1258" s="2" t="s">
        <v>83</v>
      </c>
      <c r="L1258" s="2" t="s">
        <v>42</v>
      </c>
    </row>
    <row r="1259" spans="1:12" x14ac:dyDescent="0.2">
      <c r="A1259" s="2">
        <v>100032</v>
      </c>
      <c r="B1259" s="18">
        <v>45509</v>
      </c>
      <c r="C1259" s="2" t="s">
        <v>894</v>
      </c>
      <c r="D1259" s="2" t="s">
        <v>92</v>
      </c>
      <c r="E1259" s="2" t="s">
        <v>54</v>
      </c>
      <c r="F1259" s="2" t="s">
        <v>80</v>
      </c>
      <c r="G1259" s="2" t="s">
        <v>93</v>
      </c>
      <c r="H1259" s="2">
        <v>12</v>
      </c>
      <c r="I1259" s="2">
        <v>481.97</v>
      </c>
      <c r="J1259" s="2">
        <v>0.15</v>
      </c>
      <c r="K1259" s="2" t="s">
        <v>83</v>
      </c>
      <c r="L1259" s="2" t="s">
        <v>42</v>
      </c>
    </row>
    <row r="1260" spans="1:12" x14ac:dyDescent="0.2">
      <c r="A1260" s="2">
        <v>100418</v>
      </c>
      <c r="B1260" s="17">
        <v>45495</v>
      </c>
      <c r="C1260" s="2" t="s">
        <v>437</v>
      </c>
      <c r="D1260" s="2" t="s">
        <v>140</v>
      </c>
      <c r="E1260" s="2" t="s">
        <v>49</v>
      </c>
      <c r="F1260" s="2" t="s">
        <v>64</v>
      </c>
      <c r="G1260" s="2" t="s">
        <v>114</v>
      </c>
      <c r="H1260" s="2">
        <v>7</v>
      </c>
      <c r="I1260" s="2">
        <v>149.74</v>
      </c>
      <c r="J1260" s="2">
        <v>20</v>
      </c>
      <c r="K1260" s="2" t="s">
        <v>24</v>
      </c>
      <c r="L1260" s="2" t="s">
        <v>87</v>
      </c>
    </row>
    <row r="1261" spans="1:12" x14ac:dyDescent="0.2">
      <c r="A1261" s="2">
        <v>100882</v>
      </c>
      <c r="B1261" s="18">
        <v>45467</v>
      </c>
      <c r="C1261" s="2" t="s">
        <v>795</v>
      </c>
      <c r="D1261" s="2" t="s">
        <v>92</v>
      </c>
      <c r="E1261" s="2" t="s">
        <v>32</v>
      </c>
      <c r="F1261" s="2" t="s">
        <v>124</v>
      </c>
      <c r="G1261" s="2" t="s">
        <v>62</v>
      </c>
      <c r="H1261" s="2">
        <v>5</v>
      </c>
      <c r="I1261" s="2">
        <v>2395.0500000000002</v>
      </c>
      <c r="J1261" s="2">
        <v>0.2</v>
      </c>
      <c r="K1261" s="2" t="s">
        <v>29</v>
      </c>
      <c r="L1261" s="2" t="s">
        <v>143</v>
      </c>
    </row>
    <row r="1262" spans="1:12" x14ac:dyDescent="0.2">
      <c r="A1262" s="2">
        <v>100633</v>
      </c>
      <c r="B1262" s="18">
        <v>45417</v>
      </c>
      <c r="C1262" s="2" t="s">
        <v>855</v>
      </c>
      <c r="D1262" s="2" t="s">
        <v>92</v>
      </c>
      <c r="E1262" s="2" t="s">
        <v>32</v>
      </c>
      <c r="F1262" s="2" t="s">
        <v>113</v>
      </c>
      <c r="G1262" s="2" t="s">
        <v>242</v>
      </c>
      <c r="H1262" s="2">
        <v>11</v>
      </c>
      <c r="I1262" s="2">
        <v>854.8</v>
      </c>
      <c r="J1262" s="2">
        <v>25</v>
      </c>
      <c r="K1262" s="2" t="s">
        <v>83</v>
      </c>
      <c r="L1262" s="2" t="s">
        <v>143</v>
      </c>
    </row>
    <row r="1263" spans="1:12" x14ac:dyDescent="0.2">
      <c r="A1263" s="2">
        <v>101579</v>
      </c>
      <c r="B1263" s="17">
        <v>45511</v>
      </c>
      <c r="C1263" s="2" t="s">
        <v>647</v>
      </c>
      <c r="D1263" s="2" t="s">
        <v>160</v>
      </c>
      <c r="E1263" s="2" t="s">
        <v>79</v>
      </c>
      <c r="F1263" s="2" t="s">
        <v>102</v>
      </c>
      <c r="G1263" s="2" t="s">
        <v>135</v>
      </c>
      <c r="H1263" s="2">
        <v>2</v>
      </c>
      <c r="I1263" s="2" t="s">
        <v>895</v>
      </c>
      <c r="J1263" s="2"/>
      <c r="K1263" s="2" t="s">
        <v>41</v>
      </c>
      <c r="L1263" s="2" t="s">
        <v>42</v>
      </c>
    </row>
    <row r="1264" spans="1:12" x14ac:dyDescent="0.2">
      <c r="A1264" s="2">
        <v>101454</v>
      </c>
      <c r="B1264" s="2" t="s">
        <v>668</v>
      </c>
      <c r="C1264" s="2" t="s">
        <v>184</v>
      </c>
      <c r="D1264" s="2" t="s">
        <v>95</v>
      </c>
      <c r="E1264" s="2" t="s">
        <v>21</v>
      </c>
      <c r="F1264" s="2" t="s">
        <v>155</v>
      </c>
      <c r="G1264" s="2" t="s">
        <v>103</v>
      </c>
      <c r="H1264" s="2"/>
      <c r="I1264" s="2">
        <v>2744.15</v>
      </c>
      <c r="J1264" s="2">
        <v>0</v>
      </c>
      <c r="K1264" s="2" t="s">
        <v>29</v>
      </c>
      <c r="L1264" s="2" t="s">
        <v>18</v>
      </c>
    </row>
    <row r="1265" spans="1:12" x14ac:dyDescent="0.2">
      <c r="A1265" s="2">
        <v>100065</v>
      </c>
      <c r="B1265" s="17">
        <v>45654</v>
      </c>
      <c r="C1265" s="2" t="s">
        <v>349</v>
      </c>
      <c r="D1265" s="2" t="s">
        <v>92</v>
      </c>
      <c r="E1265" s="2" t="s">
        <v>54</v>
      </c>
      <c r="F1265" s="2" t="s">
        <v>155</v>
      </c>
      <c r="G1265" s="2" t="s">
        <v>156</v>
      </c>
      <c r="H1265" s="2">
        <v>6</v>
      </c>
      <c r="I1265" s="2">
        <v>4330.8900000000003</v>
      </c>
      <c r="J1265" s="2"/>
      <c r="K1265" s="2" t="s">
        <v>83</v>
      </c>
      <c r="L1265" s="2" t="s">
        <v>52</v>
      </c>
    </row>
    <row r="1266" spans="1:12" x14ac:dyDescent="0.2">
      <c r="A1266" s="2"/>
      <c r="B1266" s="2"/>
      <c r="C1266" s="2"/>
      <c r="D1266" s="2"/>
      <c r="E1266" s="2"/>
      <c r="F1266" s="2"/>
      <c r="G1266" s="2"/>
      <c r="H1266" s="2"/>
      <c r="I1266" s="2"/>
      <c r="J1266" s="2"/>
      <c r="K1266" s="2"/>
      <c r="L1266" s="2"/>
    </row>
    <row r="1267" spans="1:12" x14ac:dyDescent="0.2">
      <c r="A1267" s="2">
        <v>101625</v>
      </c>
      <c r="B1267" s="18">
        <v>45367</v>
      </c>
      <c r="C1267" s="2" t="s">
        <v>652</v>
      </c>
      <c r="D1267" s="2" t="s">
        <v>95</v>
      </c>
      <c r="E1267" s="2" t="s">
        <v>21</v>
      </c>
      <c r="F1267" s="2" t="s">
        <v>74</v>
      </c>
      <c r="G1267" s="2" t="s">
        <v>145</v>
      </c>
      <c r="H1267" s="2">
        <v>3</v>
      </c>
      <c r="I1267" s="2">
        <v>2779.26</v>
      </c>
      <c r="J1267" s="2">
        <v>0</v>
      </c>
      <c r="K1267" s="2" t="s">
        <v>41</v>
      </c>
      <c r="L1267" s="2" t="s">
        <v>42</v>
      </c>
    </row>
    <row r="1268" spans="1:12" x14ac:dyDescent="0.2">
      <c r="A1268" s="2">
        <v>100078</v>
      </c>
      <c r="B1268" s="18">
        <v>45490</v>
      </c>
      <c r="C1268" s="2" t="s">
        <v>344</v>
      </c>
      <c r="D1268" s="2" t="s">
        <v>101</v>
      </c>
      <c r="E1268" s="2" t="s">
        <v>69</v>
      </c>
      <c r="F1268" s="2" t="s">
        <v>50</v>
      </c>
      <c r="G1268" s="2" t="s">
        <v>51</v>
      </c>
      <c r="H1268" s="2">
        <v>5</v>
      </c>
      <c r="I1268" s="2">
        <v>2428.42</v>
      </c>
      <c r="J1268" s="2">
        <v>0</v>
      </c>
      <c r="K1268" s="2" t="s">
        <v>17</v>
      </c>
      <c r="L1268" s="2" t="s">
        <v>52</v>
      </c>
    </row>
    <row r="1269" spans="1:12" x14ac:dyDescent="0.2">
      <c r="A1269" s="2">
        <v>100492</v>
      </c>
      <c r="B1269" s="18">
        <v>45347</v>
      </c>
      <c r="C1269" s="2" t="s">
        <v>815</v>
      </c>
      <c r="D1269" s="2" t="s">
        <v>109</v>
      </c>
      <c r="E1269" s="2" t="s">
        <v>21</v>
      </c>
      <c r="F1269" s="2" t="s">
        <v>33</v>
      </c>
      <c r="G1269" s="2" t="s">
        <v>81</v>
      </c>
      <c r="H1269" s="2">
        <v>7</v>
      </c>
      <c r="I1269" s="2">
        <v>313.76</v>
      </c>
      <c r="J1269" s="2">
        <v>0.05</v>
      </c>
      <c r="K1269" s="2" t="s">
        <v>66</v>
      </c>
      <c r="L1269" s="2" t="s">
        <v>121</v>
      </c>
    </row>
    <row r="1270" spans="1:12" x14ac:dyDescent="0.2">
      <c r="A1270" s="2">
        <v>101684</v>
      </c>
      <c r="B1270" s="17">
        <v>45489</v>
      </c>
      <c r="C1270" s="2" t="s">
        <v>94</v>
      </c>
      <c r="D1270" s="2" t="s">
        <v>160</v>
      </c>
      <c r="E1270" s="2" t="s">
        <v>49</v>
      </c>
      <c r="F1270" s="2" t="s">
        <v>74</v>
      </c>
      <c r="G1270" s="2" t="s">
        <v>75</v>
      </c>
      <c r="H1270" s="2">
        <v>8</v>
      </c>
      <c r="I1270" s="2">
        <v>1923.81</v>
      </c>
      <c r="J1270" s="2">
        <v>0.15</v>
      </c>
      <c r="K1270" s="2" t="s">
        <v>66</v>
      </c>
      <c r="L1270" s="2" t="s">
        <v>18</v>
      </c>
    </row>
    <row r="1271" spans="1:12" x14ac:dyDescent="0.2">
      <c r="A1271" s="2">
        <v>101759</v>
      </c>
      <c r="B1271" s="17">
        <v>45315</v>
      </c>
      <c r="C1271" s="2" t="s">
        <v>683</v>
      </c>
      <c r="D1271" s="2" t="s">
        <v>175</v>
      </c>
      <c r="E1271" s="2" t="s">
        <v>69</v>
      </c>
      <c r="F1271" s="2" t="s">
        <v>39</v>
      </c>
      <c r="G1271" s="2" t="s">
        <v>165</v>
      </c>
      <c r="H1271" s="2">
        <v>2</v>
      </c>
      <c r="I1271" s="2"/>
      <c r="J1271" s="2">
        <v>0.25</v>
      </c>
      <c r="K1271" s="2" t="s">
        <v>29</v>
      </c>
      <c r="L1271" s="2" t="s">
        <v>42</v>
      </c>
    </row>
    <row r="1272" spans="1:12" x14ac:dyDescent="0.2">
      <c r="A1272" s="2">
        <v>100533</v>
      </c>
      <c r="B1272" s="18">
        <v>45529</v>
      </c>
      <c r="C1272" s="2" t="s">
        <v>286</v>
      </c>
      <c r="D1272" s="2" t="s">
        <v>89</v>
      </c>
      <c r="E1272" s="2" t="s">
        <v>54</v>
      </c>
      <c r="F1272" s="2" t="s">
        <v>155</v>
      </c>
      <c r="G1272" s="2" t="s">
        <v>135</v>
      </c>
      <c r="H1272" s="2">
        <v>5</v>
      </c>
      <c r="I1272" s="2">
        <v>886.13</v>
      </c>
      <c r="J1272" s="2">
        <v>0.05</v>
      </c>
      <c r="K1272" s="2" t="s">
        <v>17</v>
      </c>
      <c r="L1272" s="2" t="s">
        <v>35</v>
      </c>
    </row>
    <row r="1273" spans="1:12" x14ac:dyDescent="0.2">
      <c r="A1273" s="2">
        <v>100066</v>
      </c>
      <c r="B1273" s="2" t="s">
        <v>848</v>
      </c>
      <c r="C1273" s="2" t="s">
        <v>490</v>
      </c>
      <c r="D1273" s="2" t="s">
        <v>89</v>
      </c>
      <c r="E1273" s="2" t="s">
        <v>54</v>
      </c>
      <c r="F1273" s="2" t="s">
        <v>33</v>
      </c>
      <c r="G1273" s="2" t="s">
        <v>81</v>
      </c>
      <c r="H1273" s="2">
        <v>5</v>
      </c>
      <c r="I1273" s="2">
        <v>67.569999999999993</v>
      </c>
      <c r="J1273" s="2">
        <v>0</v>
      </c>
      <c r="K1273" s="2" t="s">
        <v>29</v>
      </c>
      <c r="L1273" s="2" t="s">
        <v>25</v>
      </c>
    </row>
    <row r="1274" spans="1:12" x14ac:dyDescent="0.2">
      <c r="A1274" s="2">
        <v>101709</v>
      </c>
      <c r="B1274" s="18">
        <v>45516</v>
      </c>
      <c r="C1274" s="2" t="s">
        <v>386</v>
      </c>
      <c r="D1274" s="2" t="s">
        <v>131</v>
      </c>
      <c r="E1274" s="2" t="s">
        <v>21</v>
      </c>
      <c r="F1274" s="2" t="s">
        <v>155</v>
      </c>
      <c r="G1274" s="2" t="s">
        <v>156</v>
      </c>
      <c r="H1274" s="2">
        <v>7</v>
      </c>
      <c r="I1274" s="2">
        <v>3136.92</v>
      </c>
      <c r="J1274" s="2">
        <v>0</v>
      </c>
      <c r="K1274" s="2" t="s">
        <v>24</v>
      </c>
      <c r="L1274" s="2" t="s">
        <v>25</v>
      </c>
    </row>
    <row r="1275" spans="1:12" x14ac:dyDescent="0.2">
      <c r="A1275" s="2">
        <v>100297</v>
      </c>
      <c r="B1275" s="17">
        <v>45637</v>
      </c>
      <c r="C1275" s="2" t="s">
        <v>452</v>
      </c>
      <c r="D1275" s="2" t="s">
        <v>44</v>
      </c>
      <c r="E1275" s="2" t="s">
        <v>32</v>
      </c>
      <c r="F1275" s="2" t="s">
        <v>223</v>
      </c>
      <c r="G1275" s="2" t="s">
        <v>56</v>
      </c>
      <c r="H1275" s="2">
        <v>5</v>
      </c>
      <c r="I1275" s="2">
        <v>9660.8700000000008</v>
      </c>
      <c r="J1275" s="2">
        <v>15</v>
      </c>
      <c r="K1275" s="2" t="s">
        <v>29</v>
      </c>
      <c r="L1275" s="2" t="s">
        <v>121</v>
      </c>
    </row>
    <row r="1276" spans="1:12" x14ac:dyDescent="0.2">
      <c r="A1276" s="2">
        <v>100592</v>
      </c>
      <c r="B1276" s="17">
        <v>45554</v>
      </c>
      <c r="C1276" s="2" t="s">
        <v>851</v>
      </c>
      <c r="D1276" s="2" t="s">
        <v>48</v>
      </c>
      <c r="E1276" s="2" t="s">
        <v>49</v>
      </c>
      <c r="F1276" s="2" t="s">
        <v>86</v>
      </c>
      <c r="G1276" s="2" t="s">
        <v>97</v>
      </c>
      <c r="H1276" s="2">
        <v>12</v>
      </c>
      <c r="I1276" s="2">
        <v>22902.41</v>
      </c>
      <c r="J1276" s="2">
        <v>0</v>
      </c>
      <c r="K1276" s="2" t="s">
        <v>41</v>
      </c>
      <c r="L1276" s="2" t="s">
        <v>25</v>
      </c>
    </row>
    <row r="1277" spans="1:12" x14ac:dyDescent="0.2">
      <c r="A1277" s="2">
        <v>100768</v>
      </c>
      <c r="B1277" s="17">
        <v>45480</v>
      </c>
      <c r="C1277" s="2" t="s">
        <v>72</v>
      </c>
      <c r="D1277" s="2" t="s">
        <v>37</v>
      </c>
      <c r="E1277" s="2" t="s">
        <v>69</v>
      </c>
      <c r="F1277" s="2" t="s">
        <v>70</v>
      </c>
      <c r="G1277" s="2" t="s">
        <v>71</v>
      </c>
      <c r="H1277" s="2">
        <v>10</v>
      </c>
      <c r="I1277" s="2">
        <v>35153.96</v>
      </c>
      <c r="J1277" s="2"/>
      <c r="K1277" s="2" t="s">
        <v>24</v>
      </c>
      <c r="L1277" s="2" t="s">
        <v>35</v>
      </c>
    </row>
    <row r="1278" spans="1:12" x14ac:dyDescent="0.2">
      <c r="A1278" s="2">
        <v>100725</v>
      </c>
      <c r="B1278" s="17">
        <v>45536</v>
      </c>
      <c r="C1278" s="2" t="s">
        <v>462</v>
      </c>
      <c r="D1278" s="2" t="s">
        <v>31</v>
      </c>
      <c r="E1278" s="2" t="s">
        <v>54</v>
      </c>
      <c r="F1278" s="2" t="s">
        <v>64</v>
      </c>
      <c r="G1278" s="2" t="s">
        <v>165</v>
      </c>
      <c r="H1278" s="2">
        <v>2</v>
      </c>
      <c r="I1278" s="2" t="s">
        <v>896</v>
      </c>
      <c r="J1278" s="2">
        <v>0</v>
      </c>
      <c r="K1278" s="2" t="s">
        <v>17</v>
      </c>
      <c r="L1278" s="2" t="s">
        <v>42</v>
      </c>
    </row>
    <row r="1279" spans="1:12" x14ac:dyDescent="0.2">
      <c r="A1279" s="2">
        <v>101938</v>
      </c>
      <c r="B1279" s="2" t="s">
        <v>456</v>
      </c>
      <c r="C1279" s="2" t="s">
        <v>490</v>
      </c>
      <c r="D1279" s="2" t="s">
        <v>73</v>
      </c>
      <c r="E1279" s="2" t="s">
        <v>79</v>
      </c>
      <c r="F1279" s="2" t="s">
        <v>64</v>
      </c>
      <c r="G1279" s="2" t="s">
        <v>165</v>
      </c>
      <c r="H1279" s="2">
        <v>6</v>
      </c>
      <c r="I1279" s="2">
        <v>538.63</v>
      </c>
      <c r="J1279" s="2"/>
      <c r="K1279" s="2" t="s">
        <v>66</v>
      </c>
      <c r="L1279" s="2" t="s">
        <v>121</v>
      </c>
    </row>
    <row r="1280" spans="1:12" x14ac:dyDescent="0.2">
      <c r="A1280" s="2">
        <v>100627</v>
      </c>
      <c r="B1280" s="2" t="s">
        <v>897</v>
      </c>
      <c r="C1280" s="2"/>
      <c r="D1280" s="2" t="s">
        <v>61</v>
      </c>
      <c r="E1280" s="2" t="s">
        <v>119</v>
      </c>
      <c r="F1280" s="2" t="s">
        <v>86</v>
      </c>
      <c r="G1280" s="2" t="s">
        <v>97</v>
      </c>
      <c r="H1280" s="2">
        <v>6</v>
      </c>
      <c r="I1280" s="2">
        <v>34031.54</v>
      </c>
      <c r="J1280" s="2">
        <v>0</v>
      </c>
      <c r="K1280" s="2" t="s">
        <v>24</v>
      </c>
      <c r="L1280" s="2" t="s">
        <v>121</v>
      </c>
    </row>
    <row r="1281" spans="1:12" x14ac:dyDescent="0.2">
      <c r="A1281" s="2"/>
      <c r="B1281" s="2"/>
      <c r="C1281" s="2"/>
      <c r="D1281" s="2"/>
      <c r="E1281" s="2"/>
      <c r="F1281" s="2"/>
      <c r="G1281" s="2"/>
      <c r="H1281" s="2"/>
      <c r="I1281" s="2"/>
      <c r="J1281" s="2"/>
      <c r="K1281" s="2"/>
      <c r="L1281" s="2"/>
    </row>
    <row r="1282" spans="1:12" x14ac:dyDescent="0.2">
      <c r="A1282" s="2">
        <v>101967</v>
      </c>
      <c r="B1282" s="17">
        <v>45577</v>
      </c>
      <c r="C1282" s="2" t="s">
        <v>898</v>
      </c>
      <c r="D1282" s="2" t="s">
        <v>101</v>
      </c>
      <c r="E1282" s="2" t="s">
        <v>38</v>
      </c>
      <c r="F1282" s="2" t="s">
        <v>191</v>
      </c>
      <c r="G1282" s="2" t="s">
        <v>116</v>
      </c>
      <c r="H1282" s="2">
        <v>11</v>
      </c>
      <c r="I1282" s="2">
        <v>16199.95</v>
      </c>
      <c r="J1282" s="2">
        <v>0.05</v>
      </c>
      <c r="K1282" s="2" t="s">
        <v>66</v>
      </c>
      <c r="L1282" s="2" t="s">
        <v>52</v>
      </c>
    </row>
    <row r="1283" spans="1:12" x14ac:dyDescent="0.2">
      <c r="A1283" s="2">
        <v>101213</v>
      </c>
      <c r="B1283" s="17">
        <v>45559</v>
      </c>
      <c r="C1283" s="2" t="s">
        <v>740</v>
      </c>
      <c r="D1283" s="2" t="s">
        <v>140</v>
      </c>
      <c r="E1283" s="2" t="s">
        <v>49</v>
      </c>
      <c r="F1283" s="2" t="s">
        <v>155</v>
      </c>
      <c r="G1283" s="2" t="s">
        <v>137</v>
      </c>
      <c r="H1283" s="2">
        <v>1</v>
      </c>
      <c r="I1283" s="2">
        <v>724.33</v>
      </c>
      <c r="J1283" s="2">
        <v>0.1</v>
      </c>
      <c r="K1283" s="2" t="s">
        <v>41</v>
      </c>
      <c r="L1283" s="2" t="s">
        <v>42</v>
      </c>
    </row>
    <row r="1284" spans="1:12" x14ac:dyDescent="0.2">
      <c r="A1284" s="2">
        <v>101750</v>
      </c>
      <c r="B1284" s="17">
        <v>45500</v>
      </c>
      <c r="C1284" s="2" t="s">
        <v>403</v>
      </c>
      <c r="D1284" s="2" t="s">
        <v>31</v>
      </c>
      <c r="E1284" s="2" t="s">
        <v>54</v>
      </c>
      <c r="F1284" s="2" t="s">
        <v>28</v>
      </c>
      <c r="G1284" s="2" t="s">
        <v>116</v>
      </c>
      <c r="H1284" s="2">
        <v>1</v>
      </c>
      <c r="I1284" s="2" t="s">
        <v>899</v>
      </c>
      <c r="J1284" s="2">
        <v>0.2</v>
      </c>
      <c r="K1284" s="2" t="s">
        <v>17</v>
      </c>
      <c r="L1284" s="2" t="s">
        <v>35</v>
      </c>
    </row>
    <row r="1285" spans="1:12" x14ac:dyDescent="0.2">
      <c r="A1285" s="2">
        <v>100252</v>
      </c>
      <c r="B1285" s="17">
        <v>45347</v>
      </c>
      <c r="C1285" s="2" t="s">
        <v>900</v>
      </c>
      <c r="D1285" s="2" t="s">
        <v>61</v>
      </c>
      <c r="E1285" s="2" t="s">
        <v>119</v>
      </c>
      <c r="F1285" s="2" t="s">
        <v>155</v>
      </c>
      <c r="G1285" s="2" t="s">
        <v>156</v>
      </c>
      <c r="H1285" s="2">
        <v>1</v>
      </c>
      <c r="I1285" s="2">
        <v>695.68</v>
      </c>
      <c r="J1285" s="2"/>
      <c r="K1285" s="2" t="s">
        <v>29</v>
      </c>
      <c r="L1285" s="2" t="s">
        <v>121</v>
      </c>
    </row>
    <row r="1286" spans="1:12" x14ac:dyDescent="0.2">
      <c r="A1286" s="2">
        <v>101839</v>
      </c>
      <c r="B1286" s="18">
        <v>45430</v>
      </c>
      <c r="C1286" s="2" t="s">
        <v>665</v>
      </c>
      <c r="D1286" s="2" t="s">
        <v>89</v>
      </c>
      <c r="E1286" s="2" t="s">
        <v>54</v>
      </c>
      <c r="F1286" s="2" t="s">
        <v>39</v>
      </c>
      <c r="G1286" s="2" t="s">
        <v>114</v>
      </c>
      <c r="H1286" s="2">
        <v>6</v>
      </c>
      <c r="I1286" s="2">
        <v>229.42</v>
      </c>
      <c r="J1286" s="2">
        <v>20</v>
      </c>
      <c r="K1286" s="2" t="s">
        <v>29</v>
      </c>
      <c r="L1286" s="2" t="s">
        <v>18</v>
      </c>
    </row>
    <row r="1287" spans="1:12" x14ac:dyDescent="0.2">
      <c r="A1287" s="2">
        <v>101328</v>
      </c>
      <c r="B1287" s="17">
        <v>45577</v>
      </c>
      <c r="C1287" s="2" t="s">
        <v>162</v>
      </c>
      <c r="D1287" s="2" t="s">
        <v>129</v>
      </c>
      <c r="E1287" s="2" t="s">
        <v>79</v>
      </c>
      <c r="F1287" s="2" t="s">
        <v>113</v>
      </c>
      <c r="G1287" s="2" t="s">
        <v>292</v>
      </c>
      <c r="H1287" s="2">
        <v>10</v>
      </c>
      <c r="I1287" s="2">
        <v>737.78</v>
      </c>
      <c r="J1287" s="2">
        <v>0.2</v>
      </c>
      <c r="K1287" s="2" t="s">
        <v>24</v>
      </c>
      <c r="L1287" s="2" t="s">
        <v>143</v>
      </c>
    </row>
    <row r="1288" spans="1:12" x14ac:dyDescent="0.2">
      <c r="A1288" s="2">
        <v>101923</v>
      </c>
      <c r="B1288" s="18">
        <v>45545</v>
      </c>
      <c r="C1288" s="2" t="s">
        <v>290</v>
      </c>
      <c r="D1288" s="2" t="s">
        <v>31</v>
      </c>
      <c r="E1288" s="2" t="s">
        <v>32</v>
      </c>
      <c r="F1288" s="2" t="s">
        <v>102</v>
      </c>
      <c r="G1288" s="2" t="s">
        <v>135</v>
      </c>
      <c r="H1288" s="2">
        <v>4</v>
      </c>
      <c r="I1288" s="2">
        <v>891.19</v>
      </c>
      <c r="J1288" s="2"/>
      <c r="K1288" s="2" t="s">
        <v>17</v>
      </c>
      <c r="L1288" s="2" t="s">
        <v>87</v>
      </c>
    </row>
    <row r="1289" spans="1:12" x14ac:dyDescent="0.2">
      <c r="A1289" s="2">
        <v>100983</v>
      </c>
      <c r="B1289" s="2" t="s">
        <v>467</v>
      </c>
      <c r="C1289" s="2" t="s">
        <v>901</v>
      </c>
      <c r="D1289" s="2" t="s">
        <v>44</v>
      </c>
      <c r="E1289" s="2" t="s">
        <v>32</v>
      </c>
      <c r="F1289" s="2" t="s">
        <v>70</v>
      </c>
      <c r="G1289" s="2" t="s">
        <v>97</v>
      </c>
      <c r="H1289" s="2">
        <v>4</v>
      </c>
      <c r="I1289" s="2">
        <v>33558.5</v>
      </c>
      <c r="J1289" s="2">
        <v>0</v>
      </c>
      <c r="K1289" s="2" t="s">
        <v>24</v>
      </c>
      <c r="L1289" s="2" t="s">
        <v>143</v>
      </c>
    </row>
    <row r="1290" spans="1:12" x14ac:dyDescent="0.2">
      <c r="A1290" s="2">
        <v>101792</v>
      </c>
      <c r="B1290" s="18">
        <v>45566</v>
      </c>
      <c r="C1290" s="2" t="s">
        <v>902</v>
      </c>
      <c r="D1290" s="2" t="s">
        <v>20</v>
      </c>
      <c r="E1290" s="2" t="s">
        <v>133</v>
      </c>
      <c r="F1290" s="2" t="s">
        <v>191</v>
      </c>
      <c r="G1290" s="2" t="s">
        <v>59</v>
      </c>
      <c r="H1290" s="2">
        <v>6</v>
      </c>
      <c r="I1290" s="2">
        <v>12397.62</v>
      </c>
      <c r="J1290" s="2">
        <v>0</v>
      </c>
      <c r="K1290" s="2" t="s">
        <v>29</v>
      </c>
      <c r="L1290" s="2" t="s">
        <v>121</v>
      </c>
    </row>
    <row r="1291" spans="1:12" x14ac:dyDescent="0.2">
      <c r="A1291" s="2">
        <v>100707</v>
      </c>
      <c r="B1291" s="17">
        <v>45595</v>
      </c>
      <c r="C1291" s="2" t="s">
        <v>91</v>
      </c>
      <c r="D1291" s="2" t="s">
        <v>175</v>
      </c>
      <c r="E1291" s="2" t="s">
        <v>69</v>
      </c>
      <c r="F1291" s="2" t="s">
        <v>113</v>
      </c>
      <c r="G1291" s="2" t="s">
        <v>292</v>
      </c>
      <c r="H1291" s="2">
        <v>4</v>
      </c>
      <c r="I1291" s="2">
        <v>231.92</v>
      </c>
      <c r="J1291" s="2">
        <v>0</v>
      </c>
      <c r="K1291" s="2" t="s">
        <v>29</v>
      </c>
      <c r="L1291" s="2" t="s">
        <v>143</v>
      </c>
    </row>
    <row r="1292" spans="1:12" x14ac:dyDescent="0.2">
      <c r="A1292" s="2">
        <v>100488</v>
      </c>
      <c r="B1292" s="18">
        <v>45646</v>
      </c>
      <c r="C1292" s="2" t="s">
        <v>234</v>
      </c>
      <c r="D1292" s="2" t="s">
        <v>27</v>
      </c>
      <c r="E1292" s="2" t="s">
        <v>21</v>
      </c>
      <c r="F1292" s="2" t="s">
        <v>45</v>
      </c>
      <c r="G1292" s="2" t="s">
        <v>149</v>
      </c>
      <c r="H1292" s="2">
        <v>5</v>
      </c>
      <c r="I1292" s="2">
        <v>26522.53</v>
      </c>
      <c r="J1292" s="2">
        <v>0.2</v>
      </c>
      <c r="K1292" s="2" t="s">
        <v>29</v>
      </c>
      <c r="L1292" s="2" t="s">
        <v>52</v>
      </c>
    </row>
    <row r="1293" spans="1:12" x14ac:dyDescent="0.2">
      <c r="A1293" s="2">
        <v>100274</v>
      </c>
      <c r="B1293" s="18">
        <v>45564</v>
      </c>
      <c r="C1293" s="2" t="s">
        <v>333</v>
      </c>
      <c r="D1293" s="2" t="s">
        <v>89</v>
      </c>
      <c r="E1293" s="2" t="s">
        <v>54</v>
      </c>
      <c r="F1293" s="2" t="s">
        <v>22</v>
      </c>
      <c r="G1293" s="2" t="s">
        <v>145</v>
      </c>
      <c r="H1293" s="2">
        <v>8</v>
      </c>
      <c r="I1293" s="2" t="s">
        <v>903</v>
      </c>
      <c r="J1293" s="2"/>
      <c r="K1293" s="2" t="s">
        <v>83</v>
      </c>
      <c r="L1293" s="2" t="s">
        <v>18</v>
      </c>
    </row>
    <row r="1294" spans="1:12" x14ac:dyDescent="0.2">
      <c r="A1294" s="2">
        <v>101521</v>
      </c>
      <c r="B1294" s="2" t="s">
        <v>904</v>
      </c>
      <c r="C1294" s="2" t="s">
        <v>334</v>
      </c>
      <c r="D1294" s="2" t="s">
        <v>27</v>
      </c>
      <c r="E1294" s="2" t="s">
        <v>21</v>
      </c>
      <c r="F1294" s="2" t="s">
        <v>155</v>
      </c>
      <c r="G1294" s="2" t="s">
        <v>137</v>
      </c>
      <c r="H1294" s="2">
        <v>2</v>
      </c>
      <c r="I1294" s="2" t="s">
        <v>905</v>
      </c>
      <c r="J1294" s="2">
        <v>0</v>
      </c>
      <c r="K1294" s="2" t="s">
        <v>17</v>
      </c>
      <c r="L1294" s="2" t="s">
        <v>143</v>
      </c>
    </row>
    <row r="1295" spans="1:12" x14ac:dyDescent="0.2">
      <c r="A1295" s="2">
        <v>101688</v>
      </c>
      <c r="B1295" s="18">
        <v>45370</v>
      </c>
      <c r="C1295" s="2" t="s">
        <v>150</v>
      </c>
      <c r="D1295" s="2" t="s">
        <v>140</v>
      </c>
      <c r="E1295" s="2" t="s">
        <v>79</v>
      </c>
      <c r="F1295" s="2" t="s">
        <v>86</v>
      </c>
      <c r="G1295" s="2" t="s">
        <v>111</v>
      </c>
      <c r="H1295" s="2">
        <v>6</v>
      </c>
      <c r="I1295" s="2">
        <v>2433.17</v>
      </c>
      <c r="J1295" s="2">
        <v>15</v>
      </c>
      <c r="K1295" s="2" t="s">
        <v>24</v>
      </c>
      <c r="L1295" s="2" t="s">
        <v>35</v>
      </c>
    </row>
    <row r="1296" spans="1:12" x14ac:dyDescent="0.2">
      <c r="A1296" s="2">
        <v>100964</v>
      </c>
      <c r="B1296" s="17">
        <v>45512</v>
      </c>
      <c r="C1296" s="2" t="s">
        <v>125</v>
      </c>
      <c r="D1296" s="2" t="s">
        <v>31</v>
      </c>
      <c r="E1296" s="2" t="s">
        <v>32</v>
      </c>
      <c r="F1296" s="2" t="s">
        <v>80</v>
      </c>
      <c r="G1296" s="2" t="s">
        <v>93</v>
      </c>
      <c r="H1296" s="2"/>
      <c r="I1296" s="2">
        <v>353.96</v>
      </c>
      <c r="J1296" s="2">
        <v>0.15</v>
      </c>
      <c r="K1296" s="2" t="s">
        <v>29</v>
      </c>
      <c r="L1296" s="2" t="s">
        <v>18</v>
      </c>
    </row>
    <row r="1297" spans="1:12" x14ac:dyDescent="0.2">
      <c r="A1297" s="2">
        <v>100878</v>
      </c>
      <c r="B1297" s="17">
        <v>45627</v>
      </c>
      <c r="C1297" s="2" t="s">
        <v>906</v>
      </c>
      <c r="D1297" s="2" t="s">
        <v>27</v>
      </c>
      <c r="E1297" s="2" t="s">
        <v>21</v>
      </c>
      <c r="F1297" s="2" t="s">
        <v>120</v>
      </c>
      <c r="G1297" s="2" t="s">
        <v>145</v>
      </c>
      <c r="H1297" s="2">
        <v>6</v>
      </c>
      <c r="I1297" s="2">
        <v>1115.51</v>
      </c>
      <c r="J1297" s="2"/>
      <c r="K1297" s="2" t="s">
        <v>29</v>
      </c>
      <c r="L1297" s="2" t="s">
        <v>87</v>
      </c>
    </row>
    <row r="1298" spans="1:12" x14ac:dyDescent="0.2">
      <c r="A1298" s="2">
        <v>101498</v>
      </c>
      <c r="B1298" s="2" t="s">
        <v>907</v>
      </c>
      <c r="C1298" s="2" t="s">
        <v>353</v>
      </c>
      <c r="D1298" s="2" t="s">
        <v>175</v>
      </c>
      <c r="E1298" s="2" t="s">
        <v>69</v>
      </c>
      <c r="F1298" s="2" t="s">
        <v>80</v>
      </c>
      <c r="G1298" s="2" t="s">
        <v>158</v>
      </c>
      <c r="H1298" s="2">
        <v>5</v>
      </c>
      <c r="I1298" s="2">
        <v>140.65</v>
      </c>
      <c r="J1298" s="2">
        <v>0.15</v>
      </c>
      <c r="K1298" s="2" t="s">
        <v>17</v>
      </c>
      <c r="L1298" s="2" t="s">
        <v>35</v>
      </c>
    </row>
    <row r="1299" spans="1:12" x14ac:dyDescent="0.2">
      <c r="A1299" s="2">
        <v>101832</v>
      </c>
      <c r="B1299" s="17">
        <v>45380</v>
      </c>
      <c r="C1299" s="2" t="s">
        <v>908</v>
      </c>
      <c r="D1299" s="2" t="s">
        <v>37</v>
      </c>
      <c r="E1299" s="2" t="s">
        <v>69</v>
      </c>
      <c r="F1299" s="2" t="s">
        <v>70</v>
      </c>
      <c r="G1299" s="2" t="s">
        <v>97</v>
      </c>
      <c r="H1299" s="2">
        <v>2</v>
      </c>
      <c r="I1299" s="2">
        <v>39456.17</v>
      </c>
      <c r="J1299" s="2">
        <v>0.1</v>
      </c>
      <c r="K1299" s="2" t="s">
        <v>83</v>
      </c>
      <c r="L1299" s="2" t="s">
        <v>143</v>
      </c>
    </row>
    <row r="1300" spans="1:12" x14ac:dyDescent="0.2">
      <c r="A1300" s="2">
        <v>100412</v>
      </c>
      <c r="B1300" s="17">
        <v>45599</v>
      </c>
      <c r="C1300" s="2" t="s">
        <v>596</v>
      </c>
      <c r="D1300" s="2" t="s">
        <v>175</v>
      </c>
      <c r="E1300" s="2" t="s">
        <v>69</v>
      </c>
      <c r="F1300" s="2" t="s">
        <v>80</v>
      </c>
      <c r="G1300" s="2" t="s">
        <v>34</v>
      </c>
      <c r="H1300" s="2">
        <v>8</v>
      </c>
      <c r="I1300" s="2">
        <v>409.32</v>
      </c>
      <c r="J1300" s="2">
        <v>0.05</v>
      </c>
      <c r="K1300" s="2" t="s">
        <v>29</v>
      </c>
      <c r="L1300" s="2" t="s">
        <v>25</v>
      </c>
    </row>
    <row r="1301" spans="1:12" x14ac:dyDescent="0.2">
      <c r="A1301" s="2">
        <v>100668</v>
      </c>
      <c r="B1301" s="18">
        <v>45298</v>
      </c>
      <c r="C1301" s="2" t="s">
        <v>100</v>
      </c>
      <c r="D1301" s="2" t="s">
        <v>44</v>
      </c>
      <c r="E1301" s="2" t="s">
        <v>54</v>
      </c>
      <c r="F1301" s="2" t="s">
        <v>70</v>
      </c>
      <c r="G1301" s="2" t="s">
        <v>149</v>
      </c>
      <c r="H1301" s="2">
        <v>11</v>
      </c>
      <c r="I1301" s="2">
        <v>33317.379999999997</v>
      </c>
      <c r="J1301" s="2">
        <v>0.2</v>
      </c>
      <c r="K1301" s="2" t="s">
        <v>83</v>
      </c>
      <c r="L1301" s="2" t="s">
        <v>52</v>
      </c>
    </row>
    <row r="1302" spans="1:12" x14ac:dyDescent="0.2">
      <c r="A1302" s="2">
        <v>101263</v>
      </c>
      <c r="B1302" s="17">
        <v>45508</v>
      </c>
      <c r="C1302" s="2" t="s">
        <v>286</v>
      </c>
      <c r="D1302" s="2" t="s">
        <v>73</v>
      </c>
      <c r="E1302" s="2" t="s">
        <v>49</v>
      </c>
      <c r="F1302" s="2" t="s">
        <v>55</v>
      </c>
      <c r="G1302" s="2" t="s">
        <v>207</v>
      </c>
      <c r="H1302" s="2"/>
      <c r="I1302" s="2">
        <v>4637.62</v>
      </c>
      <c r="J1302" s="2">
        <v>15</v>
      </c>
      <c r="K1302" s="2" t="s">
        <v>83</v>
      </c>
      <c r="L1302" s="2" t="s">
        <v>121</v>
      </c>
    </row>
    <row r="1303" spans="1:12" x14ac:dyDescent="0.2">
      <c r="A1303" s="2">
        <v>100150</v>
      </c>
      <c r="B1303" s="18">
        <v>45579</v>
      </c>
      <c r="C1303" s="2" t="s">
        <v>400</v>
      </c>
      <c r="D1303" s="2" t="s">
        <v>31</v>
      </c>
      <c r="E1303" s="2" t="s">
        <v>54</v>
      </c>
      <c r="F1303" s="2" t="s">
        <v>74</v>
      </c>
      <c r="G1303" s="2" t="s">
        <v>232</v>
      </c>
      <c r="H1303" s="2">
        <v>11</v>
      </c>
      <c r="I1303" s="2">
        <v>3425.17</v>
      </c>
      <c r="J1303" s="2">
        <v>0</v>
      </c>
      <c r="K1303" s="2" t="s">
        <v>17</v>
      </c>
      <c r="L1303" s="2" t="s">
        <v>25</v>
      </c>
    </row>
    <row r="1304" spans="1:12" x14ac:dyDescent="0.2">
      <c r="A1304" s="2">
        <v>100645</v>
      </c>
      <c r="B1304" s="17">
        <v>45509</v>
      </c>
      <c r="C1304" s="2" t="s">
        <v>795</v>
      </c>
      <c r="D1304" s="2" t="s">
        <v>61</v>
      </c>
      <c r="E1304" s="2" t="s">
        <v>14</v>
      </c>
      <c r="F1304" s="2" t="s">
        <v>64</v>
      </c>
      <c r="G1304" s="2" t="s">
        <v>40</v>
      </c>
      <c r="H1304" s="2">
        <v>11</v>
      </c>
      <c r="I1304" s="2" t="s">
        <v>909</v>
      </c>
      <c r="J1304" s="2">
        <v>0.15</v>
      </c>
      <c r="K1304" s="2" t="s">
        <v>83</v>
      </c>
      <c r="L1304" s="2" t="s">
        <v>42</v>
      </c>
    </row>
    <row r="1305" spans="1:12" x14ac:dyDescent="0.2">
      <c r="A1305" s="2">
        <v>101623</v>
      </c>
      <c r="B1305" s="17">
        <v>45570</v>
      </c>
      <c r="C1305" s="2" t="s">
        <v>452</v>
      </c>
      <c r="D1305" s="2" t="s">
        <v>160</v>
      </c>
      <c r="E1305" s="2" t="s">
        <v>49</v>
      </c>
      <c r="F1305" s="2" t="s">
        <v>96</v>
      </c>
      <c r="G1305" s="2" t="s">
        <v>149</v>
      </c>
      <c r="H1305" s="2">
        <v>5</v>
      </c>
      <c r="I1305" s="2">
        <v>28438.67</v>
      </c>
      <c r="J1305" s="2">
        <v>0.2</v>
      </c>
      <c r="K1305" s="2" t="s">
        <v>66</v>
      </c>
      <c r="L1305" s="2" t="s">
        <v>87</v>
      </c>
    </row>
    <row r="1306" spans="1:12" x14ac:dyDescent="0.2">
      <c r="A1306" s="2">
        <v>100219</v>
      </c>
      <c r="B1306" s="17">
        <v>45379</v>
      </c>
      <c r="C1306" s="2" t="s">
        <v>572</v>
      </c>
      <c r="D1306" s="2" t="s">
        <v>31</v>
      </c>
      <c r="E1306" s="2" t="s">
        <v>32</v>
      </c>
      <c r="F1306" s="2" t="s">
        <v>120</v>
      </c>
      <c r="G1306" s="2" t="s">
        <v>232</v>
      </c>
      <c r="H1306" s="2">
        <v>4</v>
      </c>
      <c r="I1306" s="2">
        <v>661.36</v>
      </c>
      <c r="J1306" s="2">
        <v>0</v>
      </c>
      <c r="K1306" s="2" t="s">
        <v>24</v>
      </c>
      <c r="L1306" s="2" t="s">
        <v>35</v>
      </c>
    </row>
    <row r="1307" spans="1:12" x14ac:dyDescent="0.2">
      <c r="A1307" s="2">
        <v>100240</v>
      </c>
      <c r="B1307" s="18">
        <v>45322</v>
      </c>
      <c r="C1307" s="2" t="s">
        <v>320</v>
      </c>
      <c r="D1307" s="2" t="s">
        <v>13</v>
      </c>
      <c r="E1307" s="2" t="s">
        <v>119</v>
      </c>
      <c r="F1307" s="2" t="s">
        <v>102</v>
      </c>
      <c r="G1307" s="2" t="s">
        <v>135</v>
      </c>
      <c r="H1307" s="2"/>
      <c r="I1307" s="2">
        <v>2695.2</v>
      </c>
      <c r="J1307" s="2">
        <v>0</v>
      </c>
      <c r="K1307" s="2" t="s">
        <v>41</v>
      </c>
      <c r="L1307" s="2" t="s">
        <v>87</v>
      </c>
    </row>
    <row r="1308" spans="1:12" x14ac:dyDescent="0.2">
      <c r="A1308" s="2">
        <v>101132</v>
      </c>
      <c r="B1308" s="18">
        <v>45296</v>
      </c>
      <c r="C1308" s="2" t="s">
        <v>465</v>
      </c>
      <c r="D1308" s="2" t="s">
        <v>20</v>
      </c>
      <c r="E1308" s="2" t="s">
        <v>21</v>
      </c>
      <c r="F1308" s="2" t="s">
        <v>86</v>
      </c>
      <c r="G1308" s="2" t="s">
        <v>111</v>
      </c>
      <c r="H1308" s="2">
        <v>10</v>
      </c>
      <c r="I1308" s="2">
        <v>35502.54</v>
      </c>
      <c r="J1308" s="2">
        <v>0</v>
      </c>
      <c r="K1308" s="2" t="s">
        <v>24</v>
      </c>
      <c r="L1308" s="2" t="s">
        <v>25</v>
      </c>
    </row>
    <row r="1309" spans="1:12" x14ac:dyDescent="0.2">
      <c r="A1309" s="2">
        <v>101217</v>
      </c>
      <c r="B1309" s="17">
        <v>45566</v>
      </c>
      <c r="C1309" s="2" t="s">
        <v>764</v>
      </c>
      <c r="D1309" s="2" t="s">
        <v>160</v>
      </c>
      <c r="E1309" s="2" t="s">
        <v>49</v>
      </c>
      <c r="F1309" s="2" t="s">
        <v>124</v>
      </c>
      <c r="G1309" s="2" t="s">
        <v>99</v>
      </c>
      <c r="H1309" s="2">
        <v>5</v>
      </c>
      <c r="I1309" s="2">
        <v>8069.95</v>
      </c>
      <c r="J1309" s="2">
        <v>0.2</v>
      </c>
      <c r="K1309" s="2" t="s">
        <v>83</v>
      </c>
      <c r="L1309" s="2" t="s">
        <v>42</v>
      </c>
    </row>
    <row r="1310" spans="1:12" x14ac:dyDescent="0.2">
      <c r="A1310" s="2">
        <v>100793</v>
      </c>
      <c r="B1310" s="17">
        <v>45634</v>
      </c>
      <c r="C1310" s="2" t="s">
        <v>725</v>
      </c>
      <c r="D1310" s="2" t="s">
        <v>89</v>
      </c>
      <c r="E1310" s="2" t="s">
        <v>54</v>
      </c>
      <c r="F1310" s="2" t="s">
        <v>120</v>
      </c>
      <c r="G1310" s="2" t="s">
        <v>141</v>
      </c>
      <c r="H1310" s="2">
        <v>3</v>
      </c>
      <c r="I1310" s="2">
        <v>2142.33</v>
      </c>
      <c r="J1310" s="2"/>
      <c r="K1310" s="2" t="s">
        <v>41</v>
      </c>
      <c r="L1310" s="2" t="s">
        <v>121</v>
      </c>
    </row>
    <row r="1311" spans="1:12" x14ac:dyDescent="0.2">
      <c r="A1311" s="2">
        <v>100192</v>
      </c>
      <c r="B1311" s="2" t="s">
        <v>910</v>
      </c>
      <c r="C1311" s="2" t="s">
        <v>900</v>
      </c>
      <c r="D1311" s="2" t="s">
        <v>20</v>
      </c>
      <c r="E1311" s="2" t="s">
        <v>133</v>
      </c>
      <c r="F1311" s="2" t="s">
        <v>96</v>
      </c>
      <c r="G1311" s="2" t="s">
        <v>149</v>
      </c>
      <c r="H1311" s="2">
        <v>9</v>
      </c>
      <c r="I1311" s="2">
        <v>3317.13</v>
      </c>
      <c r="J1311" s="2">
        <v>15</v>
      </c>
      <c r="K1311" s="2" t="s">
        <v>17</v>
      </c>
      <c r="L1311" s="2" t="s">
        <v>87</v>
      </c>
    </row>
    <row r="1312" spans="1:12" x14ac:dyDescent="0.2">
      <c r="A1312" s="2">
        <v>100334</v>
      </c>
      <c r="B1312" s="17">
        <v>45628</v>
      </c>
      <c r="C1312" s="2" t="s">
        <v>188</v>
      </c>
      <c r="D1312" s="2" t="s">
        <v>101</v>
      </c>
      <c r="E1312" s="2" t="s">
        <v>69</v>
      </c>
      <c r="F1312" s="2" t="s">
        <v>74</v>
      </c>
      <c r="G1312" s="2" t="s">
        <v>145</v>
      </c>
      <c r="H1312" s="2">
        <v>7</v>
      </c>
      <c r="I1312" s="2">
        <v>2971.73</v>
      </c>
      <c r="J1312" s="2">
        <v>0.25</v>
      </c>
      <c r="K1312" s="2" t="s">
        <v>41</v>
      </c>
      <c r="L1312" s="2" t="s">
        <v>35</v>
      </c>
    </row>
    <row r="1313" spans="1:12" x14ac:dyDescent="0.2">
      <c r="A1313" s="2">
        <v>101335</v>
      </c>
      <c r="B1313" s="17">
        <v>45497</v>
      </c>
      <c r="C1313" s="2" t="s">
        <v>134</v>
      </c>
      <c r="D1313" s="2" t="s">
        <v>95</v>
      </c>
      <c r="E1313" s="2" t="s">
        <v>21</v>
      </c>
      <c r="F1313" s="2" t="s">
        <v>39</v>
      </c>
      <c r="G1313" s="2" t="s">
        <v>242</v>
      </c>
      <c r="H1313" s="2">
        <v>4</v>
      </c>
      <c r="I1313" s="2">
        <v>294.31</v>
      </c>
      <c r="J1313" s="2">
        <v>5</v>
      </c>
      <c r="K1313" s="2" t="s">
        <v>29</v>
      </c>
      <c r="L1313" s="2" t="s">
        <v>42</v>
      </c>
    </row>
    <row r="1314" spans="1:12" x14ac:dyDescent="0.2">
      <c r="A1314" s="2">
        <v>101559</v>
      </c>
      <c r="B1314" s="17">
        <v>45412</v>
      </c>
      <c r="C1314" s="2" t="s">
        <v>911</v>
      </c>
      <c r="D1314" s="2" t="s">
        <v>31</v>
      </c>
      <c r="E1314" s="2" t="s">
        <v>54</v>
      </c>
      <c r="F1314" s="2" t="s">
        <v>50</v>
      </c>
      <c r="G1314" s="2" t="s">
        <v>51</v>
      </c>
      <c r="H1314" s="2">
        <v>5</v>
      </c>
      <c r="I1314" s="2">
        <v>4539.67</v>
      </c>
      <c r="J1314" s="2">
        <v>25</v>
      </c>
      <c r="K1314" s="2" t="s">
        <v>83</v>
      </c>
      <c r="L1314" s="2" t="s">
        <v>35</v>
      </c>
    </row>
    <row r="1315" spans="1:12" x14ac:dyDescent="0.2">
      <c r="A1315" s="2">
        <v>100963</v>
      </c>
      <c r="B1315" s="18">
        <v>45327</v>
      </c>
      <c r="C1315" s="2" t="s">
        <v>63</v>
      </c>
      <c r="D1315" s="2" t="s">
        <v>31</v>
      </c>
      <c r="E1315" s="2" t="s">
        <v>32</v>
      </c>
      <c r="F1315" s="2" t="s">
        <v>80</v>
      </c>
      <c r="G1315" s="2" t="s">
        <v>34</v>
      </c>
      <c r="H1315" s="2">
        <v>6</v>
      </c>
      <c r="I1315" s="2"/>
      <c r="J1315" s="2">
        <v>0.05</v>
      </c>
      <c r="K1315" s="2" t="s">
        <v>24</v>
      </c>
      <c r="L1315" s="2" t="s">
        <v>121</v>
      </c>
    </row>
    <row r="1316" spans="1:12" x14ac:dyDescent="0.2">
      <c r="A1316" s="2">
        <v>101334</v>
      </c>
      <c r="B1316" s="17">
        <v>45320</v>
      </c>
      <c r="C1316" s="2" t="s">
        <v>644</v>
      </c>
      <c r="D1316" s="2" t="s">
        <v>44</v>
      </c>
      <c r="E1316" s="2" t="s">
        <v>54</v>
      </c>
      <c r="F1316" s="2" t="s">
        <v>96</v>
      </c>
      <c r="G1316" s="2" t="s">
        <v>97</v>
      </c>
      <c r="H1316" s="2">
        <v>4</v>
      </c>
      <c r="I1316" s="2">
        <v>26077.54</v>
      </c>
      <c r="J1316" s="2">
        <v>25</v>
      </c>
      <c r="K1316" s="2" t="s">
        <v>66</v>
      </c>
      <c r="L1316" s="2" t="s">
        <v>25</v>
      </c>
    </row>
    <row r="1317" spans="1:12" x14ac:dyDescent="0.2">
      <c r="A1317" s="2">
        <v>101971</v>
      </c>
      <c r="B1317" s="17">
        <v>45646</v>
      </c>
      <c r="C1317" s="2" t="s">
        <v>666</v>
      </c>
      <c r="D1317" s="2" t="s">
        <v>85</v>
      </c>
      <c r="E1317" s="2" t="s">
        <v>14</v>
      </c>
      <c r="F1317" s="2" t="s">
        <v>113</v>
      </c>
      <c r="G1317" s="2" t="s">
        <v>242</v>
      </c>
      <c r="H1317" s="2">
        <v>1</v>
      </c>
      <c r="I1317" s="2">
        <v>861.23</v>
      </c>
      <c r="J1317" s="2">
        <v>0</v>
      </c>
      <c r="K1317" s="2" t="s">
        <v>24</v>
      </c>
      <c r="L1317" s="2" t="s">
        <v>18</v>
      </c>
    </row>
    <row r="1318" spans="1:12" x14ac:dyDescent="0.2">
      <c r="A1318" s="2">
        <v>101687</v>
      </c>
      <c r="B1318" s="2" t="s">
        <v>265</v>
      </c>
      <c r="C1318" s="2" t="s">
        <v>711</v>
      </c>
      <c r="D1318" s="2" t="s">
        <v>140</v>
      </c>
      <c r="E1318" s="2" t="s">
        <v>49</v>
      </c>
      <c r="F1318" s="2" t="s">
        <v>55</v>
      </c>
      <c r="G1318" s="2" t="s">
        <v>56</v>
      </c>
      <c r="H1318" s="2">
        <v>10</v>
      </c>
      <c r="I1318" s="2">
        <v>4288.72</v>
      </c>
      <c r="J1318" s="2">
        <v>0</v>
      </c>
      <c r="K1318" s="2" t="s">
        <v>17</v>
      </c>
      <c r="L1318" s="2" t="s">
        <v>42</v>
      </c>
    </row>
    <row r="1319" spans="1:12" x14ac:dyDescent="0.2">
      <c r="A1319" s="2">
        <v>101635</v>
      </c>
      <c r="B1319" s="17">
        <v>45637</v>
      </c>
      <c r="C1319" s="2" t="s">
        <v>653</v>
      </c>
      <c r="D1319" s="2" t="s">
        <v>131</v>
      </c>
      <c r="E1319" s="2" t="s">
        <v>21</v>
      </c>
      <c r="F1319" s="2" t="s">
        <v>28</v>
      </c>
      <c r="G1319" s="2" t="s">
        <v>152</v>
      </c>
      <c r="H1319" s="2">
        <v>10</v>
      </c>
      <c r="I1319" s="2">
        <v>12151.01</v>
      </c>
      <c r="J1319" s="2">
        <v>0.05</v>
      </c>
      <c r="K1319" s="2" t="s">
        <v>41</v>
      </c>
      <c r="L1319" s="2" t="s">
        <v>87</v>
      </c>
    </row>
    <row r="1320" spans="1:12" x14ac:dyDescent="0.2">
      <c r="A1320" s="2">
        <v>100583</v>
      </c>
      <c r="B1320" s="17">
        <v>45512</v>
      </c>
      <c r="C1320" s="2" t="s">
        <v>601</v>
      </c>
      <c r="D1320" s="2" t="s">
        <v>61</v>
      </c>
      <c r="E1320" s="2" t="s">
        <v>14</v>
      </c>
      <c r="F1320" s="2" t="s">
        <v>50</v>
      </c>
      <c r="G1320" s="2" t="s">
        <v>56</v>
      </c>
      <c r="H1320" s="2">
        <v>2</v>
      </c>
      <c r="I1320" s="2">
        <v>6209.12</v>
      </c>
      <c r="J1320" s="2"/>
      <c r="K1320" s="2" t="s">
        <v>29</v>
      </c>
      <c r="L1320" s="2" t="s">
        <v>35</v>
      </c>
    </row>
    <row r="1321" spans="1:12" x14ac:dyDescent="0.2">
      <c r="A1321" s="2">
        <v>101929</v>
      </c>
      <c r="B1321" s="17">
        <v>45395</v>
      </c>
      <c r="C1321" s="2" t="s">
        <v>506</v>
      </c>
      <c r="D1321" s="2" t="s">
        <v>37</v>
      </c>
      <c r="E1321" s="2" t="s">
        <v>69</v>
      </c>
      <c r="F1321" s="2" t="s">
        <v>28</v>
      </c>
      <c r="G1321" s="2" t="s">
        <v>116</v>
      </c>
      <c r="H1321" s="2">
        <v>9</v>
      </c>
      <c r="I1321" s="2">
        <v>13794.39</v>
      </c>
      <c r="J1321" s="2">
        <v>0</v>
      </c>
      <c r="K1321" s="2" t="s">
        <v>41</v>
      </c>
      <c r="L1321" s="2" t="s">
        <v>35</v>
      </c>
    </row>
    <row r="1322" spans="1:12" x14ac:dyDescent="0.2">
      <c r="A1322" s="2">
        <v>101449</v>
      </c>
      <c r="B1322" s="18">
        <v>45525</v>
      </c>
      <c r="C1322" s="2" t="s">
        <v>628</v>
      </c>
      <c r="D1322" s="2" t="s">
        <v>95</v>
      </c>
      <c r="E1322" s="2" t="s">
        <v>21</v>
      </c>
      <c r="F1322" s="2" t="s">
        <v>191</v>
      </c>
      <c r="G1322" s="2" t="s">
        <v>205</v>
      </c>
      <c r="H1322" s="2">
        <v>8</v>
      </c>
      <c r="I1322" s="2">
        <v>20593.8</v>
      </c>
      <c r="J1322" s="2">
        <v>0</v>
      </c>
      <c r="K1322" s="2" t="s">
        <v>41</v>
      </c>
      <c r="L1322" s="2" t="s">
        <v>121</v>
      </c>
    </row>
    <row r="1323" spans="1:12" x14ac:dyDescent="0.2">
      <c r="A1323" s="2">
        <v>100840</v>
      </c>
      <c r="B1323" s="17">
        <v>45644</v>
      </c>
      <c r="C1323" s="2" t="s">
        <v>241</v>
      </c>
      <c r="D1323" s="2" t="s">
        <v>61</v>
      </c>
      <c r="E1323" s="2" t="s">
        <v>14</v>
      </c>
      <c r="F1323" s="2" t="s">
        <v>22</v>
      </c>
      <c r="G1323" s="2" t="s">
        <v>141</v>
      </c>
      <c r="H1323" s="2">
        <v>5</v>
      </c>
      <c r="I1323" s="2">
        <v>1187.72</v>
      </c>
      <c r="J1323" s="2">
        <v>0.05</v>
      </c>
      <c r="K1323" s="2" t="s">
        <v>66</v>
      </c>
      <c r="L1323" s="2" t="s">
        <v>87</v>
      </c>
    </row>
    <row r="1324" spans="1:12" x14ac:dyDescent="0.2">
      <c r="A1324" s="2">
        <v>100628</v>
      </c>
      <c r="B1324" s="2" t="s">
        <v>912</v>
      </c>
      <c r="C1324" s="2" t="s">
        <v>913</v>
      </c>
      <c r="D1324" s="2" t="s">
        <v>85</v>
      </c>
      <c r="E1324" s="2" t="s">
        <v>119</v>
      </c>
      <c r="F1324" s="2" t="s">
        <v>15</v>
      </c>
      <c r="G1324" s="2" t="s">
        <v>116</v>
      </c>
      <c r="H1324" s="2">
        <v>2</v>
      </c>
      <c r="I1324" s="2">
        <v>23849.18</v>
      </c>
      <c r="J1324" s="2"/>
      <c r="K1324" s="2" t="s">
        <v>17</v>
      </c>
      <c r="L1324" s="2" t="s">
        <v>18</v>
      </c>
    </row>
    <row r="1325" spans="1:12" x14ac:dyDescent="0.2">
      <c r="A1325" s="2">
        <v>100324</v>
      </c>
      <c r="B1325" s="17">
        <v>45432</v>
      </c>
      <c r="C1325" s="2" t="s">
        <v>290</v>
      </c>
      <c r="D1325" s="2" t="s">
        <v>31</v>
      </c>
      <c r="E1325" s="2" t="s">
        <v>32</v>
      </c>
      <c r="F1325" s="2" t="s">
        <v>106</v>
      </c>
      <c r="G1325" s="2" t="s">
        <v>135</v>
      </c>
      <c r="H1325" s="2">
        <v>12</v>
      </c>
      <c r="I1325" s="2">
        <v>1817.14</v>
      </c>
      <c r="J1325" s="2">
        <v>5</v>
      </c>
      <c r="K1325" s="2" t="s">
        <v>66</v>
      </c>
      <c r="L1325" s="2" t="s">
        <v>18</v>
      </c>
    </row>
    <row r="1326" spans="1:12" x14ac:dyDescent="0.2">
      <c r="A1326" s="2">
        <v>101661</v>
      </c>
      <c r="B1326" s="18">
        <v>45525</v>
      </c>
      <c r="C1326" s="2" t="s">
        <v>914</v>
      </c>
      <c r="D1326" s="2" t="s">
        <v>95</v>
      </c>
      <c r="E1326" s="2" t="s">
        <v>133</v>
      </c>
      <c r="F1326" s="2" t="s">
        <v>70</v>
      </c>
      <c r="G1326" s="2" t="s">
        <v>97</v>
      </c>
      <c r="H1326" s="2">
        <v>6</v>
      </c>
      <c r="I1326" s="2">
        <v>41099.24</v>
      </c>
      <c r="J1326" s="2">
        <v>0.15</v>
      </c>
      <c r="K1326" s="2" t="s">
        <v>29</v>
      </c>
      <c r="L1326" s="2" t="s">
        <v>87</v>
      </c>
    </row>
    <row r="1327" spans="1:12" x14ac:dyDescent="0.2">
      <c r="A1327" s="2">
        <v>101161</v>
      </c>
      <c r="B1327" s="2" t="s">
        <v>915</v>
      </c>
      <c r="C1327" s="2" t="s">
        <v>877</v>
      </c>
      <c r="D1327" s="2" t="s">
        <v>85</v>
      </c>
      <c r="E1327" s="2" t="s">
        <v>14</v>
      </c>
      <c r="F1327" s="2" t="s">
        <v>106</v>
      </c>
      <c r="G1327" s="2" t="s">
        <v>156</v>
      </c>
      <c r="H1327" s="2">
        <v>4</v>
      </c>
      <c r="I1327" s="2">
        <v>1992.1</v>
      </c>
      <c r="J1327" s="2">
        <v>15</v>
      </c>
      <c r="K1327" s="2" t="s">
        <v>41</v>
      </c>
      <c r="L1327" s="2" t="s">
        <v>25</v>
      </c>
    </row>
    <row r="1328" spans="1:12" x14ac:dyDescent="0.2">
      <c r="A1328" s="2">
        <v>100779</v>
      </c>
      <c r="B1328" s="18">
        <v>45488</v>
      </c>
      <c r="C1328" s="2" t="s">
        <v>794</v>
      </c>
      <c r="D1328" s="2" t="s">
        <v>89</v>
      </c>
      <c r="E1328" s="2" t="s">
        <v>54</v>
      </c>
      <c r="F1328" s="2" t="s">
        <v>28</v>
      </c>
      <c r="G1328" s="2" t="s">
        <v>205</v>
      </c>
      <c r="H1328" s="2">
        <v>2</v>
      </c>
      <c r="I1328" s="2">
        <v>2603.0100000000002</v>
      </c>
      <c r="J1328" s="2">
        <v>0.25</v>
      </c>
      <c r="K1328" s="2" t="s">
        <v>24</v>
      </c>
      <c r="L1328" s="2" t="s">
        <v>121</v>
      </c>
    </row>
    <row r="1329" spans="1:12" x14ac:dyDescent="0.2">
      <c r="A1329" s="2">
        <v>101077</v>
      </c>
      <c r="B1329" s="2" t="s">
        <v>825</v>
      </c>
      <c r="C1329" s="2" t="s">
        <v>916</v>
      </c>
      <c r="D1329" s="2" t="s">
        <v>27</v>
      </c>
      <c r="E1329" s="2" t="s">
        <v>21</v>
      </c>
      <c r="F1329" s="2" t="s">
        <v>28</v>
      </c>
      <c r="G1329" s="2" t="s">
        <v>205</v>
      </c>
      <c r="H1329" s="2">
        <v>9</v>
      </c>
      <c r="I1329" s="2">
        <v>20647.41</v>
      </c>
      <c r="J1329" s="2">
        <v>0</v>
      </c>
      <c r="K1329" s="2" t="s">
        <v>41</v>
      </c>
      <c r="L1329" s="2" t="s">
        <v>52</v>
      </c>
    </row>
    <row r="1330" spans="1:12" x14ac:dyDescent="0.2">
      <c r="A1330" s="2">
        <v>100940</v>
      </c>
      <c r="B1330" s="18">
        <v>45519</v>
      </c>
      <c r="C1330" s="2" t="s">
        <v>317</v>
      </c>
      <c r="D1330" s="2" t="s">
        <v>58</v>
      </c>
      <c r="E1330" s="2" t="s">
        <v>38</v>
      </c>
      <c r="F1330" s="2" t="s">
        <v>120</v>
      </c>
      <c r="G1330" s="2" t="s">
        <v>145</v>
      </c>
      <c r="H1330" s="2">
        <v>6</v>
      </c>
      <c r="I1330" s="2">
        <v>2238.85</v>
      </c>
      <c r="J1330" s="2"/>
      <c r="K1330" s="2" t="s">
        <v>24</v>
      </c>
      <c r="L1330" s="2" t="s">
        <v>52</v>
      </c>
    </row>
    <row r="1331" spans="1:12" x14ac:dyDescent="0.2">
      <c r="A1331" s="2">
        <v>100438</v>
      </c>
      <c r="B1331" s="17">
        <v>45342</v>
      </c>
      <c r="C1331" s="2" t="s">
        <v>579</v>
      </c>
      <c r="D1331" s="2" t="s">
        <v>20</v>
      </c>
      <c r="E1331" s="2" t="s">
        <v>21</v>
      </c>
      <c r="F1331" s="2" t="s">
        <v>155</v>
      </c>
      <c r="G1331" s="2" t="s">
        <v>137</v>
      </c>
      <c r="H1331" s="2">
        <v>2</v>
      </c>
      <c r="I1331" s="2">
        <v>4048.78</v>
      </c>
      <c r="J1331" s="2">
        <v>5</v>
      </c>
      <c r="K1331" s="2" t="s">
        <v>17</v>
      </c>
      <c r="L1331" s="2" t="s">
        <v>121</v>
      </c>
    </row>
    <row r="1332" spans="1:12" x14ac:dyDescent="0.2">
      <c r="A1332" s="2">
        <v>100120</v>
      </c>
      <c r="B1332" s="17">
        <v>45655</v>
      </c>
      <c r="C1332" s="2" t="s">
        <v>917</v>
      </c>
      <c r="D1332" s="2" t="s">
        <v>58</v>
      </c>
      <c r="E1332" s="2" t="s">
        <v>38</v>
      </c>
      <c r="F1332" s="2" t="s">
        <v>96</v>
      </c>
      <c r="G1332" s="2" t="s">
        <v>153</v>
      </c>
      <c r="H1332" s="2">
        <v>8</v>
      </c>
      <c r="I1332" s="2">
        <v>15067.23</v>
      </c>
      <c r="J1332" s="2">
        <v>0.25</v>
      </c>
      <c r="K1332" s="2" t="s">
        <v>17</v>
      </c>
      <c r="L1332" s="2" t="s">
        <v>42</v>
      </c>
    </row>
    <row r="1333" spans="1:12" x14ac:dyDescent="0.2">
      <c r="A1333" s="2">
        <v>101853</v>
      </c>
      <c r="B1333" s="17">
        <v>45495</v>
      </c>
      <c r="C1333" s="2" t="s">
        <v>918</v>
      </c>
      <c r="D1333" s="2" t="s">
        <v>61</v>
      </c>
      <c r="E1333" s="2" t="s">
        <v>14</v>
      </c>
      <c r="F1333" s="2" t="s">
        <v>191</v>
      </c>
      <c r="G1333" s="2" t="s">
        <v>152</v>
      </c>
      <c r="H1333" s="2">
        <v>5</v>
      </c>
      <c r="I1333" s="2">
        <v>9401.66</v>
      </c>
      <c r="J1333" s="2">
        <v>0</v>
      </c>
      <c r="K1333" s="2" t="s">
        <v>29</v>
      </c>
      <c r="L1333" s="2" t="s">
        <v>52</v>
      </c>
    </row>
    <row r="1334" spans="1:12" x14ac:dyDescent="0.2">
      <c r="A1334" s="2">
        <v>101601</v>
      </c>
      <c r="B1334" s="18">
        <v>45423</v>
      </c>
      <c r="C1334" s="2" t="s">
        <v>508</v>
      </c>
      <c r="D1334" s="2" t="s">
        <v>37</v>
      </c>
      <c r="E1334" s="2" t="s">
        <v>69</v>
      </c>
      <c r="F1334" s="2" t="s">
        <v>102</v>
      </c>
      <c r="G1334" s="2" t="s">
        <v>156</v>
      </c>
      <c r="H1334" s="2">
        <v>4</v>
      </c>
      <c r="I1334" s="2">
        <v>1489.39</v>
      </c>
      <c r="J1334" s="2">
        <v>25</v>
      </c>
      <c r="K1334" s="2" t="s">
        <v>29</v>
      </c>
      <c r="L1334" s="2" t="s">
        <v>52</v>
      </c>
    </row>
    <row r="1335" spans="1:12" x14ac:dyDescent="0.2">
      <c r="A1335" s="2">
        <v>101027</v>
      </c>
      <c r="B1335" s="17">
        <v>45294</v>
      </c>
      <c r="C1335" s="2" t="s">
        <v>919</v>
      </c>
      <c r="D1335" s="2" t="s">
        <v>73</v>
      </c>
      <c r="E1335" s="2" t="s">
        <v>49</v>
      </c>
      <c r="F1335" s="2" t="s">
        <v>223</v>
      </c>
      <c r="G1335" s="2" t="s">
        <v>207</v>
      </c>
      <c r="H1335" s="2">
        <v>6</v>
      </c>
      <c r="I1335" s="2">
        <v>2694.78</v>
      </c>
      <c r="J1335" s="2">
        <v>0</v>
      </c>
      <c r="K1335" s="2" t="s">
        <v>24</v>
      </c>
      <c r="L1335" s="2" t="s">
        <v>52</v>
      </c>
    </row>
    <row r="1336" spans="1:12" x14ac:dyDescent="0.2">
      <c r="A1336" s="2">
        <v>101254</v>
      </c>
      <c r="B1336" s="18">
        <v>45575</v>
      </c>
      <c r="C1336" s="2" t="s">
        <v>264</v>
      </c>
      <c r="D1336" s="2" t="s">
        <v>160</v>
      </c>
      <c r="E1336" s="2" t="s">
        <v>79</v>
      </c>
      <c r="F1336" s="2" t="s">
        <v>28</v>
      </c>
      <c r="G1336" s="2" t="s">
        <v>205</v>
      </c>
      <c r="H1336" s="2">
        <v>9</v>
      </c>
      <c r="I1336" s="2"/>
      <c r="J1336" s="2">
        <v>10</v>
      </c>
      <c r="K1336" s="2" t="s">
        <v>83</v>
      </c>
      <c r="L1336" s="2" t="s">
        <v>143</v>
      </c>
    </row>
    <row r="1337" spans="1:12" x14ac:dyDescent="0.2">
      <c r="A1337" s="2">
        <v>101533</v>
      </c>
      <c r="B1337" s="18">
        <v>45477</v>
      </c>
      <c r="C1337" s="2" t="s">
        <v>840</v>
      </c>
      <c r="D1337" s="2" t="s">
        <v>61</v>
      </c>
      <c r="E1337" s="2" t="s">
        <v>119</v>
      </c>
      <c r="F1337" s="2" t="s">
        <v>70</v>
      </c>
      <c r="G1337" s="2" t="s">
        <v>46</v>
      </c>
      <c r="H1337" s="2">
        <v>8</v>
      </c>
      <c r="I1337" s="2">
        <v>38975.919999999998</v>
      </c>
      <c r="J1337" s="2">
        <v>0.2</v>
      </c>
      <c r="K1337" s="2" t="s">
        <v>83</v>
      </c>
      <c r="L1337" s="2" t="s">
        <v>121</v>
      </c>
    </row>
    <row r="1338" spans="1:12" x14ac:dyDescent="0.2">
      <c r="A1338" s="2">
        <v>100077</v>
      </c>
      <c r="B1338" s="18">
        <v>45622</v>
      </c>
      <c r="C1338" s="2" t="s">
        <v>253</v>
      </c>
      <c r="D1338" s="2" t="s">
        <v>37</v>
      </c>
      <c r="E1338" s="2" t="s">
        <v>38</v>
      </c>
      <c r="F1338" s="2" t="s">
        <v>80</v>
      </c>
      <c r="G1338" s="2" t="s">
        <v>81</v>
      </c>
      <c r="H1338" s="2">
        <v>1</v>
      </c>
      <c r="I1338" s="2">
        <v>322.45999999999998</v>
      </c>
      <c r="J1338" s="2"/>
      <c r="K1338" s="2" t="s">
        <v>17</v>
      </c>
      <c r="L1338" s="2" t="s">
        <v>35</v>
      </c>
    </row>
    <row r="1339" spans="1:12" x14ac:dyDescent="0.2">
      <c r="A1339" s="2">
        <v>101054</v>
      </c>
      <c r="B1339" s="17">
        <v>45334</v>
      </c>
      <c r="C1339" s="2" t="s">
        <v>920</v>
      </c>
      <c r="D1339" s="2" t="s">
        <v>175</v>
      </c>
      <c r="E1339" s="2" t="s">
        <v>38</v>
      </c>
      <c r="F1339" s="2" t="s">
        <v>120</v>
      </c>
      <c r="G1339" s="2" t="s">
        <v>145</v>
      </c>
      <c r="H1339" s="2">
        <v>1</v>
      </c>
      <c r="I1339" s="2">
        <v>2197.6799999999998</v>
      </c>
      <c r="J1339" s="2">
        <v>0.1</v>
      </c>
      <c r="K1339" s="2" t="s">
        <v>24</v>
      </c>
      <c r="L1339" s="2" t="s">
        <v>143</v>
      </c>
    </row>
    <row r="1340" spans="1:12" x14ac:dyDescent="0.2">
      <c r="A1340" s="2">
        <v>100901</v>
      </c>
      <c r="B1340" s="17">
        <v>45573</v>
      </c>
      <c r="C1340" s="2" t="s">
        <v>605</v>
      </c>
      <c r="D1340" s="2" t="s">
        <v>181</v>
      </c>
      <c r="E1340" s="2" t="s">
        <v>119</v>
      </c>
      <c r="F1340" s="2" t="s">
        <v>155</v>
      </c>
      <c r="G1340" s="2" t="s">
        <v>103</v>
      </c>
      <c r="H1340" s="2">
        <v>8</v>
      </c>
      <c r="I1340" s="2">
        <v>2688.49</v>
      </c>
      <c r="J1340" s="2">
        <v>0</v>
      </c>
      <c r="K1340" s="2" t="s">
        <v>24</v>
      </c>
      <c r="L1340" s="2" t="s">
        <v>87</v>
      </c>
    </row>
    <row r="1341" spans="1:12" x14ac:dyDescent="0.2">
      <c r="A1341" s="2">
        <v>100372</v>
      </c>
      <c r="B1341" s="17">
        <v>45323</v>
      </c>
      <c r="C1341" s="2" t="s">
        <v>494</v>
      </c>
      <c r="D1341" s="2" t="s">
        <v>175</v>
      </c>
      <c r="E1341" s="2" t="s">
        <v>38</v>
      </c>
      <c r="F1341" s="2" t="s">
        <v>55</v>
      </c>
      <c r="G1341" s="2" t="s">
        <v>207</v>
      </c>
      <c r="H1341" s="2">
        <v>1</v>
      </c>
      <c r="I1341" s="2">
        <v>7841.37</v>
      </c>
      <c r="J1341" s="2">
        <v>0</v>
      </c>
      <c r="K1341" s="2" t="s">
        <v>41</v>
      </c>
      <c r="L1341" s="2" t="s">
        <v>143</v>
      </c>
    </row>
    <row r="1342" spans="1:12" x14ac:dyDescent="0.2">
      <c r="A1342" s="2">
        <v>101883</v>
      </c>
      <c r="B1342" s="2" t="s">
        <v>921</v>
      </c>
      <c r="C1342" s="2" t="s">
        <v>421</v>
      </c>
      <c r="D1342" s="2" t="s">
        <v>61</v>
      </c>
      <c r="E1342" s="2" t="s">
        <v>14</v>
      </c>
      <c r="F1342" s="2" t="s">
        <v>106</v>
      </c>
      <c r="G1342" s="2" t="s">
        <v>137</v>
      </c>
      <c r="H1342" s="2">
        <v>4</v>
      </c>
      <c r="I1342" s="2">
        <v>2131.9899999999998</v>
      </c>
      <c r="J1342" s="2">
        <v>0</v>
      </c>
      <c r="K1342" s="2" t="s">
        <v>41</v>
      </c>
      <c r="L1342" s="2" t="s">
        <v>25</v>
      </c>
    </row>
    <row r="1343" spans="1:12" x14ac:dyDescent="0.2">
      <c r="A1343" s="2">
        <v>101456</v>
      </c>
      <c r="B1343" s="18">
        <v>45370</v>
      </c>
      <c r="C1343" s="2" t="s">
        <v>691</v>
      </c>
      <c r="D1343" s="2" t="s">
        <v>109</v>
      </c>
      <c r="E1343" s="2" t="s">
        <v>21</v>
      </c>
      <c r="F1343" s="2" t="s">
        <v>33</v>
      </c>
      <c r="G1343" s="2" t="s">
        <v>158</v>
      </c>
      <c r="H1343" s="2">
        <v>1</v>
      </c>
      <c r="I1343" s="2">
        <v>343.93</v>
      </c>
      <c r="J1343" s="2">
        <v>10</v>
      </c>
      <c r="K1343" s="2" t="s">
        <v>66</v>
      </c>
      <c r="L1343" s="2" t="s">
        <v>42</v>
      </c>
    </row>
    <row r="1344" spans="1:12" x14ac:dyDescent="0.2">
      <c r="A1344" s="2">
        <v>101998</v>
      </c>
      <c r="B1344" s="17">
        <v>45421</v>
      </c>
      <c r="C1344" s="2" t="s">
        <v>381</v>
      </c>
      <c r="D1344" s="2" t="s">
        <v>160</v>
      </c>
      <c r="E1344" s="2" t="s">
        <v>79</v>
      </c>
      <c r="F1344" s="2" t="s">
        <v>64</v>
      </c>
      <c r="G1344" s="2" t="s">
        <v>242</v>
      </c>
      <c r="H1344" s="2">
        <v>7</v>
      </c>
      <c r="I1344" s="2">
        <v>444.49</v>
      </c>
      <c r="J1344" s="2">
        <v>0</v>
      </c>
      <c r="K1344" s="2" t="s">
        <v>17</v>
      </c>
      <c r="L1344" s="2" t="s">
        <v>42</v>
      </c>
    </row>
    <row r="1345" spans="1:12" x14ac:dyDescent="0.2">
      <c r="A1345" s="2">
        <v>100942</v>
      </c>
      <c r="B1345" s="18">
        <v>45441</v>
      </c>
      <c r="C1345" s="2" t="s">
        <v>757</v>
      </c>
      <c r="D1345" s="2" t="s">
        <v>13</v>
      </c>
      <c r="E1345" s="2" t="s">
        <v>14</v>
      </c>
      <c r="F1345" s="2" t="s">
        <v>70</v>
      </c>
      <c r="G1345" s="2" t="s">
        <v>71</v>
      </c>
      <c r="H1345" s="2">
        <v>11</v>
      </c>
      <c r="I1345" s="2">
        <v>12050.14</v>
      </c>
      <c r="J1345" s="2">
        <v>0</v>
      </c>
      <c r="K1345" s="2" t="s">
        <v>66</v>
      </c>
      <c r="L1345" s="2" t="s">
        <v>121</v>
      </c>
    </row>
    <row r="1346" spans="1:12" x14ac:dyDescent="0.2">
      <c r="A1346" s="2">
        <v>100578</v>
      </c>
      <c r="B1346" s="2" t="s">
        <v>750</v>
      </c>
      <c r="C1346" s="2" t="s">
        <v>794</v>
      </c>
      <c r="D1346" s="2" t="s">
        <v>85</v>
      </c>
      <c r="E1346" s="2" t="s">
        <v>119</v>
      </c>
      <c r="F1346" s="2" t="s">
        <v>191</v>
      </c>
      <c r="G1346" s="2" t="s">
        <v>16</v>
      </c>
      <c r="H1346" s="2">
        <v>3</v>
      </c>
      <c r="I1346" s="2">
        <v>10342.66</v>
      </c>
      <c r="J1346" s="2">
        <v>0.25</v>
      </c>
      <c r="K1346" s="2" t="s">
        <v>29</v>
      </c>
      <c r="L1346" s="2" t="s">
        <v>42</v>
      </c>
    </row>
    <row r="1347" spans="1:12" x14ac:dyDescent="0.2">
      <c r="A1347" s="2">
        <v>100820</v>
      </c>
      <c r="B1347" s="18">
        <v>45314</v>
      </c>
      <c r="C1347" s="2" t="s">
        <v>922</v>
      </c>
      <c r="D1347" s="2" t="s">
        <v>131</v>
      </c>
      <c r="E1347" s="2" t="s">
        <v>133</v>
      </c>
      <c r="F1347" s="2" t="s">
        <v>80</v>
      </c>
      <c r="G1347" s="2" t="s">
        <v>158</v>
      </c>
      <c r="H1347" s="2">
        <v>3</v>
      </c>
      <c r="I1347" s="2">
        <v>371.94</v>
      </c>
      <c r="J1347" s="2"/>
      <c r="K1347" s="2" t="s">
        <v>41</v>
      </c>
      <c r="L1347" s="2" t="s">
        <v>25</v>
      </c>
    </row>
    <row r="1348" spans="1:12" x14ac:dyDescent="0.2">
      <c r="A1348" s="2">
        <v>101908</v>
      </c>
      <c r="B1348" s="2" t="s">
        <v>923</v>
      </c>
      <c r="C1348" s="2" t="s">
        <v>201</v>
      </c>
      <c r="D1348" s="2" t="s">
        <v>85</v>
      </c>
      <c r="E1348" s="2" t="s">
        <v>14</v>
      </c>
      <c r="F1348" s="2" t="s">
        <v>102</v>
      </c>
      <c r="G1348" s="2" t="s">
        <v>156</v>
      </c>
      <c r="H1348" s="2">
        <v>2</v>
      </c>
      <c r="I1348" s="2">
        <v>752.44</v>
      </c>
      <c r="J1348" s="2">
        <v>0</v>
      </c>
      <c r="K1348" s="2" t="s">
        <v>83</v>
      </c>
      <c r="L1348" s="2" t="s">
        <v>52</v>
      </c>
    </row>
    <row r="1349" spans="1:12" x14ac:dyDescent="0.2">
      <c r="A1349" s="2">
        <v>101505</v>
      </c>
      <c r="B1349" s="17">
        <v>45415</v>
      </c>
      <c r="C1349" s="2" t="s">
        <v>501</v>
      </c>
      <c r="D1349" s="2" t="s">
        <v>95</v>
      </c>
      <c r="E1349" s="2" t="s">
        <v>133</v>
      </c>
      <c r="F1349" s="2" t="s">
        <v>33</v>
      </c>
      <c r="G1349" s="2" t="s">
        <v>34</v>
      </c>
      <c r="H1349" s="2">
        <v>8</v>
      </c>
      <c r="I1349" s="2">
        <v>161.72999999999999</v>
      </c>
      <c r="J1349" s="2">
        <v>0.15</v>
      </c>
      <c r="K1349" s="2" t="s">
        <v>17</v>
      </c>
      <c r="L1349" s="2" t="s">
        <v>52</v>
      </c>
    </row>
    <row r="1350" spans="1:12" x14ac:dyDescent="0.2">
      <c r="A1350" s="2">
        <v>101752</v>
      </c>
      <c r="B1350" s="17">
        <v>45638</v>
      </c>
      <c r="C1350" s="2" t="s">
        <v>742</v>
      </c>
      <c r="D1350" s="2" t="s">
        <v>95</v>
      </c>
      <c r="E1350" s="2" t="s">
        <v>21</v>
      </c>
      <c r="F1350" s="2" t="s">
        <v>155</v>
      </c>
      <c r="G1350" s="2" t="s">
        <v>135</v>
      </c>
      <c r="H1350" s="2">
        <v>7</v>
      </c>
      <c r="I1350" s="2">
        <v>1625.49</v>
      </c>
      <c r="J1350" s="2">
        <v>0</v>
      </c>
      <c r="K1350" s="2" t="s">
        <v>24</v>
      </c>
      <c r="L1350" s="2" t="s">
        <v>143</v>
      </c>
    </row>
    <row r="1351" spans="1:12" x14ac:dyDescent="0.2">
      <c r="A1351" s="2">
        <v>101714</v>
      </c>
      <c r="B1351" s="18">
        <v>45418</v>
      </c>
      <c r="C1351" s="2" t="s">
        <v>757</v>
      </c>
      <c r="D1351" s="2" t="s">
        <v>27</v>
      </c>
      <c r="E1351" s="2" t="s">
        <v>21</v>
      </c>
      <c r="F1351" s="2" t="s">
        <v>106</v>
      </c>
      <c r="G1351" s="2" t="s">
        <v>137</v>
      </c>
      <c r="H1351" s="2">
        <v>7</v>
      </c>
      <c r="I1351" s="2">
        <v>2080.17</v>
      </c>
      <c r="J1351" s="2">
        <v>0.05</v>
      </c>
      <c r="K1351" s="2" t="s">
        <v>17</v>
      </c>
      <c r="L1351" s="2" t="s">
        <v>121</v>
      </c>
    </row>
    <row r="1352" spans="1:12" x14ac:dyDescent="0.2">
      <c r="A1352" s="2">
        <v>100887</v>
      </c>
      <c r="B1352" s="17">
        <v>45489</v>
      </c>
      <c r="C1352" s="2"/>
      <c r="D1352" s="2" t="s">
        <v>58</v>
      </c>
      <c r="E1352" s="2" t="s">
        <v>69</v>
      </c>
      <c r="F1352" s="2" t="s">
        <v>74</v>
      </c>
      <c r="G1352" s="2" t="s">
        <v>232</v>
      </c>
      <c r="H1352" s="2">
        <v>5</v>
      </c>
      <c r="I1352" s="2"/>
      <c r="J1352" s="2">
        <v>0</v>
      </c>
      <c r="K1352" s="2" t="s">
        <v>83</v>
      </c>
      <c r="L1352" s="2" t="s">
        <v>42</v>
      </c>
    </row>
    <row r="1353" spans="1:12" x14ac:dyDescent="0.2">
      <c r="A1353" s="2">
        <v>100969</v>
      </c>
      <c r="B1353" s="18">
        <v>45509</v>
      </c>
      <c r="C1353" s="2" t="s">
        <v>310</v>
      </c>
      <c r="D1353" s="2" t="s">
        <v>37</v>
      </c>
      <c r="E1353" s="2" t="s">
        <v>38</v>
      </c>
      <c r="F1353" s="2" t="s">
        <v>223</v>
      </c>
      <c r="G1353" s="2" t="s">
        <v>51</v>
      </c>
      <c r="H1353" s="2">
        <v>2</v>
      </c>
      <c r="I1353" s="2">
        <v>9209.64</v>
      </c>
      <c r="J1353" s="2">
        <v>0</v>
      </c>
      <c r="K1353" s="2" t="s">
        <v>83</v>
      </c>
      <c r="L1353" s="2" t="s">
        <v>143</v>
      </c>
    </row>
    <row r="1354" spans="1:12" x14ac:dyDescent="0.2">
      <c r="A1354" s="2">
        <v>101823</v>
      </c>
      <c r="B1354" s="18">
        <v>45535</v>
      </c>
      <c r="C1354" s="2" t="s">
        <v>835</v>
      </c>
      <c r="D1354" s="2" t="s">
        <v>131</v>
      </c>
      <c r="E1354" s="2" t="s">
        <v>21</v>
      </c>
      <c r="F1354" s="2" t="s">
        <v>120</v>
      </c>
      <c r="G1354" s="2" t="s">
        <v>145</v>
      </c>
      <c r="H1354" s="2">
        <v>8</v>
      </c>
      <c r="I1354" s="2">
        <v>570.94000000000005</v>
      </c>
      <c r="J1354" s="2">
        <v>20</v>
      </c>
      <c r="K1354" s="2" t="s">
        <v>17</v>
      </c>
      <c r="L1354" s="2" t="s">
        <v>18</v>
      </c>
    </row>
    <row r="1355" spans="1:12" x14ac:dyDescent="0.2">
      <c r="A1355" s="2">
        <v>100786</v>
      </c>
      <c r="B1355" s="17">
        <v>45336</v>
      </c>
      <c r="C1355" s="2" t="s">
        <v>259</v>
      </c>
      <c r="D1355" s="2" t="s">
        <v>31</v>
      </c>
      <c r="E1355" s="2" t="s">
        <v>32</v>
      </c>
      <c r="F1355" s="2" t="s">
        <v>55</v>
      </c>
      <c r="G1355" s="2" t="s">
        <v>62</v>
      </c>
      <c r="H1355" s="2">
        <v>10</v>
      </c>
      <c r="I1355" s="2" t="s">
        <v>924</v>
      </c>
      <c r="J1355" s="2">
        <v>0</v>
      </c>
      <c r="K1355" s="2" t="s">
        <v>66</v>
      </c>
      <c r="L1355" s="2" t="s">
        <v>87</v>
      </c>
    </row>
    <row r="1356" spans="1:12" x14ac:dyDescent="0.2">
      <c r="A1356" s="2">
        <v>101643</v>
      </c>
      <c r="B1356" s="18">
        <v>45540</v>
      </c>
      <c r="C1356" s="2" t="s">
        <v>803</v>
      </c>
      <c r="D1356" s="2" t="s">
        <v>92</v>
      </c>
      <c r="E1356" s="2" t="s">
        <v>54</v>
      </c>
      <c r="F1356" s="2" t="s">
        <v>45</v>
      </c>
      <c r="G1356" s="2" t="s">
        <v>71</v>
      </c>
      <c r="H1356" s="2">
        <v>5</v>
      </c>
      <c r="I1356" s="2">
        <v>43340.06</v>
      </c>
      <c r="J1356" s="2">
        <v>0</v>
      </c>
      <c r="K1356" s="2" t="s">
        <v>41</v>
      </c>
      <c r="L1356" s="2" t="s">
        <v>18</v>
      </c>
    </row>
    <row r="1357" spans="1:12" x14ac:dyDescent="0.2">
      <c r="A1357" s="2">
        <v>101700</v>
      </c>
      <c r="B1357" s="18">
        <v>45458</v>
      </c>
      <c r="C1357" s="2"/>
      <c r="D1357" s="2" t="s">
        <v>58</v>
      </c>
      <c r="E1357" s="2" t="s">
        <v>38</v>
      </c>
      <c r="F1357" s="2" t="s">
        <v>22</v>
      </c>
      <c r="G1357" s="2" t="s">
        <v>23</v>
      </c>
      <c r="H1357" s="2">
        <v>3</v>
      </c>
      <c r="I1357" s="2">
        <v>2848.29</v>
      </c>
      <c r="J1357" s="2">
        <v>0.2</v>
      </c>
      <c r="K1357" s="2" t="s">
        <v>83</v>
      </c>
      <c r="L1357" s="2" t="s">
        <v>42</v>
      </c>
    </row>
    <row r="1358" spans="1:12" x14ac:dyDescent="0.2">
      <c r="A1358" s="2">
        <v>101627</v>
      </c>
      <c r="B1358" s="17">
        <v>45644</v>
      </c>
      <c r="C1358" s="2" t="s">
        <v>806</v>
      </c>
      <c r="D1358" s="2" t="s">
        <v>89</v>
      </c>
      <c r="E1358" s="2" t="s">
        <v>54</v>
      </c>
      <c r="F1358" s="2" t="s">
        <v>22</v>
      </c>
      <c r="G1358" s="2" t="s">
        <v>145</v>
      </c>
      <c r="H1358" s="2">
        <v>3</v>
      </c>
      <c r="I1358" s="2">
        <v>2572.48</v>
      </c>
      <c r="J1358" s="2">
        <v>15</v>
      </c>
      <c r="K1358" s="2" t="s">
        <v>83</v>
      </c>
      <c r="L1358" s="2" t="s">
        <v>87</v>
      </c>
    </row>
    <row r="1359" spans="1:12" x14ac:dyDescent="0.2">
      <c r="A1359" s="2">
        <v>100302</v>
      </c>
      <c r="B1359" s="2" t="s">
        <v>925</v>
      </c>
      <c r="C1359" s="2" t="s">
        <v>420</v>
      </c>
      <c r="D1359" s="2" t="s">
        <v>95</v>
      </c>
      <c r="E1359" s="2" t="s">
        <v>133</v>
      </c>
      <c r="F1359" s="2" t="s">
        <v>39</v>
      </c>
      <c r="G1359" s="2" t="s">
        <v>165</v>
      </c>
      <c r="H1359" s="2">
        <v>-3</v>
      </c>
      <c r="I1359" s="2">
        <v>106.2</v>
      </c>
      <c r="J1359" s="2">
        <v>20</v>
      </c>
      <c r="K1359" s="2" t="s">
        <v>24</v>
      </c>
      <c r="L1359" s="2" t="s">
        <v>143</v>
      </c>
    </row>
    <row r="1360" spans="1:12" x14ac:dyDescent="0.2">
      <c r="A1360" s="2">
        <v>100690</v>
      </c>
      <c r="B1360" s="17">
        <v>45489</v>
      </c>
      <c r="C1360" s="2" t="s">
        <v>337</v>
      </c>
      <c r="D1360" s="2" t="s">
        <v>31</v>
      </c>
      <c r="E1360" s="2" t="s">
        <v>32</v>
      </c>
      <c r="F1360" s="2" t="s">
        <v>191</v>
      </c>
      <c r="G1360" s="2" t="s">
        <v>205</v>
      </c>
      <c r="H1360" s="2"/>
      <c r="I1360" s="2">
        <v>7566.56</v>
      </c>
      <c r="J1360" s="2">
        <v>0.1</v>
      </c>
      <c r="K1360" s="2" t="s">
        <v>29</v>
      </c>
      <c r="L1360" s="2" t="s">
        <v>35</v>
      </c>
    </row>
    <row r="1361" spans="1:12" x14ac:dyDescent="0.2">
      <c r="A1361" s="2">
        <v>100813</v>
      </c>
      <c r="B1361" s="18">
        <v>45326</v>
      </c>
      <c r="C1361" s="2" t="s">
        <v>577</v>
      </c>
      <c r="D1361" s="2" t="s">
        <v>140</v>
      </c>
      <c r="E1361" s="2" t="s">
        <v>79</v>
      </c>
      <c r="F1361" s="2" t="s">
        <v>39</v>
      </c>
      <c r="G1361" s="2" t="s">
        <v>40</v>
      </c>
      <c r="H1361" s="2">
        <v>1</v>
      </c>
      <c r="I1361" s="2">
        <v>616.55999999999995</v>
      </c>
      <c r="J1361" s="2">
        <v>0.05</v>
      </c>
      <c r="K1361" s="2" t="s">
        <v>29</v>
      </c>
      <c r="L1361" s="2" t="s">
        <v>87</v>
      </c>
    </row>
    <row r="1362" spans="1:12" x14ac:dyDescent="0.2">
      <c r="A1362" s="2">
        <v>101062</v>
      </c>
      <c r="B1362" s="18">
        <v>45502</v>
      </c>
      <c r="C1362" s="2"/>
      <c r="D1362" s="2" t="s">
        <v>20</v>
      </c>
      <c r="E1362" s="2" t="s">
        <v>133</v>
      </c>
      <c r="F1362" s="2" t="s">
        <v>155</v>
      </c>
      <c r="G1362" s="2" t="s">
        <v>156</v>
      </c>
      <c r="H1362" s="2">
        <v>5</v>
      </c>
      <c r="I1362" s="2" t="s">
        <v>926</v>
      </c>
      <c r="J1362" s="2">
        <v>0</v>
      </c>
      <c r="K1362" s="2" t="s">
        <v>41</v>
      </c>
      <c r="L1362" s="2" t="s">
        <v>35</v>
      </c>
    </row>
    <row r="1363" spans="1:12" x14ac:dyDescent="0.2">
      <c r="A1363" s="2">
        <v>100237</v>
      </c>
      <c r="B1363" s="17">
        <v>45393</v>
      </c>
      <c r="C1363" s="2" t="s">
        <v>387</v>
      </c>
      <c r="D1363" s="2" t="s">
        <v>37</v>
      </c>
      <c r="E1363" s="2" t="s">
        <v>69</v>
      </c>
      <c r="F1363" s="2" t="s">
        <v>102</v>
      </c>
      <c r="G1363" s="2" t="s">
        <v>137</v>
      </c>
      <c r="H1363" s="2">
        <v>7</v>
      </c>
      <c r="I1363" s="2">
        <v>2692.61</v>
      </c>
      <c r="J1363" s="2">
        <v>0</v>
      </c>
      <c r="K1363" s="2" t="s">
        <v>29</v>
      </c>
      <c r="L1363" s="2" t="s">
        <v>42</v>
      </c>
    </row>
    <row r="1364" spans="1:12" x14ac:dyDescent="0.2">
      <c r="A1364" s="2">
        <v>101116</v>
      </c>
      <c r="B1364" s="17">
        <v>45631</v>
      </c>
      <c r="C1364" s="2" t="s">
        <v>927</v>
      </c>
      <c r="D1364" s="2" t="s">
        <v>140</v>
      </c>
      <c r="E1364" s="2" t="s">
        <v>49</v>
      </c>
      <c r="F1364" s="2" t="s">
        <v>106</v>
      </c>
      <c r="G1364" s="2" t="s">
        <v>156</v>
      </c>
      <c r="H1364" s="2">
        <v>7</v>
      </c>
      <c r="I1364" s="2">
        <v>2424.19</v>
      </c>
      <c r="J1364" s="2">
        <v>5</v>
      </c>
      <c r="K1364" s="2" t="s">
        <v>41</v>
      </c>
      <c r="L1364" s="2" t="s">
        <v>42</v>
      </c>
    </row>
    <row r="1365" spans="1:12" x14ac:dyDescent="0.2">
      <c r="A1365" s="2">
        <v>101369</v>
      </c>
      <c r="B1365" s="18">
        <v>45592</v>
      </c>
      <c r="C1365" s="2" t="s">
        <v>771</v>
      </c>
      <c r="D1365" s="2" t="s">
        <v>20</v>
      </c>
      <c r="E1365" s="2" t="s">
        <v>133</v>
      </c>
      <c r="F1365" s="2" t="s">
        <v>74</v>
      </c>
      <c r="G1365" s="2" t="s">
        <v>23</v>
      </c>
      <c r="H1365" s="2">
        <v>1</v>
      </c>
      <c r="I1365" s="2">
        <v>2440.37</v>
      </c>
      <c r="J1365" s="2">
        <v>0</v>
      </c>
      <c r="K1365" s="2" t="s">
        <v>29</v>
      </c>
      <c r="L1365" s="2" t="s">
        <v>35</v>
      </c>
    </row>
    <row r="1366" spans="1:12" x14ac:dyDescent="0.2">
      <c r="A1366" s="2">
        <v>100500</v>
      </c>
      <c r="B1366" s="18">
        <v>45571</v>
      </c>
      <c r="C1366" s="2" t="s">
        <v>212</v>
      </c>
      <c r="D1366" s="2" t="s">
        <v>95</v>
      </c>
      <c r="E1366" s="2" t="s">
        <v>21</v>
      </c>
      <c r="F1366" s="2" t="s">
        <v>64</v>
      </c>
      <c r="G1366" s="2" t="s">
        <v>292</v>
      </c>
      <c r="H1366" s="2">
        <v>2</v>
      </c>
      <c r="I1366" s="2" t="s">
        <v>928</v>
      </c>
      <c r="J1366" s="2">
        <v>0</v>
      </c>
      <c r="K1366" s="2" t="s">
        <v>66</v>
      </c>
      <c r="L1366" s="2" t="s">
        <v>87</v>
      </c>
    </row>
    <row r="1367" spans="1:12" x14ac:dyDescent="0.2">
      <c r="A1367" s="2">
        <v>101675</v>
      </c>
      <c r="B1367" s="17">
        <v>45631</v>
      </c>
      <c r="C1367" s="2" t="s">
        <v>168</v>
      </c>
      <c r="D1367" s="2" t="s">
        <v>89</v>
      </c>
      <c r="E1367" s="2" t="s">
        <v>32</v>
      </c>
      <c r="F1367" s="2" t="s">
        <v>96</v>
      </c>
      <c r="G1367" s="2" t="s">
        <v>153</v>
      </c>
      <c r="H1367" s="2">
        <v>12</v>
      </c>
      <c r="I1367" s="2">
        <v>26512.11</v>
      </c>
      <c r="J1367" s="2">
        <v>0</v>
      </c>
      <c r="K1367" s="2" t="s">
        <v>41</v>
      </c>
      <c r="L1367" s="2" t="s">
        <v>52</v>
      </c>
    </row>
    <row r="1368" spans="1:12" x14ac:dyDescent="0.2">
      <c r="A1368" s="2">
        <v>101080</v>
      </c>
      <c r="B1368" s="17">
        <v>45318</v>
      </c>
      <c r="C1368" s="2" t="s">
        <v>751</v>
      </c>
      <c r="D1368" s="2" t="s">
        <v>109</v>
      </c>
      <c r="E1368" s="2" t="s">
        <v>21</v>
      </c>
      <c r="F1368" s="2" t="s">
        <v>80</v>
      </c>
      <c r="G1368" s="2" t="s">
        <v>34</v>
      </c>
      <c r="H1368" s="2">
        <v>-2</v>
      </c>
      <c r="I1368" s="2">
        <v>103.95</v>
      </c>
      <c r="J1368" s="2">
        <v>0</v>
      </c>
      <c r="K1368" s="2" t="s">
        <v>41</v>
      </c>
      <c r="L1368" s="2" t="s">
        <v>18</v>
      </c>
    </row>
    <row r="1369" spans="1:12" x14ac:dyDescent="0.2">
      <c r="A1369" s="2">
        <v>101327</v>
      </c>
      <c r="B1369" s="18">
        <v>45321</v>
      </c>
      <c r="C1369" s="2" t="s">
        <v>748</v>
      </c>
      <c r="D1369" s="2" t="s">
        <v>181</v>
      </c>
      <c r="E1369" s="2" t="s">
        <v>119</v>
      </c>
      <c r="F1369" s="2" t="s">
        <v>191</v>
      </c>
      <c r="G1369" s="2" t="s">
        <v>16</v>
      </c>
      <c r="H1369" s="2">
        <v>8</v>
      </c>
      <c r="I1369" s="2">
        <v>12437.3</v>
      </c>
      <c r="J1369" s="2">
        <v>0.15</v>
      </c>
      <c r="K1369" s="2" t="s">
        <v>29</v>
      </c>
      <c r="L1369" s="2" t="s">
        <v>25</v>
      </c>
    </row>
    <row r="1370" spans="1:12" x14ac:dyDescent="0.2">
      <c r="A1370" s="2">
        <v>100795</v>
      </c>
      <c r="B1370" s="17">
        <v>45419</v>
      </c>
      <c r="C1370" s="2" t="s">
        <v>389</v>
      </c>
      <c r="D1370" s="2" t="s">
        <v>92</v>
      </c>
      <c r="E1370" s="2" t="s">
        <v>32</v>
      </c>
      <c r="F1370" s="2" t="s">
        <v>80</v>
      </c>
      <c r="G1370" s="2" t="s">
        <v>81</v>
      </c>
      <c r="H1370" s="2">
        <v>4</v>
      </c>
      <c r="I1370" s="2">
        <v>404.63</v>
      </c>
      <c r="J1370" s="2">
        <v>0</v>
      </c>
      <c r="K1370" s="2" t="s">
        <v>83</v>
      </c>
      <c r="L1370" s="2" t="s">
        <v>52</v>
      </c>
    </row>
    <row r="1371" spans="1:12" x14ac:dyDescent="0.2">
      <c r="A1371" s="2">
        <v>101944</v>
      </c>
      <c r="B1371" s="18">
        <v>45452</v>
      </c>
      <c r="C1371" s="2" t="s">
        <v>402</v>
      </c>
      <c r="D1371" s="2" t="s">
        <v>31</v>
      </c>
      <c r="E1371" s="2" t="s">
        <v>32</v>
      </c>
      <c r="F1371" s="2" t="s">
        <v>70</v>
      </c>
      <c r="G1371" s="2" t="s">
        <v>46</v>
      </c>
      <c r="H1371" s="2">
        <v>6</v>
      </c>
      <c r="I1371" s="2"/>
      <c r="J1371" s="2">
        <v>0</v>
      </c>
      <c r="K1371" s="2" t="s">
        <v>24</v>
      </c>
      <c r="L1371" s="2" t="s">
        <v>52</v>
      </c>
    </row>
    <row r="1372" spans="1:12" x14ac:dyDescent="0.2">
      <c r="A1372" s="2">
        <v>101968</v>
      </c>
      <c r="B1372" s="17">
        <v>45518</v>
      </c>
      <c r="C1372" s="2" t="s">
        <v>298</v>
      </c>
      <c r="D1372" s="2" t="s">
        <v>61</v>
      </c>
      <c r="E1372" s="2" t="s">
        <v>119</v>
      </c>
      <c r="F1372" s="2" t="s">
        <v>55</v>
      </c>
      <c r="G1372" s="2" t="s">
        <v>62</v>
      </c>
      <c r="H1372" s="2">
        <v>9</v>
      </c>
      <c r="I1372" s="2">
        <v>2739.73</v>
      </c>
      <c r="J1372" s="2">
        <v>0</v>
      </c>
      <c r="K1372" s="2" t="s">
        <v>24</v>
      </c>
      <c r="L1372" s="2" t="s">
        <v>18</v>
      </c>
    </row>
    <row r="1373" spans="1:12" x14ac:dyDescent="0.2">
      <c r="A1373" s="2">
        <v>101975</v>
      </c>
      <c r="B1373" s="17">
        <v>45471</v>
      </c>
      <c r="C1373" s="2" t="s">
        <v>351</v>
      </c>
      <c r="D1373" s="2" t="s">
        <v>13</v>
      </c>
      <c r="E1373" s="2" t="s">
        <v>14</v>
      </c>
      <c r="F1373" s="2" t="s">
        <v>55</v>
      </c>
      <c r="G1373" s="2" t="s">
        <v>62</v>
      </c>
      <c r="H1373" s="2">
        <v>5</v>
      </c>
      <c r="I1373" s="2">
        <v>7637.16</v>
      </c>
      <c r="J1373" s="2">
        <v>0.15</v>
      </c>
      <c r="K1373" s="2" t="s">
        <v>83</v>
      </c>
      <c r="L1373" s="2" t="s">
        <v>143</v>
      </c>
    </row>
    <row r="1374" spans="1:12" x14ac:dyDescent="0.2">
      <c r="A1374" s="2">
        <v>100991</v>
      </c>
      <c r="B1374" s="17">
        <v>45632</v>
      </c>
      <c r="C1374" s="2" t="s">
        <v>733</v>
      </c>
      <c r="D1374" s="2" t="s">
        <v>73</v>
      </c>
      <c r="E1374" s="2" t="s">
        <v>79</v>
      </c>
      <c r="F1374" s="2" t="s">
        <v>124</v>
      </c>
      <c r="G1374" s="2" t="s">
        <v>51</v>
      </c>
      <c r="H1374" s="2">
        <v>7</v>
      </c>
      <c r="I1374" s="2">
        <v>8683.5400000000009</v>
      </c>
      <c r="J1374" s="2"/>
      <c r="K1374" s="2" t="s">
        <v>17</v>
      </c>
      <c r="L1374" s="2" t="s">
        <v>143</v>
      </c>
    </row>
    <row r="1375" spans="1:12" x14ac:dyDescent="0.2">
      <c r="A1375" s="2">
        <v>101385</v>
      </c>
      <c r="B1375" s="17">
        <v>45582</v>
      </c>
      <c r="C1375" s="2" t="s">
        <v>180</v>
      </c>
      <c r="D1375" s="2" t="s">
        <v>101</v>
      </c>
      <c r="E1375" s="2" t="s">
        <v>69</v>
      </c>
      <c r="F1375" s="2" t="s">
        <v>113</v>
      </c>
      <c r="G1375" s="2" t="s">
        <v>242</v>
      </c>
      <c r="H1375" s="2">
        <v>11</v>
      </c>
      <c r="I1375" s="2">
        <v>247.51</v>
      </c>
      <c r="J1375" s="2">
        <v>0.15</v>
      </c>
      <c r="K1375" s="2" t="s">
        <v>83</v>
      </c>
      <c r="L1375" s="2" t="s">
        <v>42</v>
      </c>
    </row>
    <row r="1376" spans="1:12" x14ac:dyDescent="0.2">
      <c r="A1376" s="2">
        <v>100935</v>
      </c>
      <c r="B1376" s="18">
        <v>45397</v>
      </c>
      <c r="C1376" s="2" t="s">
        <v>716</v>
      </c>
      <c r="D1376" s="2" t="s">
        <v>13</v>
      </c>
      <c r="E1376" s="2" t="s">
        <v>119</v>
      </c>
      <c r="F1376" s="2" t="s">
        <v>70</v>
      </c>
      <c r="G1376" s="2" t="s">
        <v>71</v>
      </c>
      <c r="H1376" s="2">
        <v>7</v>
      </c>
      <c r="I1376" s="2">
        <v>24728.21</v>
      </c>
      <c r="J1376" s="2">
        <v>0</v>
      </c>
      <c r="K1376" s="2" t="s">
        <v>17</v>
      </c>
      <c r="L1376" s="2" t="s">
        <v>42</v>
      </c>
    </row>
    <row r="1377" spans="1:12" x14ac:dyDescent="0.2">
      <c r="A1377" s="2">
        <v>100388</v>
      </c>
      <c r="B1377" s="17">
        <v>45536</v>
      </c>
      <c r="C1377" s="2" t="s">
        <v>891</v>
      </c>
      <c r="D1377" s="2" t="s">
        <v>95</v>
      </c>
      <c r="E1377" s="2" t="s">
        <v>133</v>
      </c>
      <c r="F1377" s="2" t="s">
        <v>33</v>
      </c>
      <c r="G1377" s="2" t="s">
        <v>93</v>
      </c>
      <c r="H1377" s="2">
        <v>7</v>
      </c>
      <c r="I1377" s="2">
        <v>62.75</v>
      </c>
      <c r="J1377" s="2">
        <v>0</v>
      </c>
      <c r="K1377" s="2" t="s">
        <v>24</v>
      </c>
      <c r="L1377" s="2" t="s">
        <v>35</v>
      </c>
    </row>
    <row r="1378" spans="1:12" x14ac:dyDescent="0.2">
      <c r="A1378" s="2">
        <v>101484</v>
      </c>
      <c r="B1378" s="18">
        <v>45384</v>
      </c>
      <c r="C1378" s="2" t="s">
        <v>291</v>
      </c>
      <c r="D1378" s="2" t="s">
        <v>109</v>
      </c>
      <c r="E1378" s="2" t="s">
        <v>133</v>
      </c>
      <c r="F1378" s="2" t="s">
        <v>45</v>
      </c>
      <c r="G1378" s="2" t="s">
        <v>111</v>
      </c>
      <c r="H1378" s="2">
        <v>6</v>
      </c>
      <c r="I1378" s="2">
        <v>19768.8</v>
      </c>
      <c r="J1378" s="2">
        <v>0</v>
      </c>
      <c r="K1378" s="2" t="s">
        <v>24</v>
      </c>
      <c r="L1378" s="2" t="s">
        <v>18</v>
      </c>
    </row>
    <row r="1379" spans="1:12" x14ac:dyDescent="0.2">
      <c r="A1379" s="2">
        <v>100391</v>
      </c>
      <c r="B1379" s="17">
        <v>45329</v>
      </c>
      <c r="C1379" s="2" t="s">
        <v>929</v>
      </c>
      <c r="D1379" s="2" t="s">
        <v>109</v>
      </c>
      <c r="E1379" s="2" t="s">
        <v>133</v>
      </c>
      <c r="F1379" s="2" t="s">
        <v>50</v>
      </c>
      <c r="G1379" s="2" t="s">
        <v>99</v>
      </c>
      <c r="H1379" s="2">
        <v>6</v>
      </c>
      <c r="I1379" s="2">
        <v>1749.52</v>
      </c>
      <c r="J1379" s="2">
        <v>0.05</v>
      </c>
      <c r="K1379" s="2" t="s">
        <v>24</v>
      </c>
      <c r="L1379" s="2" t="s">
        <v>143</v>
      </c>
    </row>
    <row r="1380" spans="1:12" x14ac:dyDescent="0.2">
      <c r="A1380" s="2">
        <v>100744</v>
      </c>
      <c r="B1380" s="18">
        <v>45367</v>
      </c>
      <c r="C1380" s="2" t="s">
        <v>307</v>
      </c>
      <c r="D1380" s="2" t="s">
        <v>85</v>
      </c>
      <c r="E1380" s="2" t="s">
        <v>119</v>
      </c>
      <c r="F1380" s="2" t="s">
        <v>50</v>
      </c>
      <c r="G1380" s="2" t="s">
        <v>56</v>
      </c>
      <c r="H1380" s="2">
        <v>9</v>
      </c>
      <c r="I1380" s="2">
        <v>11871.27</v>
      </c>
      <c r="J1380" s="2">
        <v>10</v>
      </c>
      <c r="K1380" s="2" t="s">
        <v>66</v>
      </c>
      <c r="L1380" s="2" t="s">
        <v>87</v>
      </c>
    </row>
    <row r="1381" spans="1:12" x14ac:dyDescent="0.2">
      <c r="A1381" s="2">
        <v>100353</v>
      </c>
      <c r="B1381" s="18">
        <v>45568</v>
      </c>
      <c r="C1381" s="2" t="s">
        <v>492</v>
      </c>
      <c r="D1381" s="2" t="s">
        <v>92</v>
      </c>
      <c r="E1381" s="2" t="s">
        <v>54</v>
      </c>
      <c r="F1381" s="2" t="s">
        <v>80</v>
      </c>
      <c r="G1381" s="2" t="s">
        <v>93</v>
      </c>
      <c r="H1381" s="2">
        <v>9</v>
      </c>
      <c r="I1381" s="2">
        <v>471.98</v>
      </c>
      <c r="J1381" s="2">
        <v>0</v>
      </c>
      <c r="K1381" s="2" t="s">
        <v>83</v>
      </c>
      <c r="L1381" s="2" t="s">
        <v>121</v>
      </c>
    </row>
    <row r="1382" spans="1:12" x14ac:dyDescent="0.2">
      <c r="A1382" s="2">
        <v>101218</v>
      </c>
      <c r="B1382" s="17">
        <v>45527</v>
      </c>
      <c r="C1382" s="2" t="s">
        <v>764</v>
      </c>
      <c r="D1382" s="2" t="s">
        <v>175</v>
      </c>
      <c r="E1382" s="2" t="s">
        <v>69</v>
      </c>
      <c r="F1382" s="2" t="s">
        <v>80</v>
      </c>
      <c r="G1382" s="2" t="s">
        <v>158</v>
      </c>
      <c r="H1382" s="2">
        <v>7</v>
      </c>
      <c r="I1382" s="2">
        <v>517.16999999999996</v>
      </c>
      <c r="J1382" s="2">
        <v>5</v>
      </c>
      <c r="K1382" s="2" t="s">
        <v>66</v>
      </c>
      <c r="L1382" s="2" t="s">
        <v>52</v>
      </c>
    </row>
    <row r="1383" spans="1:12" x14ac:dyDescent="0.2">
      <c r="A1383" s="2">
        <v>100236</v>
      </c>
      <c r="B1383" s="18">
        <v>45586</v>
      </c>
      <c r="C1383" s="2" t="s">
        <v>224</v>
      </c>
      <c r="D1383" s="2" t="s">
        <v>31</v>
      </c>
      <c r="E1383" s="2" t="s">
        <v>54</v>
      </c>
      <c r="F1383" s="2" t="s">
        <v>106</v>
      </c>
      <c r="G1383" s="2" t="s">
        <v>135</v>
      </c>
      <c r="H1383" s="2">
        <v>4</v>
      </c>
      <c r="I1383" s="2">
        <v>2659.72</v>
      </c>
      <c r="J1383" s="2">
        <v>0.2</v>
      </c>
      <c r="K1383" s="2" t="s">
        <v>17</v>
      </c>
      <c r="L1383" s="2" t="s">
        <v>121</v>
      </c>
    </row>
    <row r="1384" spans="1:12" x14ac:dyDescent="0.2">
      <c r="A1384" s="2">
        <v>101726</v>
      </c>
      <c r="B1384" s="18">
        <v>45568</v>
      </c>
      <c r="C1384" s="2" t="s">
        <v>429</v>
      </c>
      <c r="D1384" s="2" t="s">
        <v>160</v>
      </c>
      <c r="E1384" s="2" t="s">
        <v>49</v>
      </c>
      <c r="F1384" s="2" t="s">
        <v>45</v>
      </c>
      <c r="G1384" s="2" t="s">
        <v>111</v>
      </c>
      <c r="H1384" s="2">
        <v>8</v>
      </c>
      <c r="I1384" s="2">
        <v>21904.27</v>
      </c>
      <c r="J1384" s="2">
        <v>25</v>
      </c>
      <c r="K1384" s="2" t="s">
        <v>66</v>
      </c>
      <c r="L1384" s="2" t="s">
        <v>25</v>
      </c>
    </row>
    <row r="1385" spans="1:12" x14ac:dyDescent="0.2">
      <c r="A1385" s="2">
        <v>100481</v>
      </c>
      <c r="B1385" s="17">
        <v>45648</v>
      </c>
      <c r="C1385" s="2" t="s">
        <v>341</v>
      </c>
      <c r="D1385" s="2" t="s">
        <v>37</v>
      </c>
      <c r="E1385" s="2" t="s">
        <v>38</v>
      </c>
      <c r="F1385" s="2" t="s">
        <v>64</v>
      </c>
      <c r="G1385" s="2" t="s">
        <v>40</v>
      </c>
      <c r="H1385" s="2">
        <v>7</v>
      </c>
      <c r="I1385" s="2">
        <v>664.77</v>
      </c>
      <c r="J1385" s="2">
        <v>0.25</v>
      </c>
      <c r="K1385" s="2" t="s">
        <v>41</v>
      </c>
      <c r="L1385" s="2" t="s">
        <v>143</v>
      </c>
    </row>
    <row r="1386" spans="1:12" x14ac:dyDescent="0.2">
      <c r="A1386" s="2">
        <v>100568</v>
      </c>
      <c r="B1386" s="18">
        <v>45460</v>
      </c>
      <c r="C1386" s="2" t="s">
        <v>930</v>
      </c>
      <c r="D1386" s="2" t="s">
        <v>58</v>
      </c>
      <c r="E1386" s="2" t="s">
        <v>69</v>
      </c>
      <c r="F1386" s="2" t="s">
        <v>96</v>
      </c>
      <c r="G1386" s="2" t="s">
        <v>46</v>
      </c>
      <c r="H1386" s="2">
        <v>5</v>
      </c>
      <c r="I1386" s="2">
        <v>2286.17</v>
      </c>
      <c r="J1386" s="2">
        <v>0.25</v>
      </c>
      <c r="K1386" s="2" t="s">
        <v>83</v>
      </c>
      <c r="L1386" s="2" t="s">
        <v>18</v>
      </c>
    </row>
    <row r="1387" spans="1:12" x14ac:dyDescent="0.2">
      <c r="A1387" s="2">
        <v>101141</v>
      </c>
      <c r="B1387" s="18">
        <v>45518</v>
      </c>
      <c r="C1387" s="2" t="s">
        <v>362</v>
      </c>
      <c r="D1387" s="2" t="s">
        <v>181</v>
      </c>
      <c r="E1387" s="2" t="s">
        <v>14</v>
      </c>
      <c r="F1387" s="2" t="s">
        <v>22</v>
      </c>
      <c r="G1387" s="2" t="s">
        <v>141</v>
      </c>
      <c r="H1387" s="2">
        <v>7</v>
      </c>
      <c r="I1387" s="2">
        <v>1865.47</v>
      </c>
      <c r="J1387" s="2">
        <v>0</v>
      </c>
      <c r="K1387" s="2" t="s">
        <v>17</v>
      </c>
      <c r="L1387" s="2" t="s">
        <v>18</v>
      </c>
    </row>
    <row r="1388" spans="1:12" x14ac:dyDescent="0.2">
      <c r="A1388" s="2">
        <v>101701</v>
      </c>
      <c r="B1388" s="17">
        <v>45372</v>
      </c>
      <c r="C1388" s="2" t="s">
        <v>546</v>
      </c>
      <c r="D1388" s="2" t="s">
        <v>44</v>
      </c>
      <c r="E1388" s="2" t="s">
        <v>32</v>
      </c>
      <c r="F1388" s="2" t="s">
        <v>113</v>
      </c>
      <c r="G1388" s="2" t="s">
        <v>165</v>
      </c>
      <c r="H1388" s="2">
        <v>10</v>
      </c>
      <c r="I1388" s="2">
        <v>263.33</v>
      </c>
      <c r="J1388" s="2">
        <v>0</v>
      </c>
      <c r="K1388" s="2" t="s">
        <v>24</v>
      </c>
      <c r="L1388" s="2" t="s">
        <v>25</v>
      </c>
    </row>
    <row r="1389" spans="1:12" x14ac:dyDescent="0.2">
      <c r="A1389" s="2">
        <v>101884</v>
      </c>
      <c r="B1389" s="17">
        <v>45634</v>
      </c>
      <c r="C1389" s="2" t="s">
        <v>931</v>
      </c>
      <c r="D1389" s="2" t="s">
        <v>89</v>
      </c>
      <c r="E1389" s="2" t="s">
        <v>54</v>
      </c>
      <c r="F1389" s="2" t="s">
        <v>120</v>
      </c>
      <c r="G1389" s="2" t="s">
        <v>141</v>
      </c>
      <c r="H1389" s="2">
        <v>6</v>
      </c>
      <c r="I1389" s="2">
        <v>1791.6</v>
      </c>
      <c r="J1389" s="2">
        <v>0.15</v>
      </c>
      <c r="K1389" s="2" t="s">
        <v>41</v>
      </c>
      <c r="L1389" s="2" t="s">
        <v>121</v>
      </c>
    </row>
    <row r="1390" spans="1:12" x14ac:dyDescent="0.2">
      <c r="A1390" s="2">
        <v>101583</v>
      </c>
      <c r="B1390" s="17">
        <v>45461</v>
      </c>
      <c r="C1390" s="2" t="s">
        <v>208</v>
      </c>
      <c r="D1390" s="2" t="s">
        <v>13</v>
      </c>
      <c r="E1390" s="2" t="s">
        <v>14</v>
      </c>
      <c r="F1390" s="2" t="s">
        <v>39</v>
      </c>
      <c r="G1390" s="2" t="s">
        <v>40</v>
      </c>
      <c r="H1390" s="2">
        <v>7</v>
      </c>
      <c r="I1390" s="2">
        <v>614.19000000000005</v>
      </c>
      <c r="J1390" s="2">
        <v>15</v>
      </c>
      <c r="K1390" s="2" t="s">
        <v>83</v>
      </c>
      <c r="L1390" s="2" t="s">
        <v>143</v>
      </c>
    </row>
    <row r="1391" spans="1:12" x14ac:dyDescent="0.2">
      <c r="A1391" s="2">
        <v>100121</v>
      </c>
      <c r="B1391" s="17">
        <v>45393</v>
      </c>
      <c r="C1391" s="2" t="s">
        <v>592</v>
      </c>
      <c r="D1391" s="2" t="s">
        <v>13</v>
      </c>
      <c r="E1391" s="2" t="s">
        <v>119</v>
      </c>
      <c r="F1391" s="2" t="s">
        <v>120</v>
      </c>
      <c r="G1391" s="2" t="s">
        <v>75</v>
      </c>
      <c r="H1391" s="2">
        <v>3</v>
      </c>
      <c r="I1391" s="2">
        <v>3371.23</v>
      </c>
      <c r="J1391" s="2">
        <v>20</v>
      </c>
      <c r="K1391" s="2" t="s">
        <v>17</v>
      </c>
      <c r="L1391" s="2" t="s">
        <v>52</v>
      </c>
    </row>
    <row r="1392" spans="1:12" x14ac:dyDescent="0.2">
      <c r="A1392" s="2">
        <v>101389</v>
      </c>
      <c r="B1392" s="18">
        <v>45459</v>
      </c>
      <c r="C1392" s="2" t="s">
        <v>180</v>
      </c>
      <c r="D1392" s="2" t="s">
        <v>160</v>
      </c>
      <c r="E1392" s="2" t="s">
        <v>79</v>
      </c>
      <c r="F1392" s="2" t="s">
        <v>74</v>
      </c>
      <c r="G1392" s="2" t="s">
        <v>75</v>
      </c>
      <c r="H1392" s="2"/>
      <c r="I1392" s="2">
        <v>1337</v>
      </c>
      <c r="J1392" s="2">
        <v>0.1</v>
      </c>
      <c r="K1392" s="2" t="s">
        <v>29</v>
      </c>
      <c r="L1392" s="2" t="s">
        <v>42</v>
      </c>
    </row>
    <row r="1393" spans="1:12" x14ac:dyDescent="0.2">
      <c r="A1393" s="2">
        <v>101747</v>
      </c>
      <c r="B1393" s="18">
        <v>45543</v>
      </c>
      <c r="C1393" s="2" t="s">
        <v>566</v>
      </c>
      <c r="D1393" s="2" t="s">
        <v>20</v>
      </c>
      <c r="E1393" s="2" t="s">
        <v>21</v>
      </c>
      <c r="F1393" s="2" t="s">
        <v>15</v>
      </c>
      <c r="G1393" s="2" t="s">
        <v>59</v>
      </c>
      <c r="H1393" s="2">
        <v>7</v>
      </c>
      <c r="I1393" s="2">
        <v>23578.86</v>
      </c>
      <c r="J1393" s="2"/>
      <c r="K1393" s="2" t="s">
        <v>66</v>
      </c>
      <c r="L1393" s="2" t="s">
        <v>121</v>
      </c>
    </row>
    <row r="1394" spans="1:12" x14ac:dyDescent="0.2">
      <c r="A1394" s="2">
        <v>101025</v>
      </c>
      <c r="B1394" s="18">
        <v>45350</v>
      </c>
      <c r="C1394" s="2" t="s">
        <v>526</v>
      </c>
      <c r="D1394" s="2" t="s">
        <v>95</v>
      </c>
      <c r="E1394" s="2" t="s">
        <v>133</v>
      </c>
      <c r="F1394" s="2" t="s">
        <v>15</v>
      </c>
      <c r="G1394" s="2" t="s">
        <v>205</v>
      </c>
      <c r="H1394" s="2">
        <v>2</v>
      </c>
      <c r="I1394" s="2">
        <v>5986.2</v>
      </c>
      <c r="J1394" s="2">
        <v>0.15</v>
      </c>
      <c r="K1394" s="2" t="s">
        <v>29</v>
      </c>
      <c r="L1394" s="2" t="s">
        <v>143</v>
      </c>
    </row>
    <row r="1395" spans="1:12" x14ac:dyDescent="0.2">
      <c r="A1395" s="2">
        <v>101087</v>
      </c>
      <c r="B1395" s="17">
        <v>45445</v>
      </c>
      <c r="C1395" s="2" t="s">
        <v>266</v>
      </c>
      <c r="D1395" s="2" t="s">
        <v>27</v>
      </c>
      <c r="E1395" s="2" t="s">
        <v>133</v>
      </c>
      <c r="F1395" s="2" t="s">
        <v>80</v>
      </c>
      <c r="G1395" s="2" t="s">
        <v>34</v>
      </c>
      <c r="H1395" s="2">
        <v>12</v>
      </c>
      <c r="I1395" s="2">
        <v>212.01</v>
      </c>
      <c r="J1395" s="2">
        <v>0.2</v>
      </c>
      <c r="K1395" s="2" t="s">
        <v>41</v>
      </c>
      <c r="L1395" s="2" t="s">
        <v>42</v>
      </c>
    </row>
    <row r="1396" spans="1:12" x14ac:dyDescent="0.2">
      <c r="A1396" s="2">
        <v>101273</v>
      </c>
      <c r="B1396" s="18">
        <v>45310</v>
      </c>
      <c r="C1396" s="2" t="s">
        <v>695</v>
      </c>
      <c r="D1396" s="2" t="s">
        <v>175</v>
      </c>
      <c r="E1396" s="2" t="s">
        <v>69</v>
      </c>
      <c r="F1396" s="2" t="s">
        <v>15</v>
      </c>
      <c r="G1396" s="2" t="s">
        <v>205</v>
      </c>
      <c r="H1396" s="2">
        <v>11</v>
      </c>
      <c r="I1396" s="2"/>
      <c r="J1396" s="2">
        <v>0</v>
      </c>
      <c r="K1396" s="2" t="s">
        <v>41</v>
      </c>
      <c r="L1396" s="2" t="s">
        <v>87</v>
      </c>
    </row>
    <row r="1397" spans="1:12" x14ac:dyDescent="0.2">
      <c r="A1397" s="2">
        <v>100927</v>
      </c>
      <c r="B1397" s="17">
        <v>45351</v>
      </c>
      <c r="C1397" s="2" t="s">
        <v>195</v>
      </c>
      <c r="D1397" s="2" t="s">
        <v>31</v>
      </c>
      <c r="E1397" s="2" t="s">
        <v>54</v>
      </c>
      <c r="F1397" s="2" t="s">
        <v>120</v>
      </c>
      <c r="G1397" s="2" t="s">
        <v>23</v>
      </c>
      <c r="H1397" s="2">
        <v>6</v>
      </c>
      <c r="I1397" s="2"/>
      <c r="J1397" s="2">
        <v>0</v>
      </c>
      <c r="K1397" s="2" t="s">
        <v>83</v>
      </c>
      <c r="L1397" s="2" t="s">
        <v>18</v>
      </c>
    </row>
    <row r="1398" spans="1:12" x14ac:dyDescent="0.2">
      <c r="A1398" s="2">
        <v>100516</v>
      </c>
      <c r="B1398" s="17">
        <v>45296</v>
      </c>
      <c r="C1398" s="2" t="s">
        <v>734</v>
      </c>
      <c r="D1398" s="2" t="s">
        <v>31</v>
      </c>
      <c r="E1398" s="2" t="s">
        <v>32</v>
      </c>
      <c r="F1398" s="2" t="s">
        <v>155</v>
      </c>
      <c r="G1398" s="2" t="s">
        <v>135</v>
      </c>
      <c r="H1398" s="2">
        <v>10</v>
      </c>
      <c r="I1398" s="2">
        <v>3934.06</v>
      </c>
      <c r="J1398" s="2">
        <v>10</v>
      </c>
      <c r="K1398" s="2" t="s">
        <v>83</v>
      </c>
      <c r="L1398" s="2" t="s">
        <v>87</v>
      </c>
    </row>
    <row r="1399" spans="1:12" x14ac:dyDescent="0.2">
      <c r="A1399" s="2">
        <v>100224</v>
      </c>
      <c r="B1399" s="17">
        <v>45420</v>
      </c>
      <c r="C1399" s="2" t="s">
        <v>932</v>
      </c>
      <c r="D1399" s="2" t="s">
        <v>44</v>
      </c>
      <c r="E1399" s="2" t="s">
        <v>54</v>
      </c>
      <c r="F1399" s="2" t="s">
        <v>33</v>
      </c>
      <c r="G1399" s="2" t="s">
        <v>81</v>
      </c>
      <c r="H1399" s="2">
        <v>5</v>
      </c>
      <c r="I1399" s="2">
        <v>75.73</v>
      </c>
      <c r="J1399" s="2">
        <v>25</v>
      </c>
      <c r="K1399" s="2" t="s">
        <v>17</v>
      </c>
      <c r="L1399" s="2" t="s">
        <v>25</v>
      </c>
    </row>
    <row r="1400" spans="1:12" x14ac:dyDescent="0.2">
      <c r="A1400" s="2">
        <v>101492</v>
      </c>
      <c r="B1400" s="18">
        <v>45498</v>
      </c>
      <c r="C1400" s="2" t="s">
        <v>933</v>
      </c>
      <c r="D1400" s="2" t="s">
        <v>89</v>
      </c>
      <c r="E1400" s="2" t="s">
        <v>32</v>
      </c>
      <c r="F1400" s="2" t="s">
        <v>28</v>
      </c>
      <c r="G1400" s="2" t="s">
        <v>116</v>
      </c>
      <c r="H1400" s="2">
        <v>4</v>
      </c>
      <c r="I1400" s="2">
        <v>10293.469999999999</v>
      </c>
      <c r="J1400" s="2">
        <v>0.15</v>
      </c>
      <c r="K1400" s="2" t="s">
        <v>41</v>
      </c>
      <c r="L1400" s="2" t="s">
        <v>42</v>
      </c>
    </row>
    <row r="1401" spans="1:12" x14ac:dyDescent="0.2">
      <c r="A1401" s="2">
        <v>100614</v>
      </c>
      <c r="B1401" s="17">
        <v>45389</v>
      </c>
      <c r="C1401" s="2"/>
      <c r="D1401" s="2" t="s">
        <v>101</v>
      </c>
      <c r="E1401" s="2" t="s">
        <v>38</v>
      </c>
      <c r="F1401" s="2" t="s">
        <v>33</v>
      </c>
      <c r="G1401" s="2" t="s">
        <v>93</v>
      </c>
      <c r="H1401" s="2">
        <v>7</v>
      </c>
      <c r="I1401" s="2">
        <v>208.37</v>
      </c>
      <c r="J1401" s="2">
        <v>0.25</v>
      </c>
      <c r="K1401" s="2" t="s">
        <v>83</v>
      </c>
      <c r="L1401" s="2" t="s">
        <v>52</v>
      </c>
    </row>
    <row r="1402" spans="1:12" x14ac:dyDescent="0.2">
      <c r="A1402" s="2">
        <v>100844</v>
      </c>
      <c r="B1402" s="17">
        <v>45572</v>
      </c>
      <c r="C1402" s="2" t="s">
        <v>302</v>
      </c>
      <c r="D1402" s="2" t="s">
        <v>95</v>
      </c>
      <c r="E1402" s="2" t="s">
        <v>21</v>
      </c>
      <c r="F1402" s="2" t="s">
        <v>45</v>
      </c>
      <c r="G1402" s="2" t="s">
        <v>111</v>
      </c>
      <c r="H1402" s="2">
        <v>1</v>
      </c>
      <c r="I1402" s="2">
        <v>24207.94</v>
      </c>
      <c r="J1402" s="2">
        <v>0.25</v>
      </c>
      <c r="K1402" s="2" t="s">
        <v>41</v>
      </c>
      <c r="L1402" s="2" t="s">
        <v>52</v>
      </c>
    </row>
    <row r="1403" spans="1:12" x14ac:dyDescent="0.2">
      <c r="A1403" s="2">
        <v>101246</v>
      </c>
      <c r="B1403" s="17">
        <v>45383</v>
      </c>
      <c r="C1403" s="2" t="s">
        <v>499</v>
      </c>
      <c r="D1403" s="2" t="s">
        <v>160</v>
      </c>
      <c r="E1403" s="2" t="s">
        <v>79</v>
      </c>
      <c r="F1403" s="2" t="s">
        <v>80</v>
      </c>
      <c r="G1403" s="2" t="s">
        <v>93</v>
      </c>
      <c r="H1403" s="2">
        <v>2</v>
      </c>
      <c r="I1403" s="2">
        <v>521.1</v>
      </c>
      <c r="J1403" s="2">
        <v>0.15</v>
      </c>
      <c r="K1403" s="2" t="s">
        <v>17</v>
      </c>
      <c r="L1403" s="2" t="s">
        <v>35</v>
      </c>
    </row>
    <row r="1404" spans="1:12" x14ac:dyDescent="0.2">
      <c r="A1404" s="2">
        <v>100053</v>
      </c>
      <c r="B1404" s="18">
        <v>45477</v>
      </c>
      <c r="C1404" s="2" t="s">
        <v>934</v>
      </c>
      <c r="D1404" s="2" t="s">
        <v>73</v>
      </c>
      <c r="E1404" s="2" t="s">
        <v>79</v>
      </c>
      <c r="F1404" s="2" t="s">
        <v>22</v>
      </c>
      <c r="G1404" s="2" t="s">
        <v>145</v>
      </c>
      <c r="H1404" s="2">
        <v>12</v>
      </c>
      <c r="I1404" s="2">
        <v>1403.69</v>
      </c>
      <c r="J1404" s="2">
        <v>0</v>
      </c>
      <c r="K1404" s="2" t="s">
        <v>66</v>
      </c>
      <c r="L1404" s="2" t="s">
        <v>143</v>
      </c>
    </row>
    <row r="1405" spans="1:12" x14ac:dyDescent="0.2">
      <c r="A1405" s="2">
        <v>101863</v>
      </c>
      <c r="B1405" s="2" t="s">
        <v>935</v>
      </c>
      <c r="C1405" s="2" t="s">
        <v>857</v>
      </c>
      <c r="D1405" s="2" t="s">
        <v>73</v>
      </c>
      <c r="E1405" s="2" t="s">
        <v>49</v>
      </c>
      <c r="F1405" s="2" t="s">
        <v>102</v>
      </c>
      <c r="G1405" s="2" t="s">
        <v>137</v>
      </c>
      <c r="H1405" s="2">
        <v>-3</v>
      </c>
      <c r="I1405" s="2">
        <v>1802.63</v>
      </c>
      <c r="J1405" s="2">
        <v>5</v>
      </c>
      <c r="K1405" s="2" t="s">
        <v>83</v>
      </c>
      <c r="L1405" s="2" t="s">
        <v>25</v>
      </c>
    </row>
    <row r="1406" spans="1:12" x14ac:dyDescent="0.2">
      <c r="A1406" s="2">
        <v>100486</v>
      </c>
      <c r="B1406" s="17">
        <v>45428</v>
      </c>
      <c r="C1406" s="2" t="s">
        <v>434</v>
      </c>
      <c r="D1406" s="2" t="s">
        <v>129</v>
      </c>
      <c r="E1406" s="2" t="s">
        <v>49</v>
      </c>
      <c r="F1406" s="2" t="s">
        <v>28</v>
      </c>
      <c r="G1406" s="2" t="s">
        <v>59</v>
      </c>
      <c r="H1406" s="2">
        <v>8</v>
      </c>
      <c r="I1406" s="2">
        <v>23884.38</v>
      </c>
      <c r="J1406" s="2">
        <v>5</v>
      </c>
      <c r="K1406" s="2" t="s">
        <v>66</v>
      </c>
      <c r="L1406" s="2" t="s">
        <v>87</v>
      </c>
    </row>
    <row r="1407" spans="1:12" x14ac:dyDescent="0.2">
      <c r="A1407" s="2">
        <v>101935</v>
      </c>
      <c r="B1407" s="17">
        <v>45456</v>
      </c>
      <c r="C1407" s="2" t="s">
        <v>744</v>
      </c>
      <c r="D1407" s="2" t="s">
        <v>44</v>
      </c>
      <c r="E1407" s="2" t="s">
        <v>54</v>
      </c>
      <c r="F1407" s="2" t="s">
        <v>33</v>
      </c>
      <c r="G1407" s="2" t="s">
        <v>158</v>
      </c>
      <c r="H1407" s="2">
        <v>4</v>
      </c>
      <c r="I1407" s="2">
        <v>150.34</v>
      </c>
      <c r="J1407" s="2">
        <v>0.25</v>
      </c>
      <c r="K1407" s="2" t="s">
        <v>41</v>
      </c>
      <c r="L1407" s="2" t="s">
        <v>42</v>
      </c>
    </row>
    <row r="1408" spans="1:12" x14ac:dyDescent="0.2">
      <c r="A1408" s="2">
        <v>100819</v>
      </c>
      <c r="B1408" s="17">
        <v>45326</v>
      </c>
      <c r="C1408" s="2" t="s">
        <v>387</v>
      </c>
      <c r="D1408" s="2" t="s">
        <v>13</v>
      </c>
      <c r="E1408" s="2" t="s">
        <v>14</v>
      </c>
      <c r="F1408" s="2" t="s">
        <v>155</v>
      </c>
      <c r="G1408" s="2" t="s">
        <v>103</v>
      </c>
      <c r="H1408" s="2">
        <v>1</v>
      </c>
      <c r="I1408" s="2">
        <v>4230.03</v>
      </c>
      <c r="J1408" s="2">
        <v>0.25</v>
      </c>
      <c r="K1408" s="2" t="s">
        <v>41</v>
      </c>
      <c r="L1408" s="2" t="s">
        <v>87</v>
      </c>
    </row>
    <row r="1409" spans="1:12" x14ac:dyDescent="0.2">
      <c r="A1409" s="2">
        <v>100156</v>
      </c>
      <c r="B1409" s="2" t="s">
        <v>936</v>
      </c>
      <c r="C1409" s="2" t="s">
        <v>345</v>
      </c>
      <c r="D1409" s="2" t="s">
        <v>129</v>
      </c>
      <c r="E1409" s="2" t="s">
        <v>49</v>
      </c>
      <c r="F1409" s="2" t="s">
        <v>113</v>
      </c>
      <c r="G1409" s="2" t="s">
        <v>242</v>
      </c>
      <c r="H1409" s="2">
        <v>12</v>
      </c>
      <c r="I1409" s="2">
        <v>761.52</v>
      </c>
      <c r="J1409" s="2">
        <v>0.15</v>
      </c>
      <c r="K1409" s="2" t="s">
        <v>24</v>
      </c>
      <c r="L1409" s="2" t="s">
        <v>35</v>
      </c>
    </row>
    <row r="1410" spans="1:12" x14ac:dyDescent="0.2">
      <c r="A1410" s="2">
        <v>101367</v>
      </c>
      <c r="B1410" s="18">
        <v>45562</v>
      </c>
      <c r="C1410" s="2" t="s">
        <v>937</v>
      </c>
      <c r="D1410" s="2" t="s">
        <v>20</v>
      </c>
      <c r="E1410" s="2" t="s">
        <v>21</v>
      </c>
      <c r="F1410" s="2" t="s">
        <v>50</v>
      </c>
      <c r="G1410" s="2" t="s">
        <v>51</v>
      </c>
      <c r="H1410" s="2"/>
      <c r="I1410" s="2">
        <v>1441.84</v>
      </c>
      <c r="J1410" s="2">
        <v>0</v>
      </c>
      <c r="K1410" s="2" t="s">
        <v>24</v>
      </c>
      <c r="L1410" s="2" t="s">
        <v>35</v>
      </c>
    </row>
    <row r="1411" spans="1:12" x14ac:dyDescent="0.2">
      <c r="A1411" s="2">
        <v>100601</v>
      </c>
      <c r="B1411" s="18">
        <v>45436</v>
      </c>
      <c r="C1411" s="2" t="s">
        <v>540</v>
      </c>
      <c r="D1411" s="2" t="s">
        <v>85</v>
      </c>
      <c r="E1411" s="2" t="s">
        <v>119</v>
      </c>
      <c r="F1411" s="2" t="s">
        <v>113</v>
      </c>
      <c r="G1411" s="2" t="s">
        <v>292</v>
      </c>
      <c r="H1411" s="2">
        <v>3</v>
      </c>
      <c r="I1411" s="2">
        <v>216.84</v>
      </c>
      <c r="J1411" s="2">
        <v>0</v>
      </c>
      <c r="K1411" s="2" t="s">
        <v>29</v>
      </c>
      <c r="L1411" s="2" t="s">
        <v>52</v>
      </c>
    </row>
    <row r="1412" spans="1:12" x14ac:dyDescent="0.2">
      <c r="A1412" s="2">
        <v>101621</v>
      </c>
      <c r="B1412" s="18">
        <v>45344</v>
      </c>
      <c r="C1412" s="2" t="s">
        <v>938</v>
      </c>
      <c r="D1412" s="2" t="s">
        <v>31</v>
      </c>
      <c r="E1412" s="2" t="s">
        <v>54</v>
      </c>
      <c r="F1412" s="2" t="s">
        <v>80</v>
      </c>
      <c r="G1412" s="2" t="s">
        <v>158</v>
      </c>
      <c r="H1412" s="2">
        <v>5</v>
      </c>
      <c r="I1412" s="2">
        <v>352.52</v>
      </c>
      <c r="J1412" s="2">
        <v>0</v>
      </c>
      <c r="K1412" s="2" t="s">
        <v>66</v>
      </c>
      <c r="L1412" s="2" t="s">
        <v>87</v>
      </c>
    </row>
    <row r="1413" spans="1:12" x14ac:dyDescent="0.2">
      <c r="A1413" s="2">
        <v>100249</v>
      </c>
      <c r="B1413" s="17">
        <v>45355</v>
      </c>
      <c r="C1413" s="2" t="s">
        <v>296</v>
      </c>
      <c r="D1413" s="2" t="s">
        <v>89</v>
      </c>
      <c r="E1413" s="2" t="s">
        <v>54</v>
      </c>
      <c r="F1413" s="2" t="s">
        <v>64</v>
      </c>
      <c r="G1413" s="2" t="s">
        <v>242</v>
      </c>
      <c r="H1413" s="2">
        <v>8</v>
      </c>
      <c r="I1413" s="2">
        <v>435.63</v>
      </c>
      <c r="J1413" s="2">
        <v>0</v>
      </c>
      <c r="K1413" s="2" t="s">
        <v>29</v>
      </c>
      <c r="L1413" s="2" t="s">
        <v>25</v>
      </c>
    </row>
    <row r="1414" spans="1:12" x14ac:dyDescent="0.2">
      <c r="A1414" s="2">
        <v>100762</v>
      </c>
      <c r="B1414" s="18">
        <v>45450</v>
      </c>
      <c r="C1414" s="2" t="s">
        <v>939</v>
      </c>
      <c r="D1414" s="2" t="s">
        <v>48</v>
      </c>
      <c r="E1414" s="2" t="s">
        <v>49</v>
      </c>
      <c r="F1414" s="2" t="s">
        <v>28</v>
      </c>
      <c r="G1414" s="2" t="s">
        <v>59</v>
      </c>
      <c r="H1414" s="2">
        <v>3</v>
      </c>
      <c r="I1414" s="2">
        <v>15323.43</v>
      </c>
      <c r="J1414" s="2">
        <v>0</v>
      </c>
      <c r="K1414" s="2" t="s">
        <v>41</v>
      </c>
      <c r="L1414" s="2" t="s">
        <v>121</v>
      </c>
    </row>
    <row r="1415" spans="1:12" x14ac:dyDescent="0.2">
      <c r="A1415" s="2">
        <v>101847</v>
      </c>
      <c r="B1415" s="18">
        <v>45346</v>
      </c>
      <c r="C1415" s="2" t="s">
        <v>822</v>
      </c>
      <c r="D1415" s="2" t="s">
        <v>13</v>
      </c>
      <c r="E1415" s="2" t="s">
        <v>119</v>
      </c>
      <c r="F1415" s="2" t="s">
        <v>22</v>
      </c>
      <c r="G1415" s="2" t="s">
        <v>141</v>
      </c>
      <c r="H1415" s="2">
        <v>3</v>
      </c>
      <c r="I1415" s="2">
        <v>3143.72</v>
      </c>
      <c r="J1415" s="2"/>
      <c r="K1415" s="2" t="s">
        <v>83</v>
      </c>
      <c r="L1415" s="2" t="s">
        <v>52</v>
      </c>
    </row>
    <row r="1416" spans="1:12" x14ac:dyDescent="0.2">
      <c r="A1416" s="2">
        <v>101131</v>
      </c>
      <c r="B1416" s="18">
        <v>45476</v>
      </c>
      <c r="C1416" s="2" t="s">
        <v>576</v>
      </c>
      <c r="D1416" s="2" t="s">
        <v>58</v>
      </c>
      <c r="E1416" s="2" t="s">
        <v>69</v>
      </c>
      <c r="F1416" s="2" t="s">
        <v>15</v>
      </c>
      <c r="G1416" s="2" t="s">
        <v>16</v>
      </c>
      <c r="H1416" s="2">
        <v>8</v>
      </c>
      <c r="I1416" s="2"/>
      <c r="J1416" s="2">
        <v>0</v>
      </c>
      <c r="K1416" s="2" t="s">
        <v>66</v>
      </c>
      <c r="L1416" s="2" t="s">
        <v>42</v>
      </c>
    </row>
    <row r="1417" spans="1:12" x14ac:dyDescent="0.2">
      <c r="A1417" s="2">
        <v>100543</v>
      </c>
      <c r="B1417" s="17">
        <v>45534</v>
      </c>
      <c r="C1417" s="2" t="s">
        <v>195</v>
      </c>
      <c r="D1417" s="2" t="s">
        <v>20</v>
      </c>
      <c r="E1417" s="2" t="s">
        <v>21</v>
      </c>
      <c r="F1417" s="2" t="s">
        <v>223</v>
      </c>
      <c r="G1417" s="2" t="s">
        <v>51</v>
      </c>
      <c r="H1417" s="2">
        <v>6</v>
      </c>
      <c r="I1417" s="2">
        <v>7610.15</v>
      </c>
      <c r="J1417" s="2">
        <v>0</v>
      </c>
      <c r="K1417" s="2" t="s">
        <v>41</v>
      </c>
      <c r="L1417" s="2" t="s">
        <v>52</v>
      </c>
    </row>
    <row r="1418" spans="1:12" x14ac:dyDescent="0.2">
      <c r="A1418" s="2">
        <v>100794</v>
      </c>
      <c r="B1418" s="18">
        <v>45306</v>
      </c>
      <c r="C1418" s="2" t="s">
        <v>900</v>
      </c>
      <c r="D1418" s="2" t="s">
        <v>31</v>
      </c>
      <c r="E1418" s="2" t="s">
        <v>54</v>
      </c>
      <c r="F1418" s="2" t="s">
        <v>15</v>
      </c>
      <c r="G1418" s="2" t="s">
        <v>116</v>
      </c>
      <c r="H1418" s="2">
        <v>12</v>
      </c>
      <c r="I1418" s="2">
        <v>17812.11</v>
      </c>
      <c r="J1418" s="2">
        <v>0</v>
      </c>
      <c r="K1418" s="2" t="s">
        <v>66</v>
      </c>
      <c r="L1418" s="2" t="s">
        <v>42</v>
      </c>
    </row>
    <row r="1419" spans="1:12" x14ac:dyDescent="0.2">
      <c r="A1419" s="2">
        <v>101142</v>
      </c>
      <c r="B1419" s="17">
        <v>45444</v>
      </c>
      <c r="C1419" s="2" t="s">
        <v>377</v>
      </c>
      <c r="D1419" s="2" t="s">
        <v>131</v>
      </c>
      <c r="E1419" s="2" t="s">
        <v>133</v>
      </c>
      <c r="F1419" s="2" t="s">
        <v>28</v>
      </c>
      <c r="G1419" s="2" t="s">
        <v>16</v>
      </c>
      <c r="H1419" s="2">
        <v>5</v>
      </c>
      <c r="I1419" s="2">
        <v>14683.22</v>
      </c>
      <c r="J1419" s="2">
        <v>0.2</v>
      </c>
      <c r="K1419" s="2" t="s">
        <v>29</v>
      </c>
      <c r="L1419" s="2" t="s">
        <v>25</v>
      </c>
    </row>
    <row r="1420" spans="1:12" x14ac:dyDescent="0.2">
      <c r="A1420" s="2">
        <v>101470</v>
      </c>
      <c r="B1420" s="17">
        <v>45656</v>
      </c>
      <c r="C1420" s="2" t="s">
        <v>940</v>
      </c>
      <c r="D1420" s="2" t="s">
        <v>95</v>
      </c>
      <c r="E1420" s="2" t="s">
        <v>133</v>
      </c>
      <c r="F1420" s="2" t="s">
        <v>39</v>
      </c>
      <c r="G1420" s="2" t="s">
        <v>242</v>
      </c>
      <c r="H1420" s="2">
        <v>7</v>
      </c>
      <c r="I1420" s="2">
        <v>129.99</v>
      </c>
      <c r="J1420" s="2">
        <v>25</v>
      </c>
      <c r="K1420" s="2" t="s">
        <v>17</v>
      </c>
      <c r="L1420" s="2" t="s">
        <v>87</v>
      </c>
    </row>
    <row r="1421" spans="1:12" x14ac:dyDescent="0.2">
      <c r="A1421" s="2">
        <v>100629</v>
      </c>
      <c r="B1421" s="17">
        <v>45431</v>
      </c>
      <c r="C1421" s="2" t="s">
        <v>887</v>
      </c>
      <c r="D1421" s="2" t="s">
        <v>109</v>
      </c>
      <c r="E1421" s="2" t="s">
        <v>21</v>
      </c>
      <c r="F1421" s="2" t="s">
        <v>74</v>
      </c>
      <c r="G1421" s="2" t="s">
        <v>23</v>
      </c>
      <c r="H1421" s="2">
        <v>5</v>
      </c>
      <c r="I1421" s="2">
        <v>883.38</v>
      </c>
      <c r="J1421" s="2">
        <v>10</v>
      </c>
      <c r="K1421" s="2" t="s">
        <v>83</v>
      </c>
      <c r="L1421" s="2" t="s">
        <v>42</v>
      </c>
    </row>
    <row r="1422" spans="1:12" x14ac:dyDescent="0.2">
      <c r="A1422" s="2">
        <v>100151</v>
      </c>
      <c r="B1422" s="17">
        <v>45605</v>
      </c>
      <c r="C1422" s="2" t="s">
        <v>415</v>
      </c>
      <c r="D1422" s="2" t="s">
        <v>101</v>
      </c>
      <c r="E1422" s="2" t="s">
        <v>38</v>
      </c>
      <c r="F1422" s="2" t="s">
        <v>28</v>
      </c>
      <c r="G1422" s="2" t="s">
        <v>152</v>
      </c>
      <c r="H1422" s="2">
        <v>10</v>
      </c>
      <c r="I1422" s="2">
        <v>23822.13</v>
      </c>
      <c r="J1422" s="2">
        <v>0.05</v>
      </c>
      <c r="K1422" s="2" t="s">
        <v>17</v>
      </c>
      <c r="L1422" s="2" t="s">
        <v>87</v>
      </c>
    </row>
    <row r="1423" spans="1:12" x14ac:dyDescent="0.2">
      <c r="A1423" s="2">
        <v>101660</v>
      </c>
      <c r="B1423" s="18">
        <v>45552</v>
      </c>
      <c r="C1423" s="2" t="s">
        <v>311</v>
      </c>
      <c r="D1423" s="2" t="s">
        <v>160</v>
      </c>
      <c r="E1423" s="2" t="s">
        <v>49</v>
      </c>
      <c r="F1423" s="2" t="s">
        <v>15</v>
      </c>
      <c r="G1423" s="2" t="s">
        <v>116</v>
      </c>
      <c r="H1423" s="2">
        <v>11</v>
      </c>
      <c r="I1423" s="2">
        <v>19798.580000000002</v>
      </c>
      <c r="J1423" s="2">
        <v>10</v>
      </c>
      <c r="K1423" s="2" t="s">
        <v>66</v>
      </c>
      <c r="L1423" s="2" t="s">
        <v>18</v>
      </c>
    </row>
    <row r="1424" spans="1:12" x14ac:dyDescent="0.2">
      <c r="A1424" s="2">
        <v>100292</v>
      </c>
      <c r="B1424" s="17">
        <v>45292</v>
      </c>
      <c r="C1424" s="2" t="s">
        <v>929</v>
      </c>
      <c r="D1424" s="2" t="s">
        <v>44</v>
      </c>
      <c r="E1424" s="2" t="s">
        <v>32</v>
      </c>
      <c r="F1424" s="2" t="s">
        <v>80</v>
      </c>
      <c r="G1424" s="2" t="s">
        <v>34</v>
      </c>
      <c r="H1424" s="2">
        <v>12</v>
      </c>
      <c r="I1424" s="2">
        <v>586.55999999999995</v>
      </c>
      <c r="J1424" s="2">
        <v>0.15</v>
      </c>
      <c r="K1424" s="2" t="s">
        <v>83</v>
      </c>
      <c r="L1424" s="2" t="s">
        <v>42</v>
      </c>
    </row>
    <row r="1425" spans="1:12" x14ac:dyDescent="0.2">
      <c r="A1425" s="2">
        <v>100382</v>
      </c>
      <c r="B1425" s="18">
        <v>45546</v>
      </c>
      <c r="C1425" s="2"/>
      <c r="D1425" s="2" t="s">
        <v>101</v>
      </c>
      <c r="E1425" s="2" t="s">
        <v>38</v>
      </c>
      <c r="F1425" s="2" t="s">
        <v>15</v>
      </c>
      <c r="G1425" s="2" t="s">
        <v>59</v>
      </c>
      <c r="H1425" s="2">
        <v>8</v>
      </c>
      <c r="I1425" s="2">
        <v>12223.62</v>
      </c>
      <c r="J1425" s="2">
        <v>0.25</v>
      </c>
      <c r="K1425" s="2" t="s">
        <v>83</v>
      </c>
      <c r="L1425" s="2" t="s">
        <v>87</v>
      </c>
    </row>
    <row r="1426" spans="1:12" x14ac:dyDescent="0.2">
      <c r="A1426" s="2">
        <v>100687</v>
      </c>
      <c r="B1426" s="17">
        <v>45510</v>
      </c>
      <c r="C1426" s="2" t="s">
        <v>588</v>
      </c>
      <c r="D1426" s="2" t="s">
        <v>160</v>
      </c>
      <c r="E1426" s="2" t="s">
        <v>49</v>
      </c>
      <c r="F1426" s="2" t="s">
        <v>45</v>
      </c>
      <c r="G1426" s="2" t="s">
        <v>46</v>
      </c>
      <c r="H1426" s="2">
        <v>9</v>
      </c>
      <c r="I1426" s="2">
        <v>36821.620000000003</v>
      </c>
      <c r="J1426" s="2"/>
      <c r="K1426" s="2" t="s">
        <v>41</v>
      </c>
      <c r="L1426" s="2" t="s">
        <v>121</v>
      </c>
    </row>
    <row r="1427" spans="1:12" x14ac:dyDescent="0.2">
      <c r="A1427" s="2">
        <v>101368</v>
      </c>
      <c r="B1427" s="17">
        <v>45572</v>
      </c>
      <c r="C1427" s="2"/>
      <c r="D1427" s="2" t="s">
        <v>92</v>
      </c>
      <c r="E1427" s="2" t="s">
        <v>32</v>
      </c>
      <c r="F1427" s="2" t="s">
        <v>33</v>
      </c>
      <c r="G1427" s="2" t="s">
        <v>34</v>
      </c>
      <c r="H1427" s="2">
        <v>10</v>
      </c>
      <c r="I1427" s="2">
        <v>245.76</v>
      </c>
      <c r="J1427" s="2">
        <v>0</v>
      </c>
      <c r="K1427" s="2" t="s">
        <v>83</v>
      </c>
      <c r="L1427" s="2" t="s">
        <v>143</v>
      </c>
    </row>
    <row r="1428" spans="1:12" x14ac:dyDescent="0.2">
      <c r="A1428" s="2">
        <v>101225</v>
      </c>
      <c r="B1428" s="17">
        <v>45377</v>
      </c>
      <c r="C1428" s="2" t="s">
        <v>681</v>
      </c>
      <c r="D1428" s="2" t="s">
        <v>92</v>
      </c>
      <c r="E1428" s="2" t="s">
        <v>32</v>
      </c>
      <c r="F1428" s="2" t="s">
        <v>113</v>
      </c>
      <c r="G1428" s="2" t="s">
        <v>242</v>
      </c>
      <c r="H1428" s="2">
        <v>3</v>
      </c>
      <c r="I1428" s="2">
        <v>260.33</v>
      </c>
      <c r="J1428" s="2">
        <v>0.25</v>
      </c>
      <c r="K1428" s="2" t="s">
        <v>66</v>
      </c>
      <c r="L1428" s="2" t="s">
        <v>52</v>
      </c>
    </row>
    <row r="1429" spans="1:12" x14ac:dyDescent="0.2">
      <c r="A1429" s="2">
        <v>100898</v>
      </c>
      <c r="B1429" s="17">
        <v>45295</v>
      </c>
      <c r="C1429" s="2" t="s">
        <v>493</v>
      </c>
      <c r="D1429" s="2" t="s">
        <v>20</v>
      </c>
      <c r="E1429" s="2" t="s">
        <v>21</v>
      </c>
      <c r="F1429" s="2" t="s">
        <v>64</v>
      </c>
      <c r="G1429" s="2" t="s">
        <v>40</v>
      </c>
      <c r="H1429" s="2">
        <v>2</v>
      </c>
      <c r="I1429" s="2">
        <v>784.82</v>
      </c>
      <c r="J1429" s="2">
        <v>25</v>
      </c>
      <c r="K1429" s="2" t="s">
        <v>83</v>
      </c>
      <c r="L1429" s="2" t="s">
        <v>87</v>
      </c>
    </row>
    <row r="1430" spans="1:12" x14ac:dyDescent="0.2">
      <c r="A1430" s="2">
        <v>100855</v>
      </c>
      <c r="B1430" s="17">
        <v>45408</v>
      </c>
      <c r="C1430" s="2" t="s">
        <v>744</v>
      </c>
      <c r="D1430" s="2" t="s">
        <v>140</v>
      </c>
      <c r="E1430" s="2" t="s">
        <v>49</v>
      </c>
      <c r="F1430" s="2" t="s">
        <v>96</v>
      </c>
      <c r="G1430" s="2" t="s">
        <v>71</v>
      </c>
      <c r="H1430" s="2">
        <v>2</v>
      </c>
      <c r="I1430" s="2">
        <v>40037.019999999997</v>
      </c>
      <c r="J1430" s="2">
        <v>0</v>
      </c>
      <c r="K1430" s="2" t="s">
        <v>24</v>
      </c>
      <c r="L1430" s="2" t="s">
        <v>87</v>
      </c>
    </row>
    <row r="1431" spans="1:12" x14ac:dyDescent="0.2">
      <c r="A1431" s="2">
        <v>101072</v>
      </c>
      <c r="B1431" s="17">
        <v>45570</v>
      </c>
      <c r="C1431" s="2" t="s">
        <v>426</v>
      </c>
      <c r="D1431" s="2" t="s">
        <v>160</v>
      </c>
      <c r="E1431" s="2" t="s">
        <v>79</v>
      </c>
      <c r="F1431" s="2" t="s">
        <v>33</v>
      </c>
      <c r="G1431" s="2" t="s">
        <v>81</v>
      </c>
      <c r="H1431" s="2">
        <v>5</v>
      </c>
      <c r="I1431" s="2">
        <v>74.72</v>
      </c>
      <c r="J1431" s="2">
        <v>0.15</v>
      </c>
      <c r="K1431" s="2" t="s">
        <v>83</v>
      </c>
      <c r="L1431" s="2" t="s">
        <v>52</v>
      </c>
    </row>
    <row r="1432" spans="1:12" x14ac:dyDescent="0.2">
      <c r="A1432" s="2">
        <v>101483</v>
      </c>
      <c r="B1432" s="17">
        <v>45424</v>
      </c>
      <c r="C1432" s="2" t="s">
        <v>219</v>
      </c>
      <c r="D1432" s="2" t="s">
        <v>31</v>
      </c>
      <c r="E1432" s="2" t="s">
        <v>32</v>
      </c>
      <c r="F1432" s="2" t="s">
        <v>22</v>
      </c>
      <c r="G1432" s="2" t="s">
        <v>145</v>
      </c>
      <c r="H1432" s="2">
        <v>6</v>
      </c>
      <c r="I1432" s="2">
        <v>2178.12</v>
      </c>
      <c r="J1432" s="2">
        <v>0.05</v>
      </c>
      <c r="K1432" s="2" t="s">
        <v>66</v>
      </c>
      <c r="L1432" s="2" t="s">
        <v>52</v>
      </c>
    </row>
    <row r="1433" spans="1:12" x14ac:dyDescent="0.2">
      <c r="A1433" s="2">
        <v>101544</v>
      </c>
      <c r="B1433" s="17">
        <v>45338</v>
      </c>
      <c r="C1433" s="2" t="s">
        <v>855</v>
      </c>
      <c r="D1433" s="2" t="s">
        <v>31</v>
      </c>
      <c r="E1433" s="2" t="s">
        <v>54</v>
      </c>
      <c r="F1433" s="2" t="s">
        <v>155</v>
      </c>
      <c r="G1433" s="2" t="s">
        <v>156</v>
      </c>
      <c r="H1433" s="2">
        <v>5</v>
      </c>
      <c r="I1433" s="2">
        <v>878</v>
      </c>
      <c r="J1433" s="2">
        <v>0.1</v>
      </c>
      <c r="K1433" s="2" t="s">
        <v>83</v>
      </c>
      <c r="L1433" s="2" t="s">
        <v>87</v>
      </c>
    </row>
    <row r="1434" spans="1:12" x14ac:dyDescent="0.2">
      <c r="A1434" s="2">
        <v>101707</v>
      </c>
      <c r="B1434" s="17">
        <v>45452</v>
      </c>
      <c r="C1434" s="2" t="s">
        <v>938</v>
      </c>
      <c r="D1434" s="2" t="s">
        <v>109</v>
      </c>
      <c r="E1434" s="2" t="s">
        <v>21</v>
      </c>
      <c r="F1434" s="2" t="s">
        <v>191</v>
      </c>
      <c r="G1434" s="2" t="s">
        <v>116</v>
      </c>
      <c r="H1434" s="2">
        <v>7</v>
      </c>
      <c r="I1434" s="2">
        <v>11503.89</v>
      </c>
      <c r="J1434" s="2"/>
      <c r="K1434" s="2" t="s">
        <v>66</v>
      </c>
      <c r="L1434" s="2" t="s">
        <v>42</v>
      </c>
    </row>
    <row r="1435" spans="1:12" x14ac:dyDescent="0.2">
      <c r="A1435" s="2">
        <v>100892</v>
      </c>
      <c r="B1435" s="17">
        <v>45385</v>
      </c>
      <c r="C1435" s="2" t="s">
        <v>162</v>
      </c>
      <c r="D1435" s="2" t="s">
        <v>92</v>
      </c>
      <c r="E1435" s="2" t="s">
        <v>32</v>
      </c>
      <c r="F1435" s="2" t="s">
        <v>86</v>
      </c>
      <c r="G1435" s="2" t="s">
        <v>46</v>
      </c>
      <c r="H1435" s="2">
        <v>2</v>
      </c>
      <c r="I1435" s="2">
        <v>15410.8</v>
      </c>
      <c r="J1435" s="2">
        <v>0.05</v>
      </c>
      <c r="K1435" s="2" t="s">
        <v>41</v>
      </c>
      <c r="L1435" s="2" t="s">
        <v>35</v>
      </c>
    </row>
    <row r="1436" spans="1:12" x14ac:dyDescent="0.2">
      <c r="A1436" s="2">
        <v>101776</v>
      </c>
      <c r="B1436" s="18">
        <v>45351</v>
      </c>
      <c r="C1436" s="2" t="s">
        <v>192</v>
      </c>
      <c r="D1436" s="2" t="s">
        <v>101</v>
      </c>
      <c r="E1436" s="2" t="s">
        <v>69</v>
      </c>
      <c r="F1436" s="2" t="s">
        <v>80</v>
      </c>
      <c r="G1436" s="2" t="s">
        <v>158</v>
      </c>
      <c r="H1436" s="2">
        <v>12</v>
      </c>
      <c r="I1436" s="2">
        <v>110.74</v>
      </c>
      <c r="J1436" s="2"/>
      <c r="K1436" s="2" t="s">
        <v>41</v>
      </c>
      <c r="L1436" s="2" t="s">
        <v>25</v>
      </c>
    </row>
    <row r="1437" spans="1:12" x14ac:dyDescent="0.2">
      <c r="A1437" s="2"/>
      <c r="B1437" s="2"/>
      <c r="C1437" s="2"/>
      <c r="D1437" s="2"/>
      <c r="E1437" s="2"/>
      <c r="F1437" s="2"/>
      <c r="G1437" s="2"/>
      <c r="H1437" s="2"/>
      <c r="I1437" s="2"/>
      <c r="J1437" s="2"/>
      <c r="K1437" s="2"/>
      <c r="L1437" s="2"/>
    </row>
    <row r="1438" spans="1:12" x14ac:dyDescent="0.2">
      <c r="A1438" s="2">
        <v>101365</v>
      </c>
      <c r="B1438" s="18">
        <v>45437</v>
      </c>
      <c r="C1438" s="2" t="s">
        <v>941</v>
      </c>
      <c r="D1438" s="2" t="s">
        <v>92</v>
      </c>
      <c r="E1438" s="2" t="s">
        <v>32</v>
      </c>
      <c r="F1438" s="2" t="s">
        <v>106</v>
      </c>
      <c r="G1438" s="2" t="s">
        <v>137</v>
      </c>
      <c r="H1438" s="2">
        <v>9</v>
      </c>
      <c r="I1438" s="2">
        <v>3574.59</v>
      </c>
      <c r="J1438" s="2">
        <v>15</v>
      </c>
      <c r="K1438" s="2" t="s">
        <v>83</v>
      </c>
      <c r="L1438" s="2" t="s">
        <v>25</v>
      </c>
    </row>
    <row r="1439" spans="1:12" x14ac:dyDescent="0.2">
      <c r="A1439" s="2">
        <v>100616</v>
      </c>
      <c r="B1439" s="18">
        <v>45302</v>
      </c>
      <c r="C1439" s="2" t="s">
        <v>840</v>
      </c>
      <c r="D1439" s="2" t="s">
        <v>31</v>
      </c>
      <c r="E1439" s="2" t="s">
        <v>32</v>
      </c>
      <c r="F1439" s="2" t="s">
        <v>106</v>
      </c>
      <c r="G1439" s="2" t="s">
        <v>135</v>
      </c>
      <c r="H1439" s="2">
        <v>4</v>
      </c>
      <c r="I1439" s="2">
        <v>605.44000000000005</v>
      </c>
      <c r="J1439" s="2">
        <v>5</v>
      </c>
      <c r="K1439" s="2" t="s">
        <v>66</v>
      </c>
      <c r="L1439" s="2" t="s">
        <v>42</v>
      </c>
    </row>
    <row r="1440" spans="1:12" x14ac:dyDescent="0.2">
      <c r="A1440" s="2">
        <v>100155</v>
      </c>
      <c r="B1440" s="18">
        <v>45620</v>
      </c>
      <c r="C1440" s="2" t="s">
        <v>652</v>
      </c>
      <c r="D1440" s="2" t="s">
        <v>58</v>
      </c>
      <c r="E1440" s="2" t="s">
        <v>38</v>
      </c>
      <c r="F1440" s="2" t="s">
        <v>45</v>
      </c>
      <c r="G1440" s="2" t="s">
        <v>46</v>
      </c>
      <c r="H1440" s="2">
        <v>2</v>
      </c>
      <c r="I1440" s="2">
        <v>8931.2000000000007</v>
      </c>
      <c r="J1440" s="2">
        <v>0.25</v>
      </c>
      <c r="K1440" s="2" t="s">
        <v>17</v>
      </c>
      <c r="L1440" s="2" t="s">
        <v>35</v>
      </c>
    </row>
    <row r="1441" spans="1:12" x14ac:dyDescent="0.2">
      <c r="A1441" s="2">
        <v>101194</v>
      </c>
      <c r="B1441" s="17">
        <v>45481</v>
      </c>
      <c r="C1441" s="2" t="s">
        <v>36</v>
      </c>
      <c r="D1441" s="2" t="s">
        <v>27</v>
      </c>
      <c r="E1441" s="2" t="s">
        <v>21</v>
      </c>
      <c r="F1441" s="2" t="s">
        <v>223</v>
      </c>
      <c r="G1441" s="2" t="s">
        <v>56</v>
      </c>
      <c r="H1441" s="2">
        <v>7</v>
      </c>
      <c r="I1441" s="2">
        <v>2649.25</v>
      </c>
      <c r="J1441" s="2"/>
      <c r="K1441" s="2" t="s">
        <v>83</v>
      </c>
      <c r="L1441" s="2" t="s">
        <v>25</v>
      </c>
    </row>
    <row r="1442" spans="1:12" x14ac:dyDescent="0.2">
      <c r="A1442" s="2">
        <v>101733</v>
      </c>
      <c r="B1442" s="17">
        <v>45478</v>
      </c>
      <c r="C1442" s="2" t="s">
        <v>494</v>
      </c>
      <c r="D1442" s="2" t="s">
        <v>27</v>
      </c>
      <c r="E1442" s="2" t="s">
        <v>133</v>
      </c>
      <c r="F1442" s="2" t="s">
        <v>39</v>
      </c>
      <c r="G1442" s="2" t="s">
        <v>242</v>
      </c>
      <c r="H1442" s="2">
        <v>7</v>
      </c>
      <c r="I1442" s="2">
        <v>267.11</v>
      </c>
      <c r="J1442" s="2">
        <v>20</v>
      </c>
      <c r="K1442" s="2" t="s">
        <v>29</v>
      </c>
      <c r="L1442" s="2" t="s">
        <v>87</v>
      </c>
    </row>
    <row r="1443" spans="1:12" x14ac:dyDescent="0.2">
      <c r="A1443" s="2">
        <v>101265</v>
      </c>
      <c r="B1443" s="2" t="s">
        <v>942</v>
      </c>
      <c r="C1443" s="2" t="s">
        <v>335</v>
      </c>
      <c r="D1443" s="2" t="s">
        <v>131</v>
      </c>
      <c r="E1443" s="2" t="s">
        <v>133</v>
      </c>
      <c r="F1443" s="2" t="s">
        <v>70</v>
      </c>
      <c r="G1443" s="2" t="s">
        <v>111</v>
      </c>
      <c r="H1443" s="2">
        <v>8</v>
      </c>
      <c r="I1443" s="2">
        <v>24862.080000000002</v>
      </c>
      <c r="J1443" s="2">
        <v>0</v>
      </c>
      <c r="K1443" s="2" t="s">
        <v>24</v>
      </c>
      <c r="L1443" s="2" t="s">
        <v>121</v>
      </c>
    </row>
    <row r="1444" spans="1:12" x14ac:dyDescent="0.2">
      <c r="A1444" s="2">
        <v>101800</v>
      </c>
      <c r="B1444" s="17">
        <v>45472</v>
      </c>
      <c r="C1444" s="2" t="s">
        <v>506</v>
      </c>
      <c r="D1444" s="2" t="s">
        <v>95</v>
      </c>
      <c r="E1444" s="2" t="s">
        <v>133</v>
      </c>
      <c r="F1444" s="2" t="s">
        <v>74</v>
      </c>
      <c r="G1444" s="2" t="s">
        <v>141</v>
      </c>
      <c r="H1444" s="2">
        <v>6</v>
      </c>
      <c r="I1444" s="2">
        <v>624.35</v>
      </c>
      <c r="J1444" s="2">
        <v>20</v>
      </c>
      <c r="K1444" s="2" t="s">
        <v>66</v>
      </c>
      <c r="L1444" s="2" t="s">
        <v>25</v>
      </c>
    </row>
    <row r="1445" spans="1:12" x14ac:dyDescent="0.2">
      <c r="A1445" s="2">
        <v>100323</v>
      </c>
      <c r="B1445" s="17">
        <v>45629</v>
      </c>
      <c r="C1445" s="2" t="s">
        <v>78</v>
      </c>
      <c r="D1445" s="2" t="s">
        <v>160</v>
      </c>
      <c r="E1445" s="2" t="s">
        <v>79</v>
      </c>
      <c r="F1445" s="2" t="s">
        <v>45</v>
      </c>
      <c r="G1445" s="2" t="s">
        <v>153</v>
      </c>
      <c r="H1445" s="2">
        <v>7</v>
      </c>
      <c r="I1445" s="2">
        <v>27669.59</v>
      </c>
      <c r="J1445" s="2">
        <v>0</v>
      </c>
      <c r="K1445" s="2" t="s">
        <v>66</v>
      </c>
      <c r="L1445" s="2" t="s">
        <v>52</v>
      </c>
    </row>
    <row r="1446" spans="1:12" x14ac:dyDescent="0.2">
      <c r="A1446" s="2">
        <v>101565</v>
      </c>
      <c r="B1446" s="2" t="s">
        <v>690</v>
      </c>
      <c r="C1446" s="2" t="s">
        <v>451</v>
      </c>
      <c r="D1446" s="2" t="s">
        <v>37</v>
      </c>
      <c r="E1446" s="2" t="s">
        <v>69</v>
      </c>
      <c r="F1446" s="2" t="s">
        <v>33</v>
      </c>
      <c r="G1446" s="2" t="s">
        <v>34</v>
      </c>
      <c r="H1446" s="2">
        <v>8</v>
      </c>
      <c r="I1446" s="2">
        <v>143.94</v>
      </c>
      <c r="J1446" s="2">
        <v>0</v>
      </c>
      <c r="K1446" s="2" t="s">
        <v>29</v>
      </c>
      <c r="L1446" s="2" t="s">
        <v>18</v>
      </c>
    </row>
    <row r="1447" spans="1:12" x14ac:dyDescent="0.2">
      <c r="A1447" s="2">
        <v>101283</v>
      </c>
      <c r="B1447" s="18">
        <v>45449</v>
      </c>
      <c r="C1447" s="2" t="s">
        <v>646</v>
      </c>
      <c r="D1447" s="2" t="s">
        <v>31</v>
      </c>
      <c r="E1447" s="2" t="s">
        <v>32</v>
      </c>
      <c r="F1447" s="2" t="s">
        <v>15</v>
      </c>
      <c r="G1447" s="2" t="s">
        <v>59</v>
      </c>
      <c r="H1447" s="2">
        <v>1</v>
      </c>
      <c r="I1447" s="2">
        <v>22301.040000000001</v>
      </c>
      <c r="J1447" s="2">
        <v>0</v>
      </c>
      <c r="K1447" s="2" t="s">
        <v>29</v>
      </c>
      <c r="L1447" s="2" t="s">
        <v>87</v>
      </c>
    </row>
    <row r="1448" spans="1:12" x14ac:dyDescent="0.2">
      <c r="A1448" s="2">
        <v>100083</v>
      </c>
      <c r="B1448" s="17">
        <v>45444</v>
      </c>
      <c r="C1448" s="2" t="s">
        <v>443</v>
      </c>
      <c r="D1448" s="2" t="s">
        <v>85</v>
      </c>
      <c r="E1448" s="2" t="s">
        <v>119</v>
      </c>
      <c r="F1448" s="2" t="s">
        <v>55</v>
      </c>
      <c r="G1448" s="2" t="s">
        <v>51</v>
      </c>
      <c r="H1448" s="2">
        <v>5</v>
      </c>
      <c r="I1448" s="2">
        <v>7992.8</v>
      </c>
      <c r="J1448" s="2">
        <v>0.05</v>
      </c>
      <c r="K1448" s="2" t="s">
        <v>24</v>
      </c>
      <c r="L1448" s="2" t="s">
        <v>42</v>
      </c>
    </row>
    <row r="1449" spans="1:12" x14ac:dyDescent="0.2">
      <c r="A1449" s="2">
        <v>100513</v>
      </c>
      <c r="B1449" s="18">
        <v>45502</v>
      </c>
      <c r="C1449" s="2" t="s">
        <v>216</v>
      </c>
      <c r="D1449" s="2" t="s">
        <v>175</v>
      </c>
      <c r="E1449" s="2" t="s">
        <v>69</v>
      </c>
      <c r="F1449" s="2" t="s">
        <v>80</v>
      </c>
      <c r="G1449" s="2" t="s">
        <v>81</v>
      </c>
      <c r="H1449" s="2">
        <v>9</v>
      </c>
      <c r="I1449" s="2">
        <v>474.72</v>
      </c>
      <c r="J1449" s="2"/>
      <c r="K1449" s="2" t="s">
        <v>66</v>
      </c>
      <c r="L1449" s="2" t="s">
        <v>42</v>
      </c>
    </row>
    <row r="1450" spans="1:12" x14ac:dyDescent="0.2">
      <c r="A1450" s="2">
        <v>101543</v>
      </c>
      <c r="B1450" s="17">
        <v>45592</v>
      </c>
      <c r="C1450" s="2" t="s">
        <v>304</v>
      </c>
      <c r="D1450" s="2" t="s">
        <v>13</v>
      </c>
      <c r="E1450" s="2" t="s">
        <v>14</v>
      </c>
      <c r="F1450" s="2" t="s">
        <v>155</v>
      </c>
      <c r="G1450" s="2" t="s">
        <v>103</v>
      </c>
      <c r="H1450" s="2">
        <v>10</v>
      </c>
      <c r="I1450" s="2">
        <v>1034.6500000000001</v>
      </c>
      <c r="J1450" s="2">
        <v>0.1</v>
      </c>
      <c r="K1450" s="2" t="s">
        <v>24</v>
      </c>
      <c r="L1450" s="2" t="s">
        <v>25</v>
      </c>
    </row>
    <row r="1451" spans="1:12" x14ac:dyDescent="0.2">
      <c r="A1451" s="2">
        <v>101509</v>
      </c>
      <c r="B1451" s="18">
        <v>45654</v>
      </c>
      <c r="C1451" s="2" t="s">
        <v>713</v>
      </c>
      <c r="D1451" s="2" t="s">
        <v>44</v>
      </c>
      <c r="E1451" s="2" t="s">
        <v>54</v>
      </c>
      <c r="F1451" s="2" t="s">
        <v>80</v>
      </c>
      <c r="G1451" s="2" t="s">
        <v>34</v>
      </c>
      <c r="H1451" s="2">
        <v>10</v>
      </c>
      <c r="I1451" s="2">
        <v>306.08</v>
      </c>
      <c r="J1451" s="2">
        <v>25</v>
      </c>
      <c r="K1451" s="2" t="s">
        <v>24</v>
      </c>
      <c r="L1451" s="2" t="s">
        <v>42</v>
      </c>
    </row>
    <row r="1452" spans="1:12" x14ac:dyDescent="0.2">
      <c r="A1452" s="2">
        <v>100930</v>
      </c>
      <c r="B1452" s="18">
        <v>45426</v>
      </c>
      <c r="C1452" s="2" t="s">
        <v>345</v>
      </c>
      <c r="D1452" s="2" t="s">
        <v>37</v>
      </c>
      <c r="E1452" s="2" t="s">
        <v>69</v>
      </c>
      <c r="F1452" s="2" t="s">
        <v>106</v>
      </c>
      <c r="G1452" s="2" t="s">
        <v>103</v>
      </c>
      <c r="H1452" s="2">
        <v>5</v>
      </c>
      <c r="I1452" s="2">
        <v>2673.76</v>
      </c>
      <c r="J1452" s="2">
        <v>0</v>
      </c>
      <c r="K1452" s="2" t="s">
        <v>17</v>
      </c>
      <c r="L1452" s="2" t="s">
        <v>143</v>
      </c>
    </row>
    <row r="1453" spans="1:12" x14ac:dyDescent="0.2">
      <c r="A1453" s="2">
        <v>101651</v>
      </c>
      <c r="B1453" s="17">
        <v>45487</v>
      </c>
      <c r="C1453" s="2" t="s">
        <v>943</v>
      </c>
      <c r="D1453" s="2" t="s">
        <v>44</v>
      </c>
      <c r="E1453" s="2" t="s">
        <v>32</v>
      </c>
      <c r="F1453" s="2" t="s">
        <v>55</v>
      </c>
      <c r="G1453" s="2" t="s">
        <v>207</v>
      </c>
      <c r="H1453" s="2">
        <v>8</v>
      </c>
      <c r="I1453" s="2">
        <v>1139.47</v>
      </c>
      <c r="J1453" s="2">
        <v>0</v>
      </c>
      <c r="K1453" s="2" t="s">
        <v>29</v>
      </c>
      <c r="L1453" s="2" t="s">
        <v>18</v>
      </c>
    </row>
    <row r="1454" spans="1:12" x14ac:dyDescent="0.2">
      <c r="A1454" s="2">
        <v>101358</v>
      </c>
      <c r="B1454" s="2" t="s">
        <v>944</v>
      </c>
      <c r="C1454" s="2" t="s">
        <v>945</v>
      </c>
      <c r="D1454" s="2" t="s">
        <v>181</v>
      </c>
      <c r="E1454" s="2" t="s">
        <v>119</v>
      </c>
      <c r="F1454" s="2" t="s">
        <v>223</v>
      </c>
      <c r="G1454" s="2" t="s">
        <v>207</v>
      </c>
      <c r="H1454" s="2">
        <v>11</v>
      </c>
      <c r="I1454" s="2">
        <v>3934.55</v>
      </c>
      <c r="J1454" s="2"/>
      <c r="K1454" s="2" t="s">
        <v>17</v>
      </c>
      <c r="L1454" s="2" t="s">
        <v>143</v>
      </c>
    </row>
    <row r="1455" spans="1:12" x14ac:dyDescent="0.2">
      <c r="A1455" s="2">
        <v>100011</v>
      </c>
      <c r="B1455" s="17">
        <v>45568</v>
      </c>
      <c r="C1455" s="2" t="s">
        <v>224</v>
      </c>
      <c r="D1455" s="2" t="s">
        <v>95</v>
      </c>
      <c r="E1455" s="2" t="s">
        <v>133</v>
      </c>
      <c r="F1455" s="2" t="s">
        <v>191</v>
      </c>
      <c r="G1455" s="2" t="s">
        <v>205</v>
      </c>
      <c r="H1455" s="2">
        <v>8</v>
      </c>
      <c r="I1455" s="2">
        <v>8406.5400000000009</v>
      </c>
      <c r="J1455" s="2"/>
      <c r="K1455" s="2" t="s">
        <v>17</v>
      </c>
      <c r="L1455" s="2" t="s">
        <v>25</v>
      </c>
    </row>
    <row r="1456" spans="1:12" x14ac:dyDescent="0.2">
      <c r="A1456" s="2">
        <v>100832</v>
      </c>
      <c r="B1456" s="18">
        <v>45463</v>
      </c>
      <c r="C1456" s="2" t="s">
        <v>396</v>
      </c>
      <c r="D1456" s="2" t="s">
        <v>92</v>
      </c>
      <c r="E1456" s="2" t="s">
        <v>32</v>
      </c>
      <c r="F1456" s="2" t="s">
        <v>223</v>
      </c>
      <c r="G1456" s="2" t="s">
        <v>99</v>
      </c>
      <c r="H1456" s="2">
        <v>11</v>
      </c>
      <c r="I1456" s="2">
        <v>9768.1200000000008</v>
      </c>
      <c r="J1456" s="2">
        <v>10</v>
      </c>
      <c r="K1456" s="2" t="s">
        <v>29</v>
      </c>
      <c r="L1456" s="2" t="s">
        <v>25</v>
      </c>
    </row>
    <row r="1457" spans="1:12" x14ac:dyDescent="0.2">
      <c r="A1457" s="2">
        <v>100033</v>
      </c>
      <c r="B1457" s="17">
        <v>45446</v>
      </c>
      <c r="C1457" s="2" t="s">
        <v>452</v>
      </c>
      <c r="D1457" s="2" t="s">
        <v>73</v>
      </c>
      <c r="E1457" s="2" t="s">
        <v>49</v>
      </c>
      <c r="F1457" s="2" t="s">
        <v>96</v>
      </c>
      <c r="G1457" s="2" t="s">
        <v>46</v>
      </c>
      <c r="H1457" s="2">
        <v>9</v>
      </c>
      <c r="I1457" s="2">
        <v>10912.73</v>
      </c>
      <c r="J1457" s="2">
        <v>5</v>
      </c>
      <c r="K1457" s="2" t="s">
        <v>41</v>
      </c>
      <c r="L1457" s="2" t="s">
        <v>52</v>
      </c>
    </row>
    <row r="1458" spans="1:12" x14ac:dyDescent="0.2">
      <c r="A1458" s="2">
        <v>101785</v>
      </c>
      <c r="B1458" s="17">
        <v>45392</v>
      </c>
      <c r="C1458" s="2" t="s">
        <v>946</v>
      </c>
      <c r="D1458" s="2" t="s">
        <v>73</v>
      </c>
      <c r="E1458" s="2" t="s">
        <v>49</v>
      </c>
      <c r="F1458" s="2" t="s">
        <v>96</v>
      </c>
      <c r="G1458" s="2" t="s">
        <v>97</v>
      </c>
      <c r="H1458" s="2">
        <v>9</v>
      </c>
      <c r="I1458" s="2">
        <v>28117.39</v>
      </c>
      <c r="J1458" s="2"/>
      <c r="K1458" s="2" t="s">
        <v>17</v>
      </c>
      <c r="L1458" s="2" t="s">
        <v>35</v>
      </c>
    </row>
    <row r="1459" spans="1:12" x14ac:dyDescent="0.2">
      <c r="A1459" s="2">
        <v>100414</v>
      </c>
      <c r="B1459" s="2" t="s">
        <v>947</v>
      </c>
      <c r="C1459" s="2" t="s">
        <v>948</v>
      </c>
      <c r="D1459" s="2" t="s">
        <v>89</v>
      </c>
      <c r="E1459" s="2" t="s">
        <v>54</v>
      </c>
      <c r="F1459" s="2" t="s">
        <v>223</v>
      </c>
      <c r="G1459" s="2" t="s">
        <v>56</v>
      </c>
      <c r="H1459" s="2">
        <v>-2</v>
      </c>
      <c r="I1459" s="2">
        <v>6669.24</v>
      </c>
      <c r="J1459" s="2">
        <v>0.1</v>
      </c>
      <c r="K1459" s="2" t="s">
        <v>29</v>
      </c>
      <c r="L1459" s="2" t="s">
        <v>143</v>
      </c>
    </row>
    <row r="1460" spans="1:12" x14ac:dyDescent="0.2">
      <c r="A1460" s="2">
        <v>100581</v>
      </c>
      <c r="B1460" s="17">
        <v>45320</v>
      </c>
      <c r="C1460" s="2" t="s">
        <v>463</v>
      </c>
      <c r="D1460" s="2" t="s">
        <v>20</v>
      </c>
      <c r="E1460" s="2" t="s">
        <v>21</v>
      </c>
      <c r="F1460" s="2" t="s">
        <v>39</v>
      </c>
      <c r="G1460" s="2" t="s">
        <v>114</v>
      </c>
      <c r="H1460" s="2">
        <v>9</v>
      </c>
      <c r="I1460" s="2">
        <v>859.22</v>
      </c>
      <c r="J1460" s="2">
        <v>0</v>
      </c>
      <c r="K1460" s="2" t="s">
        <v>29</v>
      </c>
      <c r="L1460" s="2" t="s">
        <v>121</v>
      </c>
    </row>
    <row r="1461" spans="1:12" x14ac:dyDescent="0.2">
      <c r="A1461" s="2">
        <v>101407</v>
      </c>
      <c r="B1461" s="17">
        <v>45391</v>
      </c>
      <c r="C1461" s="2" t="s">
        <v>949</v>
      </c>
      <c r="D1461" s="2" t="s">
        <v>13</v>
      </c>
      <c r="E1461" s="2" t="s">
        <v>14</v>
      </c>
      <c r="F1461" s="2" t="s">
        <v>45</v>
      </c>
      <c r="G1461" s="2" t="s">
        <v>153</v>
      </c>
      <c r="H1461" s="2">
        <v>7</v>
      </c>
      <c r="I1461" s="2">
        <v>1764.1</v>
      </c>
      <c r="J1461" s="2">
        <v>20</v>
      </c>
      <c r="K1461" s="2" t="s">
        <v>29</v>
      </c>
      <c r="L1461" s="2" t="s">
        <v>42</v>
      </c>
    </row>
    <row r="1462" spans="1:12" x14ac:dyDescent="0.2">
      <c r="A1462" s="2">
        <v>101568</v>
      </c>
      <c r="B1462" s="2" t="s">
        <v>950</v>
      </c>
      <c r="C1462" s="2" t="s">
        <v>63</v>
      </c>
      <c r="D1462" s="2" t="s">
        <v>160</v>
      </c>
      <c r="E1462" s="2" t="s">
        <v>79</v>
      </c>
      <c r="F1462" s="2" t="s">
        <v>50</v>
      </c>
      <c r="G1462" s="2" t="s">
        <v>99</v>
      </c>
      <c r="H1462" s="2">
        <v>10</v>
      </c>
      <c r="I1462" s="2">
        <v>6764.64</v>
      </c>
      <c r="J1462" s="2">
        <v>15</v>
      </c>
      <c r="K1462" s="2" t="s">
        <v>24</v>
      </c>
      <c r="L1462" s="2" t="s">
        <v>35</v>
      </c>
    </row>
    <row r="1463" spans="1:12" x14ac:dyDescent="0.2">
      <c r="A1463" s="2">
        <v>101507</v>
      </c>
      <c r="B1463" s="2" t="s">
        <v>248</v>
      </c>
      <c r="C1463" s="2" t="s">
        <v>844</v>
      </c>
      <c r="D1463" s="2" t="s">
        <v>109</v>
      </c>
      <c r="E1463" s="2" t="s">
        <v>21</v>
      </c>
      <c r="F1463" s="2" t="s">
        <v>39</v>
      </c>
      <c r="G1463" s="2" t="s">
        <v>40</v>
      </c>
      <c r="H1463" s="2">
        <v>12</v>
      </c>
      <c r="I1463" s="2">
        <v>238.23</v>
      </c>
      <c r="J1463" s="2">
        <v>0.05</v>
      </c>
      <c r="K1463" s="2" t="s">
        <v>66</v>
      </c>
      <c r="L1463" s="2" t="s">
        <v>87</v>
      </c>
    </row>
    <row r="1464" spans="1:12" x14ac:dyDescent="0.2">
      <c r="A1464" s="2">
        <v>101926</v>
      </c>
      <c r="B1464" s="17">
        <v>45415</v>
      </c>
      <c r="C1464" s="2" t="s">
        <v>410</v>
      </c>
      <c r="D1464" s="2" t="s">
        <v>20</v>
      </c>
      <c r="E1464" s="2" t="s">
        <v>21</v>
      </c>
      <c r="F1464" s="2" t="s">
        <v>120</v>
      </c>
      <c r="G1464" s="2" t="s">
        <v>145</v>
      </c>
      <c r="H1464" s="2">
        <v>1</v>
      </c>
      <c r="I1464" s="2">
        <v>1853.27</v>
      </c>
      <c r="J1464" s="2">
        <v>15</v>
      </c>
      <c r="K1464" s="2" t="s">
        <v>83</v>
      </c>
      <c r="L1464" s="2" t="s">
        <v>143</v>
      </c>
    </row>
    <row r="1465" spans="1:12" x14ac:dyDescent="0.2">
      <c r="A1465" s="2">
        <v>100615</v>
      </c>
      <c r="B1465" s="17">
        <v>45489</v>
      </c>
      <c r="C1465" s="2" t="s">
        <v>30</v>
      </c>
      <c r="D1465" s="2" t="s">
        <v>13</v>
      </c>
      <c r="E1465" s="2" t="s">
        <v>14</v>
      </c>
      <c r="F1465" s="2" t="s">
        <v>102</v>
      </c>
      <c r="G1465" s="2" t="s">
        <v>137</v>
      </c>
      <c r="H1465" s="2">
        <v>11</v>
      </c>
      <c r="I1465" s="2">
        <v>1294.48</v>
      </c>
      <c r="J1465" s="2">
        <v>0.15</v>
      </c>
      <c r="K1465" s="2" t="s">
        <v>83</v>
      </c>
      <c r="L1465" s="2" t="s">
        <v>42</v>
      </c>
    </row>
    <row r="1466" spans="1:12" x14ac:dyDescent="0.2">
      <c r="A1466" s="2">
        <v>101046</v>
      </c>
      <c r="B1466" s="17">
        <v>45511</v>
      </c>
      <c r="C1466" s="2" t="s">
        <v>951</v>
      </c>
      <c r="D1466" s="2" t="s">
        <v>61</v>
      </c>
      <c r="E1466" s="2" t="s">
        <v>119</v>
      </c>
      <c r="F1466" s="2" t="s">
        <v>223</v>
      </c>
      <c r="G1466" s="2" t="s">
        <v>99</v>
      </c>
      <c r="H1466" s="2">
        <v>9</v>
      </c>
      <c r="I1466" s="2">
        <v>1355.21</v>
      </c>
      <c r="J1466" s="2">
        <v>0.05</v>
      </c>
      <c r="K1466" s="2" t="s">
        <v>83</v>
      </c>
      <c r="L1466" s="2" t="s">
        <v>25</v>
      </c>
    </row>
    <row r="1467" spans="1:12" x14ac:dyDescent="0.2">
      <c r="A1467" s="2">
        <v>101403</v>
      </c>
      <c r="B1467" s="2" t="s">
        <v>952</v>
      </c>
      <c r="C1467" s="2"/>
      <c r="D1467" s="2" t="s">
        <v>101</v>
      </c>
      <c r="E1467" s="2" t="s">
        <v>38</v>
      </c>
      <c r="F1467" s="2" t="s">
        <v>33</v>
      </c>
      <c r="G1467" s="2" t="s">
        <v>34</v>
      </c>
      <c r="H1467" s="2">
        <v>2</v>
      </c>
      <c r="I1467" s="2"/>
      <c r="J1467" s="2">
        <v>0.1</v>
      </c>
      <c r="K1467" s="2" t="s">
        <v>24</v>
      </c>
      <c r="L1467" s="2" t="s">
        <v>121</v>
      </c>
    </row>
    <row r="1468" spans="1:12" x14ac:dyDescent="0.2">
      <c r="A1468" s="2">
        <v>101015</v>
      </c>
      <c r="B1468" s="17">
        <v>45424</v>
      </c>
      <c r="C1468" s="2" t="s">
        <v>26</v>
      </c>
      <c r="D1468" s="2" t="s">
        <v>61</v>
      </c>
      <c r="E1468" s="2" t="s">
        <v>14</v>
      </c>
      <c r="F1468" s="2" t="s">
        <v>33</v>
      </c>
      <c r="G1468" s="2" t="s">
        <v>81</v>
      </c>
      <c r="H1468" s="2">
        <v>10</v>
      </c>
      <c r="I1468" s="2">
        <v>324.7</v>
      </c>
      <c r="J1468" s="2">
        <v>0.15</v>
      </c>
      <c r="K1468" s="2" t="s">
        <v>66</v>
      </c>
      <c r="L1468" s="2" t="s">
        <v>121</v>
      </c>
    </row>
    <row r="1469" spans="1:12" x14ac:dyDescent="0.2">
      <c r="A1469" s="2">
        <v>100090</v>
      </c>
      <c r="B1469" s="18">
        <v>45640</v>
      </c>
      <c r="C1469" s="2" t="s">
        <v>953</v>
      </c>
      <c r="D1469" s="2" t="s">
        <v>89</v>
      </c>
      <c r="E1469" s="2" t="s">
        <v>32</v>
      </c>
      <c r="F1469" s="2" t="s">
        <v>33</v>
      </c>
      <c r="G1469" s="2" t="s">
        <v>158</v>
      </c>
      <c r="H1469" s="2">
        <v>7</v>
      </c>
      <c r="I1469" s="2">
        <v>349.71</v>
      </c>
      <c r="J1469" s="2">
        <v>0.15</v>
      </c>
      <c r="K1469" s="2" t="s">
        <v>66</v>
      </c>
      <c r="L1469" s="2" t="s">
        <v>52</v>
      </c>
    </row>
    <row r="1470" spans="1:12" x14ac:dyDescent="0.2">
      <c r="A1470" s="2">
        <v>101720</v>
      </c>
      <c r="B1470" s="2" t="s">
        <v>597</v>
      </c>
      <c r="C1470" s="2" t="s">
        <v>388</v>
      </c>
      <c r="D1470" s="2" t="s">
        <v>109</v>
      </c>
      <c r="E1470" s="2" t="s">
        <v>133</v>
      </c>
      <c r="F1470" s="2" t="s">
        <v>191</v>
      </c>
      <c r="G1470" s="2" t="s">
        <v>205</v>
      </c>
      <c r="H1470" s="2">
        <v>3</v>
      </c>
      <c r="I1470" s="2" t="s">
        <v>954</v>
      </c>
      <c r="J1470" s="2">
        <v>0.2</v>
      </c>
      <c r="K1470" s="2" t="s">
        <v>29</v>
      </c>
      <c r="L1470" s="2" t="s">
        <v>143</v>
      </c>
    </row>
    <row r="1471" spans="1:12" x14ac:dyDescent="0.2">
      <c r="A1471" s="2">
        <v>100602</v>
      </c>
      <c r="B1471" s="17">
        <v>45385</v>
      </c>
      <c r="C1471" s="2" t="s">
        <v>955</v>
      </c>
      <c r="D1471" s="2" t="s">
        <v>58</v>
      </c>
      <c r="E1471" s="2" t="s">
        <v>69</v>
      </c>
      <c r="F1471" s="2" t="s">
        <v>124</v>
      </c>
      <c r="G1471" s="2" t="s">
        <v>99</v>
      </c>
      <c r="H1471" s="2">
        <v>1</v>
      </c>
      <c r="I1471" s="2">
        <v>5584.43</v>
      </c>
      <c r="J1471" s="2">
        <v>0</v>
      </c>
      <c r="K1471" s="2" t="s">
        <v>24</v>
      </c>
      <c r="L1471" s="2" t="s">
        <v>18</v>
      </c>
    </row>
    <row r="1472" spans="1:12" x14ac:dyDescent="0.2">
      <c r="A1472" s="2">
        <v>101238</v>
      </c>
      <c r="B1472" s="17">
        <v>45547</v>
      </c>
      <c r="C1472" s="2" t="s">
        <v>123</v>
      </c>
      <c r="D1472" s="2" t="s">
        <v>85</v>
      </c>
      <c r="E1472" s="2" t="s">
        <v>14</v>
      </c>
      <c r="F1472" s="2" t="s">
        <v>74</v>
      </c>
      <c r="G1472" s="2" t="s">
        <v>141</v>
      </c>
      <c r="H1472" s="2">
        <v>6</v>
      </c>
      <c r="I1472" s="2">
        <v>1702.98</v>
      </c>
      <c r="J1472" s="2">
        <v>0</v>
      </c>
      <c r="K1472" s="2" t="s">
        <v>41</v>
      </c>
      <c r="L1472" s="2" t="s">
        <v>25</v>
      </c>
    </row>
    <row r="1473" spans="1:12" x14ac:dyDescent="0.2">
      <c r="A1473" s="2">
        <v>101858</v>
      </c>
      <c r="B1473" s="17">
        <v>45486</v>
      </c>
      <c r="C1473" s="2" t="s">
        <v>287</v>
      </c>
      <c r="D1473" s="2" t="s">
        <v>13</v>
      </c>
      <c r="E1473" s="2" t="s">
        <v>119</v>
      </c>
      <c r="F1473" s="2" t="s">
        <v>15</v>
      </c>
      <c r="G1473" s="2" t="s">
        <v>59</v>
      </c>
      <c r="H1473" s="2">
        <v>10</v>
      </c>
      <c r="I1473" s="2">
        <v>19414.87</v>
      </c>
      <c r="J1473" s="2">
        <v>0.15</v>
      </c>
      <c r="K1473" s="2" t="s">
        <v>66</v>
      </c>
      <c r="L1473" s="2" t="s">
        <v>87</v>
      </c>
    </row>
    <row r="1474" spans="1:12" x14ac:dyDescent="0.2">
      <c r="A1474" s="2">
        <v>100134</v>
      </c>
      <c r="B1474" s="17">
        <v>45533</v>
      </c>
      <c r="C1474" s="2" t="s">
        <v>465</v>
      </c>
      <c r="D1474" s="2" t="s">
        <v>31</v>
      </c>
      <c r="E1474" s="2" t="s">
        <v>32</v>
      </c>
      <c r="F1474" s="2" t="s">
        <v>39</v>
      </c>
      <c r="G1474" s="2" t="s">
        <v>292</v>
      </c>
      <c r="H1474" s="2">
        <v>6</v>
      </c>
      <c r="I1474" s="2"/>
      <c r="J1474" s="2">
        <v>0.2</v>
      </c>
      <c r="K1474" s="2" t="s">
        <v>41</v>
      </c>
      <c r="L1474" s="2" t="s">
        <v>143</v>
      </c>
    </row>
    <row r="1475" spans="1:12" x14ac:dyDescent="0.2">
      <c r="A1475" s="2">
        <v>101371</v>
      </c>
      <c r="B1475" s="18">
        <v>45559</v>
      </c>
      <c r="C1475" s="2" t="s">
        <v>128</v>
      </c>
      <c r="D1475" s="2" t="s">
        <v>160</v>
      </c>
      <c r="E1475" s="2" t="s">
        <v>49</v>
      </c>
      <c r="F1475" s="2" t="s">
        <v>70</v>
      </c>
      <c r="G1475" s="2" t="s">
        <v>97</v>
      </c>
      <c r="H1475" s="2">
        <v>5</v>
      </c>
      <c r="I1475" s="2">
        <v>26138.12</v>
      </c>
      <c r="J1475" s="2">
        <v>0.25</v>
      </c>
      <c r="K1475" s="2" t="s">
        <v>24</v>
      </c>
      <c r="L1475" s="2" t="s">
        <v>18</v>
      </c>
    </row>
    <row r="1476" spans="1:12" x14ac:dyDescent="0.2">
      <c r="A1476" s="2">
        <v>100556</v>
      </c>
      <c r="B1476" s="18">
        <v>45497</v>
      </c>
      <c r="C1476" s="2" t="s">
        <v>314</v>
      </c>
      <c r="D1476" s="2" t="s">
        <v>13</v>
      </c>
      <c r="E1476" s="2" t="s">
        <v>119</v>
      </c>
      <c r="F1476" s="2" t="s">
        <v>39</v>
      </c>
      <c r="G1476" s="2" t="s">
        <v>40</v>
      </c>
      <c r="H1476" s="2">
        <v>8</v>
      </c>
      <c r="I1476" s="2">
        <v>554.54</v>
      </c>
      <c r="J1476" s="2">
        <v>0.15</v>
      </c>
      <c r="K1476" s="2" t="s">
        <v>66</v>
      </c>
      <c r="L1476" s="2" t="s">
        <v>87</v>
      </c>
    </row>
    <row r="1477" spans="1:12" x14ac:dyDescent="0.2">
      <c r="A1477" s="2">
        <v>101032</v>
      </c>
      <c r="B1477" s="18">
        <v>45379</v>
      </c>
      <c r="C1477" s="2" t="s">
        <v>728</v>
      </c>
      <c r="D1477" s="2" t="s">
        <v>61</v>
      </c>
      <c r="E1477" s="2" t="s">
        <v>119</v>
      </c>
      <c r="F1477" s="2" t="s">
        <v>33</v>
      </c>
      <c r="G1477" s="2" t="s">
        <v>81</v>
      </c>
      <c r="H1477" s="2">
        <v>8</v>
      </c>
      <c r="I1477" s="2"/>
      <c r="J1477" s="2">
        <v>0.05</v>
      </c>
      <c r="K1477" s="2" t="s">
        <v>66</v>
      </c>
      <c r="L1477" s="2" t="s">
        <v>143</v>
      </c>
    </row>
    <row r="1478" spans="1:12" x14ac:dyDescent="0.2">
      <c r="A1478" s="2">
        <v>101584</v>
      </c>
      <c r="B1478" s="17">
        <v>45332</v>
      </c>
      <c r="C1478" s="2" t="s">
        <v>956</v>
      </c>
      <c r="D1478" s="2" t="s">
        <v>109</v>
      </c>
      <c r="E1478" s="2" t="s">
        <v>21</v>
      </c>
      <c r="F1478" s="2" t="s">
        <v>55</v>
      </c>
      <c r="G1478" s="2" t="s">
        <v>99</v>
      </c>
      <c r="H1478" s="2">
        <v>11</v>
      </c>
      <c r="I1478" s="2">
        <v>9398.9599999999991</v>
      </c>
      <c r="J1478" s="2">
        <v>0</v>
      </c>
      <c r="K1478" s="2" t="s">
        <v>17</v>
      </c>
      <c r="L1478" s="2" t="s">
        <v>121</v>
      </c>
    </row>
    <row r="1479" spans="1:12" x14ac:dyDescent="0.2">
      <c r="A1479" s="2">
        <v>100321</v>
      </c>
      <c r="B1479" s="18">
        <v>45503</v>
      </c>
      <c r="C1479" s="2" t="s">
        <v>302</v>
      </c>
      <c r="D1479" s="2" t="s">
        <v>58</v>
      </c>
      <c r="E1479" s="2" t="s">
        <v>38</v>
      </c>
      <c r="F1479" s="2" t="s">
        <v>106</v>
      </c>
      <c r="G1479" s="2" t="s">
        <v>135</v>
      </c>
      <c r="H1479" s="2">
        <v>5</v>
      </c>
      <c r="I1479" s="2">
        <v>2349.9499999999998</v>
      </c>
      <c r="J1479" s="2">
        <v>0</v>
      </c>
      <c r="K1479" s="2" t="s">
        <v>66</v>
      </c>
      <c r="L1479" s="2" t="s">
        <v>42</v>
      </c>
    </row>
    <row r="1480" spans="1:12" x14ac:dyDescent="0.2">
      <c r="A1480" s="2">
        <v>101791</v>
      </c>
      <c r="B1480" s="18">
        <v>45612</v>
      </c>
      <c r="C1480" s="2" t="s">
        <v>614</v>
      </c>
      <c r="D1480" s="2" t="s">
        <v>13</v>
      </c>
      <c r="E1480" s="2" t="s">
        <v>119</v>
      </c>
      <c r="F1480" s="2" t="s">
        <v>96</v>
      </c>
      <c r="G1480" s="2" t="s">
        <v>153</v>
      </c>
      <c r="H1480" s="2">
        <v>8</v>
      </c>
      <c r="I1480" s="2">
        <v>20375.43</v>
      </c>
      <c r="J1480" s="2">
        <v>0</v>
      </c>
      <c r="K1480" s="2" t="s">
        <v>17</v>
      </c>
      <c r="L1480" s="2" t="s">
        <v>121</v>
      </c>
    </row>
    <row r="1481" spans="1:12" x14ac:dyDescent="0.2">
      <c r="A1481" s="2">
        <v>101212</v>
      </c>
      <c r="B1481" s="18">
        <v>45363</v>
      </c>
      <c r="C1481" s="2" t="s">
        <v>861</v>
      </c>
      <c r="D1481" s="2" t="s">
        <v>37</v>
      </c>
      <c r="E1481" s="2" t="s">
        <v>38</v>
      </c>
      <c r="F1481" s="2" t="s">
        <v>80</v>
      </c>
      <c r="G1481" s="2" t="s">
        <v>34</v>
      </c>
      <c r="H1481" s="2">
        <v>7</v>
      </c>
      <c r="I1481" s="2">
        <v>470.73</v>
      </c>
      <c r="J1481" s="2">
        <v>0.05</v>
      </c>
      <c r="K1481" s="2" t="s">
        <v>41</v>
      </c>
      <c r="L1481" s="2" t="s">
        <v>35</v>
      </c>
    </row>
    <row r="1482" spans="1:12" x14ac:dyDescent="0.2">
      <c r="A1482" s="2">
        <v>101758</v>
      </c>
      <c r="B1482" s="2" t="s">
        <v>957</v>
      </c>
      <c r="C1482" s="2"/>
      <c r="D1482" s="2" t="s">
        <v>160</v>
      </c>
      <c r="E1482" s="2" t="s">
        <v>49</v>
      </c>
      <c r="F1482" s="2" t="s">
        <v>102</v>
      </c>
      <c r="G1482" s="2" t="s">
        <v>137</v>
      </c>
      <c r="H1482" s="2">
        <v>7</v>
      </c>
      <c r="I1482" s="2">
        <v>3496.56</v>
      </c>
      <c r="J1482" s="2">
        <v>0.1</v>
      </c>
      <c r="K1482" s="2" t="s">
        <v>83</v>
      </c>
      <c r="L1482" s="2" t="s">
        <v>121</v>
      </c>
    </row>
    <row r="1483" spans="1:12" x14ac:dyDescent="0.2">
      <c r="A1483" s="2">
        <v>100635</v>
      </c>
      <c r="B1483" s="17">
        <v>45524</v>
      </c>
      <c r="C1483" s="2" t="s">
        <v>244</v>
      </c>
      <c r="D1483" s="2" t="s">
        <v>61</v>
      </c>
      <c r="E1483" s="2" t="s">
        <v>119</v>
      </c>
      <c r="F1483" s="2" t="s">
        <v>80</v>
      </c>
      <c r="G1483" s="2" t="s">
        <v>93</v>
      </c>
      <c r="H1483" s="2">
        <v>12</v>
      </c>
      <c r="I1483" s="2">
        <v>191.01</v>
      </c>
      <c r="J1483" s="2">
        <v>0.1</v>
      </c>
      <c r="K1483" s="2" t="s">
        <v>17</v>
      </c>
      <c r="L1483" s="2" t="s">
        <v>121</v>
      </c>
    </row>
    <row r="1484" spans="1:12" x14ac:dyDescent="0.2">
      <c r="A1484" s="2">
        <v>100553</v>
      </c>
      <c r="B1484" s="18">
        <v>45588</v>
      </c>
      <c r="C1484" s="2" t="s">
        <v>764</v>
      </c>
      <c r="D1484" s="2" t="s">
        <v>44</v>
      </c>
      <c r="E1484" s="2" t="s">
        <v>32</v>
      </c>
      <c r="F1484" s="2" t="s">
        <v>22</v>
      </c>
      <c r="G1484" s="2" t="s">
        <v>145</v>
      </c>
      <c r="H1484" s="2">
        <v>4</v>
      </c>
      <c r="I1484" s="2">
        <v>1378.18</v>
      </c>
      <c r="J1484" s="2">
        <v>25</v>
      </c>
      <c r="K1484" s="2" t="s">
        <v>17</v>
      </c>
      <c r="L1484" s="2" t="s">
        <v>143</v>
      </c>
    </row>
    <row r="1485" spans="1:12" x14ac:dyDescent="0.2">
      <c r="A1485" s="2">
        <v>101329</v>
      </c>
      <c r="B1485" s="2" t="s">
        <v>958</v>
      </c>
      <c r="C1485" s="2" t="s">
        <v>314</v>
      </c>
      <c r="D1485" s="2" t="s">
        <v>160</v>
      </c>
      <c r="E1485" s="2" t="s">
        <v>49</v>
      </c>
      <c r="F1485" s="2" t="s">
        <v>191</v>
      </c>
      <c r="G1485" s="2" t="s">
        <v>59</v>
      </c>
      <c r="H1485" s="2">
        <v>10</v>
      </c>
      <c r="I1485" s="2">
        <v>23660.07</v>
      </c>
      <c r="J1485" s="2">
        <v>0.05</v>
      </c>
      <c r="K1485" s="2" t="s">
        <v>24</v>
      </c>
      <c r="L1485" s="2" t="s">
        <v>35</v>
      </c>
    </row>
    <row r="1486" spans="1:12" x14ac:dyDescent="0.2">
      <c r="A1486" s="2">
        <v>101056</v>
      </c>
      <c r="B1486" s="18">
        <v>45506</v>
      </c>
      <c r="C1486" s="2" t="s">
        <v>199</v>
      </c>
      <c r="D1486" s="2" t="s">
        <v>101</v>
      </c>
      <c r="E1486" s="2" t="s">
        <v>69</v>
      </c>
      <c r="F1486" s="2" t="s">
        <v>50</v>
      </c>
      <c r="G1486" s="2" t="s">
        <v>207</v>
      </c>
      <c r="H1486" s="2">
        <v>6</v>
      </c>
      <c r="I1486" s="2">
        <v>5979.84</v>
      </c>
      <c r="J1486" s="2"/>
      <c r="K1486" s="2" t="s">
        <v>29</v>
      </c>
      <c r="L1486" s="2" t="s">
        <v>25</v>
      </c>
    </row>
    <row r="1487" spans="1:12" x14ac:dyDescent="0.2">
      <c r="A1487" s="2">
        <v>101577</v>
      </c>
      <c r="B1487" s="18">
        <v>45605</v>
      </c>
      <c r="C1487" s="2" t="s">
        <v>959</v>
      </c>
      <c r="D1487" s="2" t="s">
        <v>58</v>
      </c>
      <c r="E1487" s="2" t="s">
        <v>38</v>
      </c>
      <c r="F1487" s="2" t="s">
        <v>70</v>
      </c>
      <c r="G1487" s="2" t="s">
        <v>97</v>
      </c>
      <c r="H1487" s="2">
        <v>11</v>
      </c>
      <c r="I1487" s="2">
        <v>43099.55</v>
      </c>
      <c r="J1487" s="2"/>
      <c r="K1487" s="2" t="s">
        <v>66</v>
      </c>
      <c r="L1487" s="2" t="s">
        <v>87</v>
      </c>
    </row>
    <row r="1488" spans="1:12" x14ac:dyDescent="0.2">
      <c r="A1488" s="2">
        <v>100797</v>
      </c>
      <c r="B1488" s="18">
        <v>45654</v>
      </c>
      <c r="C1488" s="2" t="s">
        <v>201</v>
      </c>
      <c r="D1488" s="2" t="s">
        <v>73</v>
      </c>
      <c r="E1488" s="2" t="s">
        <v>79</v>
      </c>
      <c r="F1488" s="2" t="s">
        <v>64</v>
      </c>
      <c r="G1488" s="2" t="s">
        <v>242</v>
      </c>
      <c r="H1488" s="2">
        <v>8</v>
      </c>
      <c r="I1488" s="2">
        <v>97.12</v>
      </c>
      <c r="J1488" s="2">
        <v>0</v>
      </c>
      <c r="K1488" s="2" t="s">
        <v>66</v>
      </c>
      <c r="L1488" s="2" t="s">
        <v>42</v>
      </c>
    </row>
    <row r="1489" spans="1:12" x14ac:dyDescent="0.2">
      <c r="A1489" s="2">
        <v>101681</v>
      </c>
      <c r="B1489" s="17">
        <v>45420</v>
      </c>
      <c r="C1489" s="2" t="s">
        <v>398</v>
      </c>
      <c r="D1489" s="2" t="s">
        <v>101</v>
      </c>
      <c r="E1489" s="2" t="s">
        <v>69</v>
      </c>
      <c r="F1489" s="2" t="s">
        <v>64</v>
      </c>
      <c r="G1489" s="2" t="s">
        <v>292</v>
      </c>
      <c r="H1489" s="2">
        <v>5</v>
      </c>
      <c r="I1489" s="2">
        <v>176.85</v>
      </c>
      <c r="J1489" s="2">
        <v>0.15</v>
      </c>
      <c r="K1489" s="2" t="s">
        <v>24</v>
      </c>
      <c r="L1489" s="2" t="s">
        <v>42</v>
      </c>
    </row>
    <row r="1490" spans="1:12" x14ac:dyDescent="0.2">
      <c r="A1490" s="2">
        <v>101265</v>
      </c>
      <c r="B1490" s="2" t="s">
        <v>942</v>
      </c>
      <c r="C1490" s="2" t="s">
        <v>335</v>
      </c>
      <c r="D1490" s="2" t="s">
        <v>131</v>
      </c>
      <c r="E1490" s="2" t="s">
        <v>133</v>
      </c>
      <c r="F1490" s="2" t="s">
        <v>70</v>
      </c>
      <c r="G1490" s="2" t="s">
        <v>111</v>
      </c>
      <c r="H1490" s="2">
        <v>8</v>
      </c>
      <c r="I1490" s="2">
        <v>24862.080000000002</v>
      </c>
      <c r="J1490" s="2">
        <v>0</v>
      </c>
      <c r="K1490" s="2" t="s">
        <v>24</v>
      </c>
      <c r="L1490" s="2" t="s">
        <v>121</v>
      </c>
    </row>
    <row r="1491" spans="1:12" x14ac:dyDescent="0.2">
      <c r="A1491" s="2">
        <v>101731</v>
      </c>
      <c r="B1491" s="17">
        <v>45455</v>
      </c>
      <c r="C1491" s="2" t="s">
        <v>400</v>
      </c>
      <c r="D1491" s="2" t="s">
        <v>181</v>
      </c>
      <c r="E1491" s="2" t="s">
        <v>14</v>
      </c>
      <c r="F1491" s="2" t="s">
        <v>28</v>
      </c>
      <c r="G1491" s="2" t="s">
        <v>16</v>
      </c>
      <c r="H1491" s="2">
        <v>9</v>
      </c>
      <c r="I1491" s="2">
        <v>20397.93</v>
      </c>
      <c r="J1491" s="2">
        <v>25</v>
      </c>
      <c r="K1491" s="2" t="s">
        <v>41</v>
      </c>
      <c r="L1491" s="2" t="s">
        <v>25</v>
      </c>
    </row>
    <row r="1492" spans="1:12" x14ac:dyDescent="0.2">
      <c r="A1492" s="2">
        <v>100175</v>
      </c>
      <c r="B1492" s="17">
        <v>45536</v>
      </c>
      <c r="C1492" s="2" t="s">
        <v>500</v>
      </c>
      <c r="D1492" s="2" t="s">
        <v>95</v>
      </c>
      <c r="E1492" s="2" t="s">
        <v>133</v>
      </c>
      <c r="F1492" s="2" t="s">
        <v>74</v>
      </c>
      <c r="G1492" s="2" t="s">
        <v>145</v>
      </c>
      <c r="H1492" s="2">
        <v>6</v>
      </c>
      <c r="I1492" s="2">
        <v>1231.76</v>
      </c>
      <c r="J1492" s="2">
        <v>25</v>
      </c>
      <c r="K1492" s="2" t="s">
        <v>41</v>
      </c>
      <c r="L1492" s="2" t="s">
        <v>121</v>
      </c>
    </row>
    <row r="1493" spans="1:12" x14ac:dyDescent="0.2">
      <c r="A1493" s="2">
        <v>100767</v>
      </c>
      <c r="B1493" s="17">
        <v>45305</v>
      </c>
      <c r="C1493" s="2" t="s">
        <v>960</v>
      </c>
      <c r="D1493" s="2" t="s">
        <v>181</v>
      </c>
      <c r="E1493" s="2" t="s">
        <v>14</v>
      </c>
      <c r="F1493" s="2" t="s">
        <v>45</v>
      </c>
      <c r="G1493" s="2" t="s">
        <v>149</v>
      </c>
      <c r="H1493" s="2">
        <v>2</v>
      </c>
      <c r="I1493" s="2">
        <v>37766.400000000001</v>
      </c>
      <c r="J1493" s="2">
        <v>0.15</v>
      </c>
      <c r="K1493" s="2" t="s">
        <v>83</v>
      </c>
      <c r="L1493" s="2" t="s">
        <v>87</v>
      </c>
    </row>
    <row r="1494" spans="1:12" x14ac:dyDescent="0.2">
      <c r="A1494" s="2">
        <v>100246</v>
      </c>
      <c r="B1494" s="17">
        <v>45396</v>
      </c>
      <c r="C1494" s="2" t="s">
        <v>578</v>
      </c>
      <c r="D1494" s="2" t="s">
        <v>109</v>
      </c>
      <c r="E1494" s="2" t="s">
        <v>133</v>
      </c>
      <c r="F1494" s="2" t="s">
        <v>64</v>
      </c>
      <c r="G1494" s="2" t="s">
        <v>242</v>
      </c>
      <c r="H1494" s="2">
        <v>1</v>
      </c>
      <c r="I1494" s="2" t="s">
        <v>961</v>
      </c>
      <c r="J1494" s="2">
        <v>0.05</v>
      </c>
      <c r="K1494" s="2" t="s">
        <v>83</v>
      </c>
      <c r="L1494" s="2" t="s">
        <v>35</v>
      </c>
    </row>
    <row r="1495" spans="1:12" x14ac:dyDescent="0.2">
      <c r="A1495" s="2">
        <v>101081</v>
      </c>
      <c r="B1495" s="2" t="s">
        <v>305</v>
      </c>
      <c r="C1495" s="2" t="s">
        <v>88</v>
      </c>
      <c r="D1495" s="2" t="s">
        <v>73</v>
      </c>
      <c r="E1495" s="2" t="s">
        <v>79</v>
      </c>
      <c r="F1495" s="2" t="s">
        <v>80</v>
      </c>
      <c r="G1495" s="2" t="s">
        <v>81</v>
      </c>
      <c r="H1495" s="2">
        <v>1</v>
      </c>
      <c r="I1495" s="2">
        <v>507.33</v>
      </c>
      <c r="J1495" s="2">
        <v>0</v>
      </c>
      <c r="K1495" s="2" t="s">
        <v>66</v>
      </c>
      <c r="L1495" s="2" t="s">
        <v>52</v>
      </c>
    </row>
    <row r="1496" spans="1:12" x14ac:dyDescent="0.2">
      <c r="A1496" s="2">
        <v>101757</v>
      </c>
      <c r="B1496" s="17">
        <v>45600</v>
      </c>
      <c r="C1496" s="2" t="s">
        <v>962</v>
      </c>
      <c r="D1496" s="2" t="s">
        <v>27</v>
      </c>
      <c r="E1496" s="2" t="s">
        <v>21</v>
      </c>
      <c r="F1496" s="2" t="s">
        <v>28</v>
      </c>
      <c r="G1496" s="2" t="s">
        <v>59</v>
      </c>
      <c r="H1496" s="2">
        <v>2</v>
      </c>
      <c r="I1496" s="2">
        <v>13666.69</v>
      </c>
      <c r="J1496" s="2">
        <v>0.1</v>
      </c>
      <c r="K1496" s="2" t="s">
        <v>66</v>
      </c>
      <c r="L1496" s="2" t="s">
        <v>18</v>
      </c>
    </row>
    <row r="1497" spans="1:12" x14ac:dyDescent="0.2">
      <c r="A1497" s="2">
        <v>100146</v>
      </c>
      <c r="B1497" s="17">
        <v>45301</v>
      </c>
      <c r="C1497" s="2" t="s">
        <v>400</v>
      </c>
      <c r="D1497" s="2" t="s">
        <v>13</v>
      </c>
      <c r="E1497" s="2" t="s">
        <v>14</v>
      </c>
      <c r="F1497" s="2" t="s">
        <v>113</v>
      </c>
      <c r="G1497" s="2" t="s">
        <v>292</v>
      </c>
      <c r="H1497" s="2">
        <v>7</v>
      </c>
      <c r="I1497" s="2">
        <v>457.18</v>
      </c>
      <c r="J1497" s="2">
        <v>0.05</v>
      </c>
      <c r="K1497" s="2" t="s">
        <v>83</v>
      </c>
      <c r="L1497" s="2" t="s">
        <v>18</v>
      </c>
    </row>
    <row r="1498" spans="1:12" x14ac:dyDescent="0.2">
      <c r="A1498" s="2">
        <v>100091</v>
      </c>
      <c r="B1498" s="2" t="s">
        <v>489</v>
      </c>
      <c r="C1498" s="2" t="s">
        <v>654</v>
      </c>
      <c r="D1498" s="2" t="s">
        <v>20</v>
      </c>
      <c r="E1498" s="2" t="s">
        <v>133</v>
      </c>
      <c r="F1498" s="2" t="s">
        <v>33</v>
      </c>
      <c r="G1498" s="2" t="s">
        <v>93</v>
      </c>
      <c r="H1498" s="2">
        <v>12</v>
      </c>
      <c r="I1498" s="2">
        <v>210.71</v>
      </c>
      <c r="J1498" s="2">
        <v>0.2</v>
      </c>
      <c r="K1498" s="2" t="s">
        <v>83</v>
      </c>
      <c r="L1498" s="2" t="s">
        <v>35</v>
      </c>
    </row>
    <row r="1499" spans="1:12" x14ac:dyDescent="0.2">
      <c r="A1499" s="2">
        <v>101417</v>
      </c>
      <c r="B1499" s="18">
        <v>45522</v>
      </c>
      <c r="C1499" s="2" t="s">
        <v>644</v>
      </c>
      <c r="D1499" s="2" t="s">
        <v>20</v>
      </c>
      <c r="E1499" s="2" t="s">
        <v>21</v>
      </c>
      <c r="F1499" s="2" t="s">
        <v>102</v>
      </c>
      <c r="G1499" s="2" t="s">
        <v>135</v>
      </c>
      <c r="H1499" s="2">
        <v>12</v>
      </c>
      <c r="I1499" s="2">
        <v>4319.22</v>
      </c>
      <c r="J1499" s="2">
        <v>0.2</v>
      </c>
      <c r="K1499" s="2" t="s">
        <v>24</v>
      </c>
      <c r="L1499" s="2" t="s">
        <v>87</v>
      </c>
    </row>
    <row r="1500" spans="1:12" x14ac:dyDescent="0.2">
      <c r="A1500" s="2">
        <v>100683</v>
      </c>
      <c r="B1500" s="18">
        <v>45493</v>
      </c>
      <c r="C1500" s="2" t="s">
        <v>963</v>
      </c>
      <c r="D1500" s="2" t="s">
        <v>131</v>
      </c>
      <c r="E1500" s="2" t="s">
        <v>133</v>
      </c>
      <c r="F1500" s="2" t="s">
        <v>64</v>
      </c>
      <c r="G1500" s="2" t="s">
        <v>40</v>
      </c>
      <c r="H1500" s="2">
        <v>12</v>
      </c>
      <c r="I1500" s="2">
        <v>559.85</v>
      </c>
      <c r="J1500" s="2">
        <v>0</v>
      </c>
      <c r="K1500" s="2" t="s">
        <v>83</v>
      </c>
      <c r="L1500" s="2" t="s">
        <v>52</v>
      </c>
    </row>
    <row r="1501" spans="1:12" x14ac:dyDescent="0.2">
      <c r="A1501" s="2">
        <v>100311</v>
      </c>
      <c r="B1501" s="17">
        <v>45388</v>
      </c>
      <c r="C1501" s="2" t="s">
        <v>406</v>
      </c>
      <c r="D1501" s="2" t="s">
        <v>61</v>
      </c>
      <c r="E1501" s="2" t="s">
        <v>119</v>
      </c>
      <c r="F1501" s="2" t="s">
        <v>74</v>
      </c>
      <c r="G1501" s="2" t="s">
        <v>23</v>
      </c>
      <c r="H1501" s="2">
        <v>11</v>
      </c>
      <c r="I1501" s="2">
        <v>1592.82</v>
      </c>
      <c r="J1501" s="2">
        <v>20</v>
      </c>
      <c r="K1501" s="2" t="s">
        <v>41</v>
      </c>
      <c r="L1501" s="2" t="s">
        <v>35</v>
      </c>
    </row>
    <row r="1502" spans="1:12" x14ac:dyDescent="0.2">
      <c r="A1502" s="2">
        <v>101384</v>
      </c>
      <c r="B1502" s="18">
        <v>45434</v>
      </c>
      <c r="C1502" s="2" t="s">
        <v>376</v>
      </c>
      <c r="D1502" s="2" t="s">
        <v>27</v>
      </c>
      <c r="E1502" s="2" t="s">
        <v>133</v>
      </c>
      <c r="F1502" s="2" t="s">
        <v>106</v>
      </c>
      <c r="G1502" s="2" t="s">
        <v>137</v>
      </c>
      <c r="H1502" s="2">
        <v>2</v>
      </c>
      <c r="I1502" s="2" t="s">
        <v>964</v>
      </c>
      <c r="J1502" s="2">
        <v>0</v>
      </c>
      <c r="K1502" s="2" t="s">
        <v>83</v>
      </c>
      <c r="L1502" s="2" t="s">
        <v>87</v>
      </c>
    </row>
    <row r="1503" spans="1:12" x14ac:dyDescent="0.2">
      <c r="A1503" s="2">
        <v>100094</v>
      </c>
      <c r="B1503" s="18">
        <v>45463</v>
      </c>
      <c r="C1503" s="2" t="s">
        <v>198</v>
      </c>
      <c r="D1503" s="2" t="s">
        <v>92</v>
      </c>
      <c r="E1503" s="2" t="s">
        <v>32</v>
      </c>
      <c r="F1503" s="2" t="s">
        <v>55</v>
      </c>
      <c r="G1503" s="2" t="s">
        <v>62</v>
      </c>
      <c r="H1503" s="2"/>
      <c r="I1503" s="2">
        <v>2968.06</v>
      </c>
      <c r="J1503" s="2">
        <v>0</v>
      </c>
      <c r="K1503" s="2" t="s">
        <v>17</v>
      </c>
      <c r="L1503" s="2" t="s">
        <v>35</v>
      </c>
    </row>
    <row r="1504" spans="1:12" x14ac:dyDescent="0.2">
      <c r="A1504" s="2">
        <v>101730</v>
      </c>
      <c r="B1504" s="17">
        <v>45650</v>
      </c>
      <c r="C1504" s="2" t="s">
        <v>637</v>
      </c>
      <c r="D1504" s="2" t="s">
        <v>85</v>
      </c>
      <c r="E1504" s="2" t="s">
        <v>14</v>
      </c>
      <c r="F1504" s="2" t="s">
        <v>124</v>
      </c>
      <c r="G1504" s="2" t="s">
        <v>99</v>
      </c>
      <c r="H1504" s="2">
        <v>3</v>
      </c>
      <c r="I1504" s="2">
        <v>8767.16</v>
      </c>
      <c r="J1504" s="2">
        <v>5</v>
      </c>
      <c r="K1504" s="2" t="s">
        <v>41</v>
      </c>
      <c r="L1504" s="2" t="s">
        <v>42</v>
      </c>
    </row>
    <row r="1505" spans="1:12" x14ac:dyDescent="0.2">
      <c r="A1505" s="2">
        <v>100925</v>
      </c>
      <c r="B1505" s="18">
        <v>45483</v>
      </c>
      <c r="C1505" s="2" t="s">
        <v>965</v>
      </c>
      <c r="D1505" s="2" t="s">
        <v>101</v>
      </c>
      <c r="E1505" s="2" t="s">
        <v>69</v>
      </c>
      <c r="F1505" s="2" t="s">
        <v>50</v>
      </c>
      <c r="G1505" s="2" t="s">
        <v>99</v>
      </c>
      <c r="H1505" s="2"/>
      <c r="I1505" s="2">
        <v>6474.46</v>
      </c>
      <c r="J1505" s="2">
        <v>25</v>
      </c>
      <c r="K1505" s="2" t="s">
        <v>41</v>
      </c>
      <c r="L1505" s="2" t="s">
        <v>18</v>
      </c>
    </row>
    <row r="1506" spans="1:12" x14ac:dyDescent="0.2">
      <c r="A1506" s="2">
        <v>101706</v>
      </c>
      <c r="B1506" s="18">
        <v>45357</v>
      </c>
      <c r="C1506" s="2" t="s">
        <v>12</v>
      </c>
      <c r="D1506" s="2" t="s">
        <v>109</v>
      </c>
      <c r="E1506" s="2" t="s">
        <v>133</v>
      </c>
      <c r="F1506" s="2" t="s">
        <v>15</v>
      </c>
      <c r="G1506" s="2" t="s">
        <v>16</v>
      </c>
      <c r="H1506" s="2"/>
      <c r="I1506" s="2">
        <v>21389.17</v>
      </c>
      <c r="J1506" s="2">
        <v>0</v>
      </c>
      <c r="K1506" s="2" t="s">
        <v>66</v>
      </c>
      <c r="L1506" s="2" t="s">
        <v>18</v>
      </c>
    </row>
    <row r="1507" spans="1:12" x14ac:dyDescent="0.2">
      <c r="A1507" s="2">
        <v>101036</v>
      </c>
      <c r="B1507" s="18">
        <v>45536</v>
      </c>
      <c r="C1507" s="2"/>
      <c r="D1507" s="2" t="s">
        <v>92</v>
      </c>
      <c r="E1507" s="2" t="s">
        <v>54</v>
      </c>
      <c r="F1507" s="2" t="s">
        <v>96</v>
      </c>
      <c r="G1507" s="2" t="s">
        <v>71</v>
      </c>
      <c r="H1507" s="2">
        <v>6</v>
      </c>
      <c r="I1507" s="2">
        <v>18834.830000000002</v>
      </c>
      <c r="J1507" s="2">
        <v>0.15</v>
      </c>
      <c r="K1507" s="2" t="s">
        <v>41</v>
      </c>
      <c r="L1507" s="2" t="s">
        <v>143</v>
      </c>
    </row>
    <row r="1508" spans="1:12" x14ac:dyDescent="0.2">
      <c r="A1508" s="2">
        <v>101401</v>
      </c>
      <c r="B1508" s="18">
        <v>45472</v>
      </c>
      <c r="C1508" s="2" t="s">
        <v>672</v>
      </c>
      <c r="D1508" s="2" t="s">
        <v>181</v>
      </c>
      <c r="E1508" s="2" t="s">
        <v>119</v>
      </c>
      <c r="F1508" s="2" t="s">
        <v>124</v>
      </c>
      <c r="G1508" s="2" t="s">
        <v>207</v>
      </c>
      <c r="H1508" s="2">
        <v>9</v>
      </c>
      <c r="I1508" s="2">
        <v>1336.4</v>
      </c>
      <c r="J1508" s="2">
        <v>25</v>
      </c>
      <c r="K1508" s="2" t="s">
        <v>17</v>
      </c>
      <c r="L1508" s="2" t="s">
        <v>143</v>
      </c>
    </row>
    <row r="1509" spans="1:12" x14ac:dyDescent="0.2">
      <c r="A1509" s="2">
        <v>100244</v>
      </c>
      <c r="B1509" s="17">
        <v>45455</v>
      </c>
      <c r="C1509" s="2" t="s">
        <v>229</v>
      </c>
      <c r="D1509" s="2" t="s">
        <v>20</v>
      </c>
      <c r="E1509" s="2" t="s">
        <v>21</v>
      </c>
      <c r="F1509" s="2" t="s">
        <v>64</v>
      </c>
      <c r="G1509" s="2" t="s">
        <v>292</v>
      </c>
      <c r="H1509" s="2">
        <v>12</v>
      </c>
      <c r="I1509" s="2">
        <v>829.55</v>
      </c>
      <c r="J1509" s="2">
        <v>0</v>
      </c>
      <c r="K1509" s="2" t="s">
        <v>29</v>
      </c>
      <c r="L1509" s="2" t="s">
        <v>52</v>
      </c>
    </row>
    <row r="1510" spans="1:12" x14ac:dyDescent="0.2">
      <c r="A1510" s="2">
        <v>101501</v>
      </c>
      <c r="B1510" s="18">
        <v>45474</v>
      </c>
      <c r="C1510" s="2" t="s">
        <v>146</v>
      </c>
      <c r="D1510" s="2" t="s">
        <v>92</v>
      </c>
      <c r="E1510" s="2" t="s">
        <v>54</v>
      </c>
      <c r="F1510" s="2" t="s">
        <v>86</v>
      </c>
      <c r="G1510" s="2" t="s">
        <v>111</v>
      </c>
      <c r="H1510" s="2"/>
      <c r="I1510" s="2">
        <v>30972.63</v>
      </c>
      <c r="J1510" s="2">
        <v>20</v>
      </c>
      <c r="K1510" s="2" t="s">
        <v>29</v>
      </c>
      <c r="L1510" s="2" t="s">
        <v>42</v>
      </c>
    </row>
    <row r="1511" spans="1:12" x14ac:dyDescent="0.2">
      <c r="A1511" s="2">
        <v>101112</v>
      </c>
      <c r="B1511" s="17">
        <v>45435</v>
      </c>
      <c r="C1511" s="2" t="s">
        <v>552</v>
      </c>
      <c r="D1511" s="2" t="s">
        <v>31</v>
      </c>
      <c r="E1511" s="2" t="s">
        <v>32</v>
      </c>
      <c r="F1511" s="2" t="s">
        <v>15</v>
      </c>
      <c r="G1511" s="2" t="s">
        <v>116</v>
      </c>
      <c r="H1511" s="2">
        <v>7</v>
      </c>
      <c r="I1511" s="2"/>
      <c r="J1511" s="2">
        <v>25</v>
      </c>
      <c r="K1511" s="2" t="s">
        <v>29</v>
      </c>
      <c r="L1511" s="2" t="s">
        <v>35</v>
      </c>
    </row>
    <row r="1512" spans="1:12" x14ac:dyDescent="0.2">
      <c r="A1512" s="2">
        <v>100215</v>
      </c>
      <c r="B1512" s="17">
        <v>45495</v>
      </c>
      <c r="C1512" s="2" t="s">
        <v>298</v>
      </c>
      <c r="D1512" s="2" t="s">
        <v>31</v>
      </c>
      <c r="E1512" s="2" t="s">
        <v>32</v>
      </c>
      <c r="F1512" s="2" t="s">
        <v>113</v>
      </c>
      <c r="G1512" s="2" t="s">
        <v>242</v>
      </c>
      <c r="H1512" s="2">
        <v>12</v>
      </c>
      <c r="I1512" s="2">
        <v>896.23</v>
      </c>
      <c r="J1512" s="2">
        <v>0.1</v>
      </c>
      <c r="K1512" s="2" t="s">
        <v>24</v>
      </c>
      <c r="L1512" s="2" t="s">
        <v>87</v>
      </c>
    </row>
    <row r="1513" spans="1:12" x14ac:dyDescent="0.2">
      <c r="A1513" s="2">
        <v>101211</v>
      </c>
      <c r="B1513" s="18">
        <v>45486</v>
      </c>
      <c r="C1513" s="2" t="s">
        <v>402</v>
      </c>
      <c r="D1513" s="2" t="s">
        <v>44</v>
      </c>
      <c r="E1513" s="2" t="s">
        <v>32</v>
      </c>
      <c r="F1513" s="2" t="s">
        <v>223</v>
      </c>
      <c r="G1513" s="2" t="s">
        <v>51</v>
      </c>
      <c r="H1513" s="2">
        <v>8</v>
      </c>
      <c r="I1513" s="2">
        <v>6843.61</v>
      </c>
      <c r="J1513" s="2">
        <v>0.15</v>
      </c>
      <c r="K1513" s="2" t="s">
        <v>83</v>
      </c>
      <c r="L1513" s="2" t="s">
        <v>143</v>
      </c>
    </row>
    <row r="1514" spans="1:12" x14ac:dyDescent="0.2">
      <c r="A1514" s="2">
        <v>101198</v>
      </c>
      <c r="B1514" s="17">
        <v>45300</v>
      </c>
      <c r="C1514" s="2" t="s">
        <v>396</v>
      </c>
      <c r="D1514" s="2" t="s">
        <v>44</v>
      </c>
      <c r="E1514" s="2" t="s">
        <v>54</v>
      </c>
      <c r="F1514" s="2" t="s">
        <v>74</v>
      </c>
      <c r="G1514" s="2" t="s">
        <v>75</v>
      </c>
      <c r="H1514" s="2">
        <v>10</v>
      </c>
      <c r="I1514" s="2"/>
      <c r="J1514" s="2">
        <v>5</v>
      </c>
      <c r="K1514" s="2" t="s">
        <v>83</v>
      </c>
      <c r="L1514" s="2" t="s">
        <v>121</v>
      </c>
    </row>
    <row r="1515" spans="1:12" x14ac:dyDescent="0.2">
      <c r="A1515" s="2">
        <v>100999</v>
      </c>
      <c r="B1515" s="17">
        <v>45469</v>
      </c>
      <c r="C1515" s="2" t="s">
        <v>966</v>
      </c>
      <c r="D1515" s="2" t="s">
        <v>175</v>
      </c>
      <c r="E1515" s="2" t="s">
        <v>69</v>
      </c>
      <c r="F1515" s="2" t="s">
        <v>80</v>
      </c>
      <c r="G1515" s="2" t="s">
        <v>158</v>
      </c>
      <c r="H1515" s="2">
        <v>7</v>
      </c>
      <c r="I1515" s="2">
        <v>442.69</v>
      </c>
      <c r="J1515" s="2">
        <v>20</v>
      </c>
      <c r="K1515" s="2" t="s">
        <v>17</v>
      </c>
      <c r="L1515" s="2" t="s">
        <v>18</v>
      </c>
    </row>
    <row r="1516" spans="1:12" x14ac:dyDescent="0.2">
      <c r="A1516" s="2">
        <v>100854</v>
      </c>
      <c r="B1516" s="18">
        <v>45569</v>
      </c>
      <c r="C1516" s="2" t="s">
        <v>780</v>
      </c>
      <c r="D1516" s="2" t="s">
        <v>140</v>
      </c>
      <c r="E1516" s="2" t="s">
        <v>79</v>
      </c>
      <c r="F1516" s="2" t="s">
        <v>39</v>
      </c>
      <c r="G1516" s="2" t="s">
        <v>292</v>
      </c>
      <c r="H1516" s="2">
        <v>4</v>
      </c>
      <c r="I1516" s="2">
        <v>205.35</v>
      </c>
      <c r="J1516" s="2">
        <v>0</v>
      </c>
      <c r="K1516" s="2" t="s">
        <v>66</v>
      </c>
      <c r="L1516" s="2" t="s">
        <v>143</v>
      </c>
    </row>
    <row r="1517" spans="1:12" x14ac:dyDescent="0.2">
      <c r="A1517" s="2">
        <v>100426</v>
      </c>
      <c r="B1517" s="18">
        <v>45619</v>
      </c>
      <c r="C1517" s="2" t="s">
        <v>586</v>
      </c>
      <c r="D1517" s="2" t="s">
        <v>92</v>
      </c>
      <c r="E1517" s="2" t="s">
        <v>54</v>
      </c>
      <c r="F1517" s="2" t="s">
        <v>55</v>
      </c>
      <c r="G1517" s="2" t="s">
        <v>62</v>
      </c>
      <c r="H1517" s="2">
        <v>12</v>
      </c>
      <c r="I1517" s="2">
        <v>7474.64</v>
      </c>
      <c r="J1517" s="2">
        <v>0.2</v>
      </c>
      <c r="K1517" s="2" t="s">
        <v>24</v>
      </c>
      <c r="L1517" s="2" t="s">
        <v>121</v>
      </c>
    </row>
    <row r="1518" spans="1:12" x14ac:dyDescent="0.2">
      <c r="A1518" s="2">
        <v>101783</v>
      </c>
      <c r="B1518" s="18">
        <v>45472</v>
      </c>
      <c r="C1518" s="2" t="s">
        <v>943</v>
      </c>
      <c r="D1518" s="2" t="s">
        <v>101</v>
      </c>
      <c r="E1518" s="2" t="s">
        <v>38</v>
      </c>
      <c r="F1518" s="2" t="s">
        <v>80</v>
      </c>
      <c r="G1518" s="2" t="s">
        <v>158</v>
      </c>
      <c r="H1518" s="2">
        <v>2</v>
      </c>
      <c r="I1518" s="2" t="s">
        <v>967</v>
      </c>
      <c r="J1518" s="2">
        <v>0</v>
      </c>
      <c r="K1518" s="2" t="s">
        <v>66</v>
      </c>
      <c r="L1518" s="2" t="s">
        <v>52</v>
      </c>
    </row>
    <row r="1519" spans="1:12" x14ac:dyDescent="0.2">
      <c r="A1519" s="2">
        <v>101143</v>
      </c>
      <c r="B1519" s="17">
        <v>45343</v>
      </c>
      <c r="C1519" s="2" t="s">
        <v>968</v>
      </c>
      <c r="D1519" s="2" t="s">
        <v>131</v>
      </c>
      <c r="E1519" s="2" t="s">
        <v>21</v>
      </c>
      <c r="F1519" s="2" t="s">
        <v>74</v>
      </c>
      <c r="G1519" s="2" t="s">
        <v>232</v>
      </c>
      <c r="H1519" s="2">
        <v>9</v>
      </c>
      <c r="I1519" s="2">
        <v>3314.58</v>
      </c>
      <c r="J1519" s="2">
        <v>0</v>
      </c>
      <c r="K1519" s="2" t="s">
        <v>66</v>
      </c>
      <c r="L1519" s="2" t="s">
        <v>42</v>
      </c>
    </row>
    <row r="1520" spans="1:12" x14ac:dyDescent="0.2">
      <c r="A1520" s="2">
        <v>101144</v>
      </c>
      <c r="B1520" s="17">
        <v>45303</v>
      </c>
      <c r="C1520" s="2" t="s">
        <v>908</v>
      </c>
      <c r="D1520" s="2" t="s">
        <v>61</v>
      </c>
      <c r="E1520" s="2" t="s">
        <v>14</v>
      </c>
      <c r="F1520" s="2" t="s">
        <v>86</v>
      </c>
      <c r="G1520" s="2" t="s">
        <v>46</v>
      </c>
      <c r="H1520" s="2">
        <v>9</v>
      </c>
      <c r="I1520" s="2">
        <v>30810.77</v>
      </c>
      <c r="J1520" s="2"/>
      <c r="K1520" s="2" t="s">
        <v>24</v>
      </c>
      <c r="L1520" s="2" t="s">
        <v>121</v>
      </c>
    </row>
    <row r="1521" spans="1:12" x14ac:dyDescent="0.2">
      <c r="A1521" s="2">
        <v>100227</v>
      </c>
      <c r="B1521" s="17">
        <v>45390</v>
      </c>
      <c r="C1521" s="2" t="s">
        <v>206</v>
      </c>
      <c r="D1521" s="2" t="s">
        <v>31</v>
      </c>
      <c r="E1521" s="2" t="s">
        <v>54</v>
      </c>
      <c r="F1521" s="2" t="s">
        <v>50</v>
      </c>
      <c r="G1521" s="2" t="s">
        <v>207</v>
      </c>
      <c r="H1521" s="2">
        <v>2</v>
      </c>
      <c r="I1521" s="2">
        <v>4846.25</v>
      </c>
      <c r="J1521" s="2">
        <v>0.15</v>
      </c>
      <c r="K1521" s="2" t="s">
        <v>41</v>
      </c>
      <c r="L1521" s="2" t="s">
        <v>35</v>
      </c>
    </row>
    <row r="1522" spans="1:12" x14ac:dyDescent="0.2">
      <c r="A1522" s="2">
        <v>101646</v>
      </c>
      <c r="B1522" s="17">
        <v>45385</v>
      </c>
      <c r="C1522" s="2" t="s">
        <v>853</v>
      </c>
      <c r="D1522" s="2" t="s">
        <v>13</v>
      </c>
      <c r="E1522" s="2" t="s">
        <v>119</v>
      </c>
      <c r="F1522" s="2" t="s">
        <v>50</v>
      </c>
      <c r="G1522" s="2" t="s">
        <v>207</v>
      </c>
      <c r="H1522" s="2">
        <v>-2</v>
      </c>
      <c r="I1522" s="2">
        <v>9116.9699999999993</v>
      </c>
      <c r="J1522" s="2">
        <v>0.1</v>
      </c>
      <c r="K1522" s="2" t="s">
        <v>29</v>
      </c>
      <c r="L1522" s="2" t="s">
        <v>35</v>
      </c>
    </row>
    <row r="1523" spans="1:12" x14ac:dyDescent="0.2">
      <c r="A1523" s="2">
        <v>100001</v>
      </c>
      <c r="B1523" s="18">
        <v>45550</v>
      </c>
      <c r="C1523" s="2" t="s">
        <v>402</v>
      </c>
      <c r="D1523" s="2" t="s">
        <v>140</v>
      </c>
      <c r="E1523" s="2" t="s">
        <v>49</v>
      </c>
      <c r="F1523" s="2" t="s">
        <v>15</v>
      </c>
      <c r="G1523" s="2" t="s">
        <v>205</v>
      </c>
      <c r="H1523" s="2">
        <v>2</v>
      </c>
      <c r="I1523" s="2">
        <v>18938.84</v>
      </c>
      <c r="J1523" s="2">
        <v>0</v>
      </c>
      <c r="K1523" s="2" t="s">
        <v>66</v>
      </c>
      <c r="L1523" s="2" t="s">
        <v>25</v>
      </c>
    </row>
    <row r="1524" spans="1:12" x14ac:dyDescent="0.2">
      <c r="A1524" s="2">
        <v>101419</v>
      </c>
      <c r="B1524" s="17">
        <v>45388</v>
      </c>
      <c r="C1524" s="2" t="s">
        <v>962</v>
      </c>
      <c r="D1524" s="2" t="s">
        <v>140</v>
      </c>
      <c r="E1524" s="2" t="s">
        <v>49</v>
      </c>
      <c r="F1524" s="2" t="s">
        <v>102</v>
      </c>
      <c r="G1524" s="2" t="s">
        <v>156</v>
      </c>
      <c r="H1524" s="2">
        <v>12</v>
      </c>
      <c r="I1524" s="2">
        <v>2051.62</v>
      </c>
      <c r="J1524" s="2">
        <v>0</v>
      </c>
      <c r="K1524" s="2" t="s">
        <v>66</v>
      </c>
      <c r="L1524" s="2" t="s">
        <v>18</v>
      </c>
    </row>
    <row r="1525" spans="1:12" x14ac:dyDescent="0.2">
      <c r="A1525" s="2">
        <v>100402</v>
      </c>
      <c r="B1525" s="17">
        <v>45355</v>
      </c>
      <c r="C1525" s="2" t="s">
        <v>969</v>
      </c>
      <c r="D1525" s="2" t="s">
        <v>85</v>
      </c>
      <c r="E1525" s="2" t="s">
        <v>14</v>
      </c>
      <c r="F1525" s="2" t="s">
        <v>113</v>
      </c>
      <c r="G1525" s="2" t="s">
        <v>40</v>
      </c>
      <c r="H1525" s="2">
        <v>11</v>
      </c>
      <c r="I1525" s="2">
        <v>874.92</v>
      </c>
      <c r="J1525" s="2">
        <v>0</v>
      </c>
      <c r="K1525" s="2" t="s">
        <v>83</v>
      </c>
      <c r="L1525" s="2" t="s">
        <v>18</v>
      </c>
    </row>
    <row r="1526" spans="1:12" x14ac:dyDescent="0.2">
      <c r="A1526" s="2">
        <v>101429</v>
      </c>
      <c r="B1526" s="17">
        <v>45377</v>
      </c>
      <c r="C1526" s="2"/>
      <c r="D1526" s="2" t="s">
        <v>181</v>
      </c>
      <c r="E1526" s="2" t="s">
        <v>119</v>
      </c>
      <c r="F1526" s="2" t="s">
        <v>106</v>
      </c>
      <c r="G1526" s="2" t="s">
        <v>137</v>
      </c>
      <c r="H1526" s="2">
        <v>9</v>
      </c>
      <c r="I1526" s="2">
        <v>2100.92</v>
      </c>
      <c r="J1526" s="2">
        <v>0</v>
      </c>
      <c r="K1526" s="2" t="s">
        <v>24</v>
      </c>
      <c r="L1526" s="2" t="s">
        <v>25</v>
      </c>
    </row>
    <row r="1527" spans="1:12" x14ac:dyDescent="0.2">
      <c r="A1527" s="2">
        <v>101104</v>
      </c>
      <c r="B1527" s="17">
        <v>45554</v>
      </c>
      <c r="C1527" s="2"/>
      <c r="D1527" s="2" t="s">
        <v>58</v>
      </c>
      <c r="E1527" s="2" t="s">
        <v>38</v>
      </c>
      <c r="F1527" s="2" t="s">
        <v>33</v>
      </c>
      <c r="G1527" s="2" t="s">
        <v>93</v>
      </c>
      <c r="H1527" s="2">
        <v>10</v>
      </c>
      <c r="I1527" s="2">
        <v>41.33</v>
      </c>
      <c r="J1527" s="2">
        <v>0</v>
      </c>
      <c r="K1527" s="2" t="s">
        <v>29</v>
      </c>
      <c r="L1527" s="2" t="s">
        <v>143</v>
      </c>
    </row>
    <row r="1528" spans="1:12" x14ac:dyDescent="0.2">
      <c r="A1528" s="2">
        <v>100085</v>
      </c>
      <c r="B1528" s="18">
        <v>45493</v>
      </c>
      <c r="C1528" s="2" t="s">
        <v>636</v>
      </c>
      <c r="D1528" s="2" t="s">
        <v>95</v>
      </c>
      <c r="E1528" s="2" t="s">
        <v>133</v>
      </c>
      <c r="F1528" s="2" t="s">
        <v>102</v>
      </c>
      <c r="G1528" s="2" t="s">
        <v>135</v>
      </c>
      <c r="H1528" s="2">
        <v>8</v>
      </c>
      <c r="I1528" s="2">
        <v>1259.3399999999999</v>
      </c>
      <c r="J1528" s="2"/>
      <c r="K1528" s="2" t="s">
        <v>41</v>
      </c>
      <c r="L1528" s="2" t="s">
        <v>52</v>
      </c>
    </row>
    <row r="1529" spans="1:12" x14ac:dyDescent="0.2">
      <c r="A1529" s="2">
        <v>100163</v>
      </c>
      <c r="B1529" s="18">
        <v>45603</v>
      </c>
      <c r="C1529" s="2" t="s">
        <v>970</v>
      </c>
      <c r="D1529" s="2" t="s">
        <v>95</v>
      </c>
      <c r="E1529" s="2" t="s">
        <v>21</v>
      </c>
      <c r="F1529" s="2" t="s">
        <v>120</v>
      </c>
      <c r="G1529" s="2" t="s">
        <v>75</v>
      </c>
      <c r="H1529" s="2">
        <v>-1</v>
      </c>
      <c r="I1529" s="2">
        <v>1991.17</v>
      </c>
      <c r="J1529" s="2">
        <v>0</v>
      </c>
      <c r="K1529" s="2" t="s">
        <v>83</v>
      </c>
      <c r="L1529" s="2" t="s">
        <v>35</v>
      </c>
    </row>
    <row r="1530" spans="1:12" x14ac:dyDescent="0.2">
      <c r="A1530" s="2">
        <v>100115</v>
      </c>
      <c r="B1530" s="2" t="s">
        <v>971</v>
      </c>
      <c r="C1530" s="2" t="s">
        <v>943</v>
      </c>
      <c r="D1530" s="2" t="s">
        <v>101</v>
      </c>
      <c r="E1530" s="2" t="s">
        <v>69</v>
      </c>
      <c r="F1530" s="2" t="s">
        <v>15</v>
      </c>
      <c r="G1530" s="2" t="s">
        <v>205</v>
      </c>
      <c r="H1530" s="2">
        <v>2</v>
      </c>
      <c r="I1530" s="2">
        <v>11997.55</v>
      </c>
      <c r="J1530" s="2">
        <v>0.25</v>
      </c>
      <c r="K1530" s="2" t="s">
        <v>66</v>
      </c>
      <c r="L1530" s="2" t="s">
        <v>25</v>
      </c>
    </row>
    <row r="1531" spans="1:12" x14ac:dyDescent="0.2">
      <c r="A1531" s="2">
        <v>100671</v>
      </c>
      <c r="B1531" s="17">
        <v>45506</v>
      </c>
      <c r="C1531" s="2"/>
      <c r="D1531" s="2" t="s">
        <v>92</v>
      </c>
      <c r="E1531" s="2" t="s">
        <v>32</v>
      </c>
      <c r="F1531" s="2" t="s">
        <v>120</v>
      </c>
      <c r="G1531" s="2" t="s">
        <v>232</v>
      </c>
      <c r="H1531" s="2">
        <v>3</v>
      </c>
      <c r="I1531" s="2">
        <v>2256.2600000000002</v>
      </c>
      <c r="J1531" s="2">
        <v>0.05</v>
      </c>
      <c r="K1531" s="2" t="s">
        <v>41</v>
      </c>
      <c r="L1531" s="2" t="s">
        <v>52</v>
      </c>
    </row>
    <row r="1532" spans="1:12" x14ac:dyDescent="0.2">
      <c r="A1532" s="2">
        <v>101175</v>
      </c>
      <c r="B1532" s="17">
        <v>45547</v>
      </c>
      <c r="C1532" s="2" t="s">
        <v>397</v>
      </c>
      <c r="D1532" s="2" t="s">
        <v>44</v>
      </c>
      <c r="E1532" s="2" t="s">
        <v>32</v>
      </c>
      <c r="F1532" s="2" t="s">
        <v>64</v>
      </c>
      <c r="G1532" s="2" t="s">
        <v>114</v>
      </c>
      <c r="H1532" s="2">
        <v>11</v>
      </c>
      <c r="I1532" s="2">
        <v>572.70000000000005</v>
      </c>
      <c r="J1532" s="2">
        <v>0</v>
      </c>
      <c r="K1532" s="2" t="s">
        <v>29</v>
      </c>
      <c r="L1532" s="2" t="s">
        <v>35</v>
      </c>
    </row>
    <row r="1533" spans="1:12" x14ac:dyDescent="0.2">
      <c r="A1533" s="2">
        <v>101545</v>
      </c>
      <c r="B1533" s="17">
        <v>45562</v>
      </c>
      <c r="C1533" s="2" t="s">
        <v>411</v>
      </c>
      <c r="D1533" s="2" t="s">
        <v>20</v>
      </c>
      <c r="E1533" s="2" t="s">
        <v>21</v>
      </c>
      <c r="F1533" s="2" t="s">
        <v>45</v>
      </c>
      <c r="G1533" s="2" t="s">
        <v>71</v>
      </c>
      <c r="H1533" s="2"/>
      <c r="I1533" s="2">
        <v>34097.22</v>
      </c>
      <c r="J1533" s="2">
        <v>0.05</v>
      </c>
      <c r="K1533" s="2" t="s">
        <v>83</v>
      </c>
      <c r="L1533" s="2" t="s">
        <v>18</v>
      </c>
    </row>
    <row r="1534" spans="1:12" x14ac:dyDescent="0.2">
      <c r="A1534" s="2">
        <v>101534</v>
      </c>
      <c r="B1534" s="2" t="s">
        <v>456</v>
      </c>
      <c r="C1534" s="2" t="s">
        <v>972</v>
      </c>
      <c r="D1534" s="2" t="s">
        <v>92</v>
      </c>
      <c r="E1534" s="2" t="s">
        <v>54</v>
      </c>
      <c r="F1534" s="2" t="s">
        <v>102</v>
      </c>
      <c r="G1534" s="2" t="s">
        <v>156</v>
      </c>
      <c r="H1534" s="2">
        <v>11</v>
      </c>
      <c r="I1534" s="2">
        <v>1281.69</v>
      </c>
      <c r="J1534" s="2">
        <v>0</v>
      </c>
      <c r="K1534" s="2" t="s">
        <v>66</v>
      </c>
      <c r="L1534" s="2" t="s">
        <v>121</v>
      </c>
    </row>
    <row r="1535" spans="1:12" x14ac:dyDescent="0.2">
      <c r="A1535" s="2">
        <v>101393</v>
      </c>
      <c r="B1535" s="17">
        <v>45488</v>
      </c>
      <c r="C1535" s="2" t="s">
        <v>435</v>
      </c>
      <c r="D1535" s="2" t="s">
        <v>48</v>
      </c>
      <c r="E1535" s="2" t="s">
        <v>79</v>
      </c>
      <c r="F1535" s="2" t="s">
        <v>15</v>
      </c>
      <c r="G1535" s="2" t="s">
        <v>16</v>
      </c>
      <c r="H1535" s="2">
        <v>4</v>
      </c>
      <c r="I1535" s="2"/>
      <c r="J1535" s="2">
        <v>0.2</v>
      </c>
      <c r="K1535" s="2" t="s">
        <v>24</v>
      </c>
      <c r="L1535" s="2" t="s">
        <v>52</v>
      </c>
    </row>
    <row r="1536" spans="1:12" x14ac:dyDescent="0.2">
      <c r="A1536" s="2">
        <v>100890</v>
      </c>
      <c r="B1536" s="17">
        <v>45519</v>
      </c>
      <c r="C1536" s="2" t="s">
        <v>353</v>
      </c>
      <c r="D1536" s="2" t="s">
        <v>140</v>
      </c>
      <c r="E1536" s="2" t="s">
        <v>49</v>
      </c>
      <c r="F1536" s="2" t="s">
        <v>28</v>
      </c>
      <c r="G1536" s="2" t="s">
        <v>205</v>
      </c>
      <c r="H1536" s="2">
        <v>12</v>
      </c>
      <c r="I1536" s="2">
        <v>22002.95</v>
      </c>
      <c r="J1536" s="2">
        <v>0</v>
      </c>
      <c r="K1536" s="2" t="s">
        <v>83</v>
      </c>
      <c r="L1536" s="2" t="s">
        <v>25</v>
      </c>
    </row>
    <row r="1537" spans="1:12" x14ac:dyDescent="0.2">
      <c r="A1537" s="2">
        <v>101502</v>
      </c>
      <c r="B1537" s="18">
        <v>45396</v>
      </c>
      <c r="C1537" s="2" t="s">
        <v>430</v>
      </c>
      <c r="D1537" s="2" t="s">
        <v>92</v>
      </c>
      <c r="E1537" s="2" t="s">
        <v>54</v>
      </c>
      <c r="F1537" s="2" t="s">
        <v>22</v>
      </c>
      <c r="G1537" s="2" t="s">
        <v>141</v>
      </c>
      <c r="H1537" s="2">
        <v>4</v>
      </c>
      <c r="I1537" s="2">
        <v>1039.4000000000001</v>
      </c>
      <c r="J1537" s="2">
        <v>0.2</v>
      </c>
      <c r="K1537" s="2" t="s">
        <v>29</v>
      </c>
      <c r="L1537" s="2" t="s">
        <v>143</v>
      </c>
    </row>
    <row r="1538" spans="1:12" x14ac:dyDescent="0.2">
      <c r="A1538" s="2">
        <v>100626</v>
      </c>
      <c r="B1538" s="18">
        <v>45456</v>
      </c>
      <c r="C1538" s="2" t="s">
        <v>241</v>
      </c>
      <c r="D1538" s="2" t="s">
        <v>13</v>
      </c>
      <c r="E1538" s="2" t="s">
        <v>14</v>
      </c>
      <c r="F1538" s="2" t="s">
        <v>22</v>
      </c>
      <c r="G1538" s="2" t="s">
        <v>75</v>
      </c>
      <c r="H1538" s="2">
        <v>7</v>
      </c>
      <c r="I1538" s="2">
        <v>2766.92</v>
      </c>
      <c r="J1538" s="2">
        <v>0</v>
      </c>
      <c r="K1538" s="2" t="s">
        <v>83</v>
      </c>
      <c r="L1538" s="2" t="s">
        <v>143</v>
      </c>
    </row>
    <row r="1539" spans="1:12" x14ac:dyDescent="0.2">
      <c r="A1539" s="2">
        <v>101497</v>
      </c>
      <c r="B1539" s="18">
        <v>45654</v>
      </c>
      <c r="C1539" s="2" t="s">
        <v>144</v>
      </c>
      <c r="D1539" s="2" t="s">
        <v>44</v>
      </c>
      <c r="E1539" s="2" t="s">
        <v>32</v>
      </c>
      <c r="F1539" s="2" t="s">
        <v>80</v>
      </c>
      <c r="G1539" s="2" t="s">
        <v>158</v>
      </c>
      <c r="H1539" s="2">
        <v>11</v>
      </c>
      <c r="I1539" s="2">
        <v>220.96</v>
      </c>
      <c r="J1539" s="2">
        <v>0.25</v>
      </c>
      <c r="K1539" s="2" t="s">
        <v>41</v>
      </c>
      <c r="L1539" s="2" t="s">
        <v>143</v>
      </c>
    </row>
    <row r="1540" spans="1:12" x14ac:dyDescent="0.2">
      <c r="A1540" s="2">
        <v>101982</v>
      </c>
      <c r="B1540" s="18">
        <v>45297</v>
      </c>
      <c r="C1540" s="2" t="s">
        <v>810</v>
      </c>
      <c r="D1540" s="2" t="s">
        <v>160</v>
      </c>
      <c r="E1540" s="2" t="s">
        <v>49</v>
      </c>
      <c r="F1540" s="2" t="s">
        <v>64</v>
      </c>
      <c r="G1540" s="2" t="s">
        <v>114</v>
      </c>
      <c r="H1540" s="2">
        <v>9</v>
      </c>
      <c r="I1540" s="2">
        <v>563.5</v>
      </c>
      <c r="J1540" s="2">
        <v>0</v>
      </c>
      <c r="K1540" s="2" t="s">
        <v>17</v>
      </c>
      <c r="L1540" s="2" t="s">
        <v>18</v>
      </c>
    </row>
    <row r="1541" spans="1:12" x14ac:dyDescent="0.2">
      <c r="A1541" s="2">
        <v>100953</v>
      </c>
      <c r="B1541" s="17">
        <v>45507</v>
      </c>
      <c r="C1541" s="2" t="s">
        <v>91</v>
      </c>
      <c r="D1541" s="2" t="s">
        <v>101</v>
      </c>
      <c r="E1541" s="2" t="s">
        <v>69</v>
      </c>
      <c r="F1541" s="2" t="s">
        <v>191</v>
      </c>
      <c r="G1541" s="2" t="s">
        <v>59</v>
      </c>
      <c r="H1541" s="2">
        <v>4</v>
      </c>
      <c r="I1541" s="2"/>
      <c r="J1541" s="2">
        <v>5</v>
      </c>
      <c r="K1541" s="2" t="s">
        <v>29</v>
      </c>
      <c r="L1541" s="2" t="s">
        <v>121</v>
      </c>
    </row>
    <row r="1542" spans="1:12" x14ac:dyDescent="0.2">
      <c r="A1542" s="2">
        <v>100808</v>
      </c>
      <c r="B1542" s="18">
        <v>45362</v>
      </c>
      <c r="C1542" s="2"/>
      <c r="D1542" s="2" t="s">
        <v>58</v>
      </c>
      <c r="E1542" s="2" t="s">
        <v>69</v>
      </c>
      <c r="F1542" s="2" t="s">
        <v>106</v>
      </c>
      <c r="G1542" s="2" t="s">
        <v>135</v>
      </c>
      <c r="H1542" s="2">
        <v>6</v>
      </c>
      <c r="I1542" s="2">
        <v>2271.25</v>
      </c>
      <c r="J1542" s="2">
        <v>5</v>
      </c>
      <c r="K1542" s="2" t="s">
        <v>41</v>
      </c>
      <c r="L1542" s="2" t="s">
        <v>87</v>
      </c>
    </row>
    <row r="1543" spans="1:12" x14ac:dyDescent="0.2">
      <c r="A1543" s="2">
        <v>100259</v>
      </c>
      <c r="B1543" s="17">
        <v>45310</v>
      </c>
      <c r="C1543" s="2" t="s">
        <v>973</v>
      </c>
      <c r="D1543" s="2" t="s">
        <v>13</v>
      </c>
      <c r="E1543" s="2" t="s">
        <v>119</v>
      </c>
      <c r="F1543" s="2" t="s">
        <v>74</v>
      </c>
      <c r="G1543" s="2" t="s">
        <v>145</v>
      </c>
      <c r="H1543" s="2">
        <v>2</v>
      </c>
      <c r="I1543" s="2">
        <v>1362.11</v>
      </c>
      <c r="J1543" s="2">
        <v>0</v>
      </c>
      <c r="K1543" s="2" t="s">
        <v>41</v>
      </c>
      <c r="L1543" s="2" t="s">
        <v>87</v>
      </c>
    </row>
    <row r="1544" spans="1:12" x14ac:dyDescent="0.2">
      <c r="A1544" s="2">
        <v>100625</v>
      </c>
      <c r="B1544" s="18">
        <v>45537</v>
      </c>
      <c r="C1544" s="2" t="s">
        <v>554</v>
      </c>
      <c r="D1544" s="2" t="s">
        <v>181</v>
      </c>
      <c r="E1544" s="2" t="s">
        <v>14</v>
      </c>
      <c r="F1544" s="2" t="s">
        <v>45</v>
      </c>
      <c r="G1544" s="2" t="s">
        <v>153</v>
      </c>
      <c r="H1544" s="2">
        <v>8</v>
      </c>
      <c r="I1544" s="2">
        <v>12210.66</v>
      </c>
      <c r="J1544" s="2">
        <v>15</v>
      </c>
      <c r="K1544" s="2" t="s">
        <v>66</v>
      </c>
      <c r="L1544" s="2" t="s">
        <v>25</v>
      </c>
    </row>
    <row r="1545" spans="1:12" x14ac:dyDescent="0.2">
      <c r="A1545" s="2">
        <v>100827</v>
      </c>
      <c r="B1545" s="17">
        <v>45571</v>
      </c>
      <c r="C1545" s="2" t="s">
        <v>793</v>
      </c>
      <c r="D1545" s="2" t="s">
        <v>13</v>
      </c>
      <c r="E1545" s="2" t="s">
        <v>119</v>
      </c>
      <c r="F1545" s="2" t="s">
        <v>22</v>
      </c>
      <c r="G1545" s="2" t="s">
        <v>75</v>
      </c>
      <c r="H1545" s="2">
        <v>4</v>
      </c>
      <c r="I1545" s="2">
        <v>1239.7</v>
      </c>
      <c r="J1545" s="2">
        <v>0.2</v>
      </c>
      <c r="K1545" s="2" t="s">
        <v>29</v>
      </c>
      <c r="L1545" s="2" t="s">
        <v>25</v>
      </c>
    </row>
    <row r="1546" spans="1:12" x14ac:dyDescent="0.2">
      <c r="A1546" s="2">
        <v>100235</v>
      </c>
      <c r="B1546" s="18">
        <v>45463</v>
      </c>
      <c r="C1546" s="2" t="s">
        <v>147</v>
      </c>
      <c r="D1546" s="2" t="s">
        <v>129</v>
      </c>
      <c r="E1546" s="2" t="s">
        <v>49</v>
      </c>
      <c r="F1546" s="2" t="s">
        <v>191</v>
      </c>
      <c r="G1546" s="2" t="s">
        <v>16</v>
      </c>
      <c r="H1546" s="2">
        <v>1</v>
      </c>
      <c r="I1546" s="2">
        <v>20848.849999999999</v>
      </c>
      <c r="J1546" s="2">
        <v>0</v>
      </c>
      <c r="K1546" s="2" t="s">
        <v>17</v>
      </c>
      <c r="L1546" s="2" t="s">
        <v>143</v>
      </c>
    </row>
    <row r="1547" spans="1:12" x14ac:dyDescent="0.2">
      <c r="A1547" s="2">
        <v>100136</v>
      </c>
      <c r="B1547" s="17">
        <v>45375</v>
      </c>
      <c r="C1547" s="2" t="s">
        <v>764</v>
      </c>
      <c r="D1547" s="2" t="s">
        <v>27</v>
      </c>
      <c r="E1547" s="2" t="s">
        <v>133</v>
      </c>
      <c r="F1547" s="2" t="s">
        <v>70</v>
      </c>
      <c r="G1547" s="2" t="s">
        <v>97</v>
      </c>
      <c r="H1547" s="2"/>
      <c r="I1547" s="2">
        <v>27984.21</v>
      </c>
      <c r="J1547" s="2">
        <v>0</v>
      </c>
      <c r="K1547" s="2" t="s">
        <v>83</v>
      </c>
      <c r="L1547" s="2" t="s">
        <v>121</v>
      </c>
    </row>
    <row r="1548" spans="1:12" x14ac:dyDescent="0.2">
      <c r="A1548" s="2">
        <v>100617</v>
      </c>
      <c r="B1548" s="2" t="s">
        <v>375</v>
      </c>
      <c r="C1548" s="2" t="s">
        <v>218</v>
      </c>
      <c r="D1548" s="2" t="s">
        <v>92</v>
      </c>
      <c r="E1548" s="2" t="s">
        <v>54</v>
      </c>
      <c r="F1548" s="2" t="s">
        <v>80</v>
      </c>
      <c r="G1548" s="2" t="s">
        <v>81</v>
      </c>
      <c r="H1548" s="2">
        <v>5</v>
      </c>
      <c r="I1548" s="2">
        <v>432.85</v>
      </c>
      <c r="J1548" s="2">
        <v>0.05</v>
      </c>
      <c r="K1548" s="2" t="s">
        <v>41</v>
      </c>
      <c r="L1548" s="2" t="s">
        <v>35</v>
      </c>
    </row>
    <row r="1549" spans="1:12" x14ac:dyDescent="0.2">
      <c r="A1549" s="2">
        <v>101948</v>
      </c>
      <c r="B1549" s="17">
        <v>45494</v>
      </c>
      <c r="C1549" s="2" t="s">
        <v>974</v>
      </c>
      <c r="D1549" s="2" t="s">
        <v>181</v>
      </c>
      <c r="E1549" s="2" t="s">
        <v>14</v>
      </c>
      <c r="F1549" s="2" t="s">
        <v>106</v>
      </c>
      <c r="G1549" s="2" t="s">
        <v>135</v>
      </c>
      <c r="H1549" s="2"/>
      <c r="I1549" s="2">
        <v>3427.19</v>
      </c>
      <c r="J1549" s="2">
        <v>0</v>
      </c>
      <c r="K1549" s="2" t="s">
        <v>17</v>
      </c>
      <c r="L1549" s="2" t="s">
        <v>143</v>
      </c>
    </row>
    <row r="1550" spans="1:12" x14ac:dyDescent="0.2">
      <c r="A1550" s="2">
        <v>101983</v>
      </c>
      <c r="B1550" s="18">
        <v>45591</v>
      </c>
      <c r="C1550" s="2" t="s">
        <v>882</v>
      </c>
      <c r="D1550" s="2" t="s">
        <v>181</v>
      </c>
      <c r="E1550" s="2" t="s">
        <v>119</v>
      </c>
      <c r="F1550" s="2" t="s">
        <v>191</v>
      </c>
      <c r="G1550" s="2" t="s">
        <v>116</v>
      </c>
      <c r="H1550" s="2">
        <v>9</v>
      </c>
      <c r="I1550" s="2">
        <v>22966.61</v>
      </c>
      <c r="J1550" s="2">
        <v>0</v>
      </c>
      <c r="K1550" s="2" t="s">
        <v>24</v>
      </c>
      <c r="L1550" s="2" t="s">
        <v>143</v>
      </c>
    </row>
    <row r="1551" spans="1:12" x14ac:dyDescent="0.2">
      <c r="A1551" s="2">
        <v>100837</v>
      </c>
      <c r="B1551" s="17">
        <v>45335</v>
      </c>
      <c r="C1551" s="2" t="s">
        <v>471</v>
      </c>
      <c r="D1551" s="2" t="s">
        <v>175</v>
      </c>
      <c r="E1551" s="2" t="s">
        <v>38</v>
      </c>
      <c r="F1551" s="2" t="s">
        <v>50</v>
      </c>
      <c r="G1551" s="2" t="s">
        <v>207</v>
      </c>
      <c r="H1551" s="2">
        <v>8</v>
      </c>
      <c r="I1551" s="2">
        <v>2453.38</v>
      </c>
      <c r="J1551" s="2">
        <v>0.25</v>
      </c>
      <c r="K1551" s="2" t="s">
        <v>83</v>
      </c>
      <c r="L1551" s="2" t="s">
        <v>121</v>
      </c>
    </row>
    <row r="1552" spans="1:12" x14ac:dyDescent="0.2">
      <c r="A1552" s="2">
        <v>100843</v>
      </c>
      <c r="B1552" s="17">
        <v>45636</v>
      </c>
      <c r="C1552" s="2" t="s">
        <v>488</v>
      </c>
      <c r="D1552" s="2" t="s">
        <v>131</v>
      </c>
      <c r="E1552" s="2" t="s">
        <v>21</v>
      </c>
      <c r="F1552" s="2" t="s">
        <v>15</v>
      </c>
      <c r="G1552" s="2" t="s">
        <v>16</v>
      </c>
      <c r="H1552" s="2">
        <v>10</v>
      </c>
      <c r="I1552" s="2">
        <v>13499.29</v>
      </c>
      <c r="J1552" s="2">
        <v>0</v>
      </c>
      <c r="K1552" s="2" t="s">
        <v>41</v>
      </c>
      <c r="L1552" s="2" t="s">
        <v>121</v>
      </c>
    </row>
    <row r="1553" spans="1:12" x14ac:dyDescent="0.2">
      <c r="A1553" s="2">
        <v>100960</v>
      </c>
      <c r="B1553" s="2" t="s">
        <v>975</v>
      </c>
      <c r="C1553" s="2" t="s">
        <v>953</v>
      </c>
      <c r="D1553" s="2" t="s">
        <v>181</v>
      </c>
      <c r="E1553" s="2" t="s">
        <v>119</v>
      </c>
      <c r="F1553" s="2" t="s">
        <v>96</v>
      </c>
      <c r="G1553" s="2" t="s">
        <v>111</v>
      </c>
      <c r="H1553" s="2">
        <v>9</v>
      </c>
      <c r="I1553" s="2" t="s">
        <v>976</v>
      </c>
      <c r="J1553" s="2">
        <v>0</v>
      </c>
      <c r="K1553" s="2" t="s">
        <v>83</v>
      </c>
      <c r="L1553" s="2" t="s">
        <v>143</v>
      </c>
    </row>
    <row r="1554" spans="1:12" x14ac:dyDescent="0.2">
      <c r="A1554" s="2">
        <v>100593</v>
      </c>
      <c r="B1554" s="17">
        <v>45442</v>
      </c>
      <c r="C1554" s="2"/>
      <c r="D1554" s="2" t="s">
        <v>58</v>
      </c>
      <c r="E1554" s="2" t="s">
        <v>69</v>
      </c>
      <c r="F1554" s="2" t="s">
        <v>33</v>
      </c>
      <c r="G1554" s="2" t="s">
        <v>81</v>
      </c>
      <c r="H1554" s="2">
        <v>9</v>
      </c>
      <c r="I1554" s="2">
        <v>71.62</v>
      </c>
      <c r="J1554" s="2">
        <v>0.2</v>
      </c>
      <c r="K1554" s="2" t="s">
        <v>24</v>
      </c>
      <c r="L1554" s="2" t="s">
        <v>121</v>
      </c>
    </row>
    <row r="1555" spans="1:12" x14ac:dyDescent="0.2">
      <c r="A1555" s="2">
        <v>101315</v>
      </c>
      <c r="B1555" s="18">
        <v>45515</v>
      </c>
      <c r="C1555" s="2" t="s">
        <v>977</v>
      </c>
      <c r="D1555" s="2" t="s">
        <v>31</v>
      </c>
      <c r="E1555" s="2" t="s">
        <v>54</v>
      </c>
      <c r="F1555" s="2" t="s">
        <v>106</v>
      </c>
      <c r="G1555" s="2" t="s">
        <v>156</v>
      </c>
      <c r="H1555" s="2">
        <v>1</v>
      </c>
      <c r="I1555" s="2">
        <v>3314.37</v>
      </c>
      <c r="J1555" s="2">
        <v>0.05</v>
      </c>
      <c r="K1555" s="2" t="s">
        <v>17</v>
      </c>
      <c r="L1555" s="2" t="s">
        <v>18</v>
      </c>
    </row>
    <row r="1556" spans="1:12" x14ac:dyDescent="0.2">
      <c r="A1556" s="2">
        <v>101526</v>
      </c>
      <c r="B1556" s="2" t="s">
        <v>489</v>
      </c>
      <c r="C1556" s="2" t="s">
        <v>98</v>
      </c>
      <c r="D1556" s="2" t="s">
        <v>101</v>
      </c>
      <c r="E1556" s="2" t="s">
        <v>69</v>
      </c>
      <c r="F1556" s="2" t="s">
        <v>55</v>
      </c>
      <c r="G1556" s="2" t="s">
        <v>62</v>
      </c>
      <c r="H1556" s="2">
        <v>11</v>
      </c>
      <c r="I1556" s="2">
        <v>2888.47</v>
      </c>
      <c r="J1556" s="2">
        <v>0.2</v>
      </c>
      <c r="K1556" s="2" t="s">
        <v>83</v>
      </c>
      <c r="L1556" s="2" t="s">
        <v>35</v>
      </c>
    </row>
    <row r="1557" spans="1:12" x14ac:dyDescent="0.2">
      <c r="A1557" s="2">
        <v>101292</v>
      </c>
      <c r="B1557" s="18">
        <v>45354</v>
      </c>
      <c r="C1557" s="2" t="s">
        <v>836</v>
      </c>
      <c r="D1557" s="2" t="s">
        <v>129</v>
      </c>
      <c r="E1557" s="2" t="s">
        <v>49</v>
      </c>
      <c r="F1557" s="2" t="s">
        <v>223</v>
      </c>
      <c r="G1557" s="2" t="s">
        <v>62</v>
      </c>
      <c r="H1557" s="2">
        <v>10</v>
      </c>
      <c r="I1557" s="2" t="s">
        <v>978</v>
      </c>
      <c r="J1557" s="2">
        <v>0</v>
      </c>
      <c r="K1557" s="2" t="s">
        <v>83</v>
      </c>
      <c r="L1557" s="2" t="s">
        <v>42</v>
      </c>
    </row>
    <row r="1558" spans="1:12" x14ac:dyDescent="0.2">
      <c r="A1558" s="2">
        <v>100344</v>
      </c>
      <c r="B1558" s="2" t="s">
        <v>979</v>
      </c>
      <c r="C1558" s="2" t="s">
        <v>183</v>
      </c>
      <c r="D1558" s="2" t="s">
        <v>129</v>
      </c>
      <c r="E1558" s="2" t="s">
        <v>49</v>
      </c>
      <c r="F1558" s="2" t="s">
        <v>191</v>
      </c>
      <c r="G1558" s="2" t="s">
        <v>116</v>
      </c>
      <c r="H1558" s="2">
        <v>12</v>
      </c>
      <c r="I1558" s="2">
        <v>2501.79</v>
      </c>
      <c r="J1558" s="2">
        <v>0</v>
      </c>
      <c r="K1558" s="2" t="s">
        <v>41</v>
      </c>
      <c r="L1558" s="2" t="s">
        <v>18</v>
      </c>
    </row>
    <row r="1559" spans="1:12" x14ac:dyDescent="0.2">
      <c r="A1559" s="2">
        <v>101669</v>
      </c>
      <c r="B1559" s="17">
        <v>45609</v>
      </c>
      <c r="C1559" s="2" t="s">
        <v>420</v>
      </c>
      <c r="D1559" s="2" t="s">
        <v>181</v>
      </c>
      <c r="E1559" s="2" t="s">
        <v>119</v>
      </c>
      <c r="F1559" s="2" t="s">
        <v>15</v>
      </c>
      <c r="G1559" s="2" t="s">
        <v>205</v>
      </c>
      <c r="H1559" s="2">
        <v>10</v>
      </c>
      <c r="I1559" s="2">
        <v>3733.88</v>
      </c>
      <c r="J1559" s="2">
        <v>15</v>
      </c>
      <c r="K1559" s="2" t="s">
        <v>66</v>
      </c>
      <c r="L1559" s="2" t="s">
        <v>143</v>
      </c>
    </row>
    <row r="1560" spans="1:12" x14ac:dyDescent="0.2">
      <c r="A1560" s="2">
        <v>101594</v>
      </c>
      <c r="B1560" s="2" t="s">
        <v>708</v>
      </c>
      <c r="C1560" s="2" t="s">
        <v>980</v>
      </c>
      <c r="D1560" s="2" t="s">
        <v>61</v>
      </c>
      <c r="E1560" s="2" t="s">
        <v>14</v>
      </c>
      <c r="F1560" s="2" t="s">
        <v>124</v>
      </c>
      <c r="G1560" s="2" t="s">
        <v>99</v>
      </c>
      <c r="H1560" s="2">
        <v>8</v>
      </c>
      <c r="I1560" s="2">
        <v>5935.95</v>
      </c>
      <c r="J1560" s="2">
        <v>0.05</v>
      </c>
      <c r="K1560" s="2" t="s">
        <v>83</v>
      </c>
      <c r="L1560" s="2" t="s">
        <v>25</v>
      </c>
    </row>
    <row r="1561" spans="1:12" x14ac:dyDescent="0.2">
      <c r="A1561" s="2">
        <v>100294</v>
      </c>
      <c r="B1561" s="18">
        <v>45564</v>
      </c>
      <c r="C1561" s="2" t="s">
        <v>683</v>
      </c>
      <c r="D1561" s="2" t="s">
        <v>20</v>
      </c>
      <c r="E1561" s="2" t="s">
        <v>133</v>
      </c>
      <c r="F1561" s="2" t="s">
        <v>120</v>
      </c>
      <c r="G1561" s="2" t="s">
        <v>75</v>
      </c>
      <c r="H1561" s="2">
        <v>6</v>
      </c>
      <c r="I1561" s="2" t="s">
        <v>981</v>
      </c>
      <c r="J1561" s="2">
        <v>0</v>
      </c>
      <c r="K1561" s="2" t="s">
        <v>29</v>
      </c>
      <c r="L1561" s="2" t="s">
        <v>87</v>
      </c>
    </row>
    <row r="1562" spans="1:12" x14ac:dyDescent="0.2">
      <c r="A1562" s="2">
        <v>100365</v>
      </c>
      <c r="B1562" s="18">
        <v>45550</v>
      </c>
      <c r="C1562" s="2" t="s">
        <v>805</v>
      </c>
      <c r="D1562" s="2" t="s">
        <v>85</v>
      </c>
      <c r="E1562" s="2" t="s">
        <v>119</v>
      </c>
      <c r="F1562" s="2" t="s">
        <v>28</v>
      </c>
      <c r="G1562" s="2" t="s">
        <v>16</v>
      </c>
      <c r="H1562" s="2">
        <v>2</v>
      </c>
      <c r="I1562" s="2">
        <v>14950.88</v>
      </c>
      <c r="J1562" s="2">
        <v>0.1</v>
      </c>
      <c r="K1562" s="2" t="s">
        <v>29</v>
      </c>
      <c r="L1562" s="2" t="s">
        <v>35</v>
      </c>
    </row>
    <row r="1563" spans="1:12" x14ac:dyDescent="0.2">
      <c r="A1563" s="2">
        <v>100179</v>
      </c>
      <c r="B1563" s="18">
        <v>45534</v>
      </c>
      <c r="C1563" s="2" t="s">
        <v>518</v>
      </c>
      <c r="D1563" s="2" t="s">
        <v>48</v>
      </c>
      <c r="E1563" s="2" t="s">
        <v>49</v>
      </c>
      <c r="F1563" s="2" t="s">
        <v>102</v>
      </c>
      <c r="G1563" s="2" t="s">
        <v>156</v>
      </c>
      <c r="H1563" s="2">
        <v>1</v>
      </c>
      <c r="I1563" s="2">
        <v>3118.38</v>
      </c>
      <c r="J1563" s="2">
        <v>0.15</v>
      </c>
      <c r="K1563" s="2" t="s">
        <v>17</v>
      </c>
      <c r="L1563" s="2" t="s">
        <v>143</v>
      </c>
    </row>
    <row r="1564" spans="1:12" x14ac:dyDescent="0.2">
      <c r="A1564" s="2">
        <v>100660</v>
      </c>
      <c r="B1564" s="18">
        <v>45474</v>
      </c>
      <c r="C1564" s="2" t="s">
        <v>411</v>
      </c>
      <c r="D1564" s="2" t="s">
        <v>101</v>
      </c>
      <c r="E1564" s="2" t="s">
        <v>38</v>
      </c>
      <c r="F1564" s="2" t="s">
        <v>106</v>
      </c>
      <c r="G1564" s="2" t="s">
        <v>156</v>
      </c>
      <c r="H1564" s="2">
        <v>2</v>
      </c>
      <c r="I1564" s="2">
        <v>2486.71</v>
      </c>
      <c r="J1564" s="2">
        <v>5</v>
      </c>
      <c r="K1564" s="2" t="s">
        <v>24</v>
      </c>
      <c r="L1564" s="2" t="s">
        <v>143</v>
      </c>
    </row>
    <row r="1565" spans="1:12" x14ac:dyDescent="0.2">
      <c r="A1565" s="2">
        <v>100997</v>
      </c>
      <c r="B1565" s="17">
        <v>45618</v>
      </c>
      <c r="C1565" s="2" t="s">
        <v>351</v>
      </c>
      <c r="D1565" s="2" t="s">
        <v>20</v>
      </c>
      <c r="E1565" s="2" t="s">
        <v>133</v>
      </c>
      <c r="F1565" s="2" t="s">
        <v>124</v>
      </c>
      <c r="G1565" s="2" t="s">
        <v>99</v>
      </c>
      <c r="H1565" s="2">
        <v>7</v>
      </c>
      <c r="I1565" s="2">
        <v>1495.49</v>
      </c>
      <c r="J1565" s="2"/>
      <c r="K1565" s="2" t="s">
        <v>17</v>
      </c>
      <c r="L1565" s="2" t="s">
        <v>18</v>
      </c>
    </row>
    <row r="1566" spans="1:12" x14ac:dyDescent="0.2">
      <c r="A1566" s="2">
        <v>100015</v>
      </c>
      <c r="B1566" s="18">
        <v>45360</v>
      </c>
      <c r="C1566" s="2" t="s">
        <v>631</v>
      </c>
      <c r="D1566" s="2" t="s">
        <v>175</v>
      </c>
      <c r="E1566" s="2" t="s">
        <v>69</v>
      </c>
      <c r="F1566" s="2" t="s">
        <v>223</v>
      </c>
      <c r="G1566" s="2" t="s">
        <v>51</v>
      </c>
      <c r="H1566" s="2">
        <v>11</v>
      </c>
      <c r="I1566" s="2">
        <v>11820.77</v>
      </c>
      <c r="J1566" s="2">
        <v>0</v>
      </c>
      <c r="K1566" s="2" t="s">
        <v>83</v>
      </c>
      <c r="L1566" s="2" t="s">
        <v>42</v>
      </c>
    </row>
    <row r="1567" spans="1:12" x14ac:dyDescent="0.2">
      <c r="A1567" s="2">
        <v>101111</v>
      </c>
      <c r="B1567" s="2" t="s">
        <v>624</v>
      </c>
      <c r="C1567" s="2" t="s">
        <v>294</v>
      </c>
      <c r="D1567" s="2" t="s">
        <v>13</v>
      </c>
      <c r="E1567" s="2" t="s">
        <v>14</v>
      </c>
      <c r="F1567" s="2" t="s">
        <v>124</v>
      </c>
      <c r="G1567" s="2" t="s">
        <v>62</v>
      </c>
      <c r="H1567" s="2">
        <v>7</v>
      </c>
      <c r="I1567" s="2">
        <v>10038.950000000001</v>
      </c>
      <c r="J1567" s="2">
        <v>0</v>
      </c>
      <c r="K1567" s="2" t="s">
        <v>24</v>
      </c>
      <c r="L1567" s="2" t="s">
        <v>87</v>
      </c>
    </row>
    <row r="1568" spans="1:12" x14ac:dyDescent="0.2">
      <c r="A1568" s="2">
        <v>101395</v>
      </c>
      <c r="B1568" s="18">
        <v>45387</v>
      </c>
      <c r="C1568" s="2" t="s">
        <v>619</v>
      </c>
      <c r="D1568" s="2" t="s">
        <v>20</v>
      </c>
      <c r="E1568" s="2" t="s">
        <v>21</v>
      </c>
      <c r="F1568" s="2" t="s">
        <v>124</v>
      </c>
      <c r="G1568" s="2" t="s">
        <v>62</v>
      </c>
      <c r="H1568" s="2">
        <v>10</v>
      </c>
      <c r="I1568" s="2">
        <v>9835.98</v>
      </c>
      <c r="J1568" s="2">
        <v>0.15</v>
      </c>
      <c r="K1568" s="2" t="s">
        <v>83</v>
      </c>
      <c r="L1568" s="2" t="s">
        <v>52</v>
      </c>
    </row>
    <row r="1569" spans="1:12" x14ac:dyDescent="0.2">
      <c r="A1569" s="2">
        <v>100166</v>
      </c>
      <c r="B1569" s="2" t="s">
        <v>958</v>
      </c>
      <c r="C1569" s="2" t="s">
        <v>359</v>
      </c>
      <c r="D1569" s="2" t="s">
        <v>13</v>
      </c>
      <c r="E1569" s="2" t="s">
        <v>14</v>
      </c>
      <c r="F1569" s="2" t="s">
        <v>33</v>
      </c>
      <c r="G1569" s="2" t="s">
        <v>93</v>
      </c>
      <c r="H1569" s="2">
        <v>3</v>
      </c>
      <c r="I1569" s="2">
        <v>546.72</v>
      </c>
      <c r="J1569" s="2">
        <v>0</v>
      </c>
      <c r="K1569" s="2" t="s">
        <v>17</v>
      </c>
      <c r="L1569" s="2" t="s">
        <v>18</v>
      </c>
    </row>
    <row r="1570" spans="1:12" x14ac:dyDescent="0.2">
      <c r="A1570" s="2">
        <v>101901</v>
      </c>
      <c r="B1570" s="18">
        <v>45398</v>
      </c>
      <c r="C1570" s="2" t="s">
        <v>816</v>
      </c>
      <c r="D1570" s="2" t="s">
        <v>27</v>
      </c>
      <c r="E1570" s="2" t="s">
        <v>21</v>
      </c>
      <c r="F1570" s="2" t="s">
        <v>70</v>
      </c>
      <c r="G1570" s="2" t="s">
        <v>149</v>
      </c>
      <c r="H1570" s="2">
        <v>2</v>
      </c>
      <c r="I1570" s="2">
        <v>40734.449999999997</v>
      </c>
      <c r="J1570" s="2"/>
      <c r="K1570" s="2" t="s">
        <v>29</v>
      </c>
      <c r="L1570" s="2" t="s">
        <v>18</v>
      </c>
    </row>
    <row r="1571" spans="1:12" x14ac:dyDescent="0.2">
      <c r="A1571" s="2">
        <v>101360</v>
      </c>
      <c r="B1571" s="18">
        <v>45330</v>
      </c>
      <c r="C1571" s="2" t="s">
        <v>315</v>
      </c>
      <c r="D1571" s="2" t="s">
        <v>31</v>
      </c>
      <c r="E1571" s="2" t="s">
        <v>54</v>
      </c>
      <c r="F1571" s="2" t="s">
        <v>64</v>
      </c>
      <c r="G1571" s="2" t="s">
        <v>242</v>
      </c>
      <c r="H1571" s="2"/>
      <c r="I1571" s="2">
        <v>864.97</v>
      </c>
      <c r="J1571" s="2">
        <v>20</v>
      </c>
      <c r="K1571" s="2" t="s">
        <v>17</v>
      </c>
      <c r="L1571" s="2" t="s">
        <v>18</v>
      </c>
    </row>
    <row r="1572" spans="1:12" x14ac:dyDescent="0.2">
      <c r="A1572" s="2">
        <v>100060</v>
      </c>
      <c r="B1572" s="17">
        <v>45512</v>
      </c>
      <c r="C1572" s="2" t="s">
        <v>857</v>
      </c>
      <c r="D1572" s="2" t="s">
        <v>85</v>
      </c>
      <c r="E1572" s="2" t="s">
        <v>119</v>
      </c>
      <c r="F1572" s="2" t="s">
        <v>191</v>
      </c>
      <c r="G1572" s="2" t="s">
        <v>16</v>
      </c>
      <c r="H1572" s="2">
        <v>3</v>
      </c>
      <c r="I1572" s="2">
        <v>3259.99</v>
      </c>
      <c r="J1572" s="2"/>
      <c r="K1572" s="2" t="s">
        <v>66</v>
      </c>
      <c r="L1572" s="2" t="s">
        <v>18</v>
      </c>
    </row>
    <row r="1573" spans="1:12" x14ac:dyDescent="0.2">
      <c r="A1573" s="2">
        <v>100710</v>
      </c>
      <c r="B1573" s="18">
        <v>45450</v>
      </c>
      <c r="C1573" s="2" t="s">
        <v>337</v>
      </c>
      <c r="D1573" s="2" t="s">
        <v>92</v>
      </c>
      <c r="E1573" s="2" t="s">
        <v>54</v>
      </c>
      <c r="F1573" s="2" t="s">
        <v>70</v>
      </c>
      <c r="G1573" s="2" t="s">
        <v>153</v>
      </c>
      <c r="H1573" s="2">
        <v>6</v>
      </c>
      <c r="I1573" s="2">
        <v>30427.87</v>
      </c>
      <c r="J1573" s="2">
        <v>0.2</v>
      </c>
      <c r="K1573" s="2" t="s">
        <v>41</v>
      </c>
      <c r="L1573" s="2" t="s">
        <v>87</v>
      </c>
    </row>
    <row r="1574" spans="1:12" x14ac:dyDescent="0.2">
      <c r="A1574" s="2">
        <v>100677</v>
      </c>
      <c r="B1574" s="2" t="s">
        <v>982</v>
      </c>
      <c r="C1574" s="2"/>
      <c r="D1574" s="2" t="s">
        <v>175</v>
      </c>
      <c r="E1574" s="2" t="s">
        <v>38</v>
      </c>
      <c r="F1574" s="2" t="s">
        <v>120</v>
      </c>
      <c r="G1574" s="2" t="s">
        <v>141</v>
      </c>
      <c r="H1574" s="2">
        <v>2</v>
      </c>
      <c r="I1574" s="2">
        <v>1722.87</v>
      </c>
      <c r="J1574" s="2">
        <v>0</v>
      </c>
      <c r="K1574" s="2" t="s">
        <v>83</v>
      </c>
      <c r="L1574" s="2" t="s">
        <v>35</v>
      </c>
    </row>
    <row r="1575" spans="1:12" x14ac:dyDescent="0.2">
      <c r="A1575" s="2">
        <v>101379</v>
      </c>
      <c r="B1575" s="17">
        <v>45630</v>
      </c>
      <c r="C1575" s="2" t="s">
        <v>603</v>
      </c>
      <c r="D1575" s="2" t="s">
        <v>13</v>
      </c>
      <c r="E1575" s="2" t="s">
        <v>119</v>
      </c>
      <c r="F1575" s="2" t="s">
        <v>96</v>
      </c>
      <c r="G1575" s="2" t="s">
        <v>149</v>
      </c>
      <c r="H1575" s="2">
        <v>7</v>
      </c>
      <c r="I1575" s="2">
        <v>12926.41</v>
      </c>
      <c r="J1575" s="2">
        <v>0</v>
      </c>
      <c r="K1575" s="2" t="s">
        <v>83</v>
      </c>
      <c r="L1575" s="2" t="s">
        <v>143</v>
      </c>
    </row>
    <row r="1576" spans="1:12" x14ac:dyDescent="0.2">
      <c r="A1576" s="2">
        <v>100781</v>
      </c>
      <c r="B1576" s="17">
        <v>45493</v>
      </c>
      <c r="C1576" s="2" t="s">
        <v>686</v>
      </c>
      <c r="D1576" s="2" t="s">
        <v>61</v>
      </c>
      <c r="E1576" s="2" t="s">
        <v>119</v>
      </c>
      <c r="F1576" s="2" t="s">
        <v>33</v>
      </c>
      <c r="G1576" s="2" t="s">
        <v>158</v>
      </c>
      <c r="H1576" s="2">
        <v>6</v>
      </c>
      <c r="I1576" s="2">
        <v>189.37</v>
      </c>
      <c r="J1576" s="2">
        <v>0</v>
      </c>
      <c r="K1576" s="2" t="s">
        <v>66</v>
      </c>
      <c r="L1576" s="2" t="s">
        <v>52</v>
      </c>
    </row>
    <row r="1577" spans="1:12" x14ac:dyDescent="0.2">
      <c r="A1577" s="2">
        <v>100425</v>
      </c>
      <c r="B1577" s="18">
        <v>45584</v>
      </c>
      <c r="C1577" s="2" t="s">
        <v>650</v>
      </c>
      <c r="D1577" s="2" t="s">
        <v>20</v>
      </c>
      <c r="E1577" s="2" t="s">
        <v>21</v>
      </c>
      <c r="F1577" s="2" t="s">
        <v>70</v>
      </c>
      <c r="G1577" s="2" t="s">
        <v>46</v>
      </c>
      <c r="H1577" s="2">
        <v>3</v>
      </c>
      <c r="I1577" s="2">
        <v>17970.509999999998</v>
      </c>
      <c r="J1577" s="2">
        <v>25</v>
      </c>
      <c r="K1577" s="2" t="s">
        <v>17</v>
      </c>
      <c r="L1577" s="2" t="s">
        <v>18</v>
      </c>
    </row>
    <row r="1578" spans="1:12" x14ac:dyDescent="0.2">
      <c r="A1578" s="2">
        <v>100293</v>
      </c>
      <c r="B1578" s="2" t="s">
        <v>983</v>
      </c>
      <c r="C1578" s="2" t="s">
        <v>218</v>
      </c>
      <c r="D1578" s="2" t="s">
        <v>48</v>
      </c>
      <c r="E1578" s="2" t="s">
        <v>49</v>
      </c>
      <c r="F1578" s="2" t="s">
        <v>33</v>
      </c>
      <c r="G1578" s="2" t="s">
        <v>81</v>
      </c>
      <c r="H1578" s="2">
        <v>10</v>
      </c>
      <c r="I1578" s="2">
        <v>536.15</v>
      </c>
      <c r="J1578" s="2">
        <v>0</v>
      </c>
      <c r="K1578" s="2" t="s">
        <v>29</v>
      </c>
      <c r="L1578" s="2" t="s">
        <v>42</v>
      </c>
    </row>
    <row r="1579" spans="1:12" x14ac:dyDescent="0.2">
      <c r="A1579" s="2">
        <v>101066</v>
      </c>
      <c r="B1579" s="17">
        <v>45568</v>
      </c>
      <c r="C1579" s="2" t="s">
        <v>596</v>
      </c>
      <c r="D1579" s="2" t="s">
        <v>20</v>
      </c>
      <c r="E1579" s="2" t="s">
        <v>21</v>
      </c>
      <c r="F1579" s="2" t="s">
        <v>96</v>
      </c>
      <c r="G1579" s="2" t="s">
        <v>97</v>
      </c>
      <c r="H1579" s="2">
        <v>11</v>
      </c>
      <c r="I1579" s="2">
        <v>36801.440000000002</v>
      </c>
      <c r="J1579" s="2">
        <v>0</v>
      </c>
      <c r="K1579" s="2" t="s">
        <v>17</v>
      </c>
      <c r="L1579" s="2" t="s">
        <v>121</v>
      </c>
    </row>
    <row r="1580" spans="1:12" x14ac:dyDescent="0.2">
      <c r="A1580" s="2">
        <v>101637</v>
      </c>
      <c r="B1580" s="2" t="s">
        <v>511</v>
      </c>
      <c r="C1580" s="2" t="s">
        <v>403</v>
      </c>
      <c r="D1580" s="2" t="s">
        <v>85</v>
      </c>
      <c r="E1580" s="2" t="s">
        <v>119</v>
      </c>
      <c r="F1580" s="2" t="s">
        <v>96</v>
      </c>
      <c r="G1580" s="2" t="s">
        <v>97</v>
      </c>
      <c r="H1580" s="2">
        <v>7</v>
      </c>
      <c r="I1580" s="2">
        <v>5655.33</v>
      </c>
      <c r="J1580" s="2">
        <v>0</v>
      </c>
      <c r="K1580" s="2" t="s">
        <v>83</v>
      </c>
      <c r="L1580" s="2" t="s">
        <v>143</v>
      </c>
    </row>
    <row r="1581" spans="1:12" x14ac:dyDescent="0.2">
      <c r="A1581" s="2">
        <v>100330</v>
      </c>
      <c r="B1581" s="17">
        <v>45514</v>
      </c>
      <c r="C1581" s="2" t="s">
        <v>328</v>
      </c>
      <c r="D1581" s="2" t="s">
        <v>20</v>
      </c>
      <c r="E1581" s="2" t="s">
        <v>21</v>
      </c>
      <c r="F1581" s="2" t="s">
        <v>70</v>
      </c>
      <c r="G1581" s="2" t="s">
        <v>97</v>
      </c>
      <c r="H1581" s="2">
        <v>6</v>
      </c>
      <c r="I1581" s="2">
        <v>20157.3</v>
      </c>
      <c r="J1581" s="2">
        <v>0</v>
      </c>
      <c r="K1581" s="2" t="s">
        <v>17</v>
      </c>
      <c r="L1581" s="2" t="s">
        <v>52</v>
      </c>
    </row>
    <row r="1582" spans="1:12" x14ac:dyDescent="0.2">
      <c r="A1582" s="2">
        <v>100430</v>
      </c>
      <c r="B1582" s="17">
        <v>45555</v>
      </c>
      <c r="C1582" s="2" t="s">
        <v>168</v>
      </c>
      <c r="D1582" s="2" t="s">
        <v>61</v>
      </c>
      <c r="E1582" s="2" t="s">
        <v>14</v>
      </c>
      <c r="F1582" s="2" t="s">
        <v>74</v>
      </c>
      <c r="G1582" s="2" t="s">
        <v>141</v>
      </c>
      <c r="H1582" s="2">
        <v>11</v>
      </c>
      <c r="I1582" s="2" t="s">
        <v>984</v>
      </c>
      <c r="J1582" s="2">
        <v>0.1</v>
      </c>
      <c r="K1582" s="2" t="s">
        <v>41</v>
      </c>
      <c r="L1582" s="2" t="s">
        <v>18</v>
      </c>
    </row>
    <row r="1583" spans="1:12" x14ac:dyDescent="0.2">
      <c r="A1583" s="2">
        <v>101013</v>
      </c>
      <c r="B1583" s="18">
        <v>45387</v>
      </c>
      <c r="C1583" s="2" t="s">
        <v>855</v>
      </c>
      <c r="D1583" s="2" t="s">
        <v>85</v>
      </c>
      <c r="E1583" s="2" t="s">
        <v>14</v>
      </c>
      <c r="F1583" s="2" t="s">
        <v>33</v>
      </c>
      <c r="G1583" s="2" t="s">
        <v>93</v>
      </c>
      <c r="H1583" s="2">
        <v>7</v>
      </c>
      <c r="I1583" s="2">
        <v>58.39</v>
      </c>
      <c r="J1583" s="2">
        <v>0</v>
      </c>
      <c r="K1583" s="2" t="s">
        <v>24</v>
      </c>
      <c r="L1583" s="2" t="s">
        <v>52</v>
      </c>
    </row>
    <row r="1584" spans="1:12" x14ac:dyDescent="0.2">
      <c r="A1584" s="2">
        <v>100080</v>
      </c>
      <c r="B1584" s="17">
        <v>45336</v>
      </c>
      <c r="C1584" s="2" t="s">
        <v>853</v>
      </c>
      <c r="D1584" s="2" t="s">
        <v>175</v>
      </c>
      <c r="E1584" s="2" t="s">
        <v>38</v>
      </c>
      <c r="F1584" s="2" t="s">
        <v>15</v>
      </c>
      <c r="G1584" s="2" t="s">
        <v>205</v>
      </c>
      <c r="H1584" s="2">
        <v>9</v>
      </c>
      <c r="I1584" s="2" t="s">
        <v>985</v>
      </c>
      <c r="J1584" s="2">
        <v>0</v>
      </c>
      <c r="K1584" s="2" t="s">
        <v>66</v>
      </c>
      <c r="L1584" s="2" t="s">
        <v>25</v>
      </c>
    </row>
    <row r="1585" spans="1:12" x14ac:dyDescent="0.2">
      <c r="A1585" s="2">
        <v>101053</v>
      </c>
      <c r="B1585" s="17">
        <v>45567</v>
      </c>
      <c r="C1585" s="2" t="s">
        <v>533</v>
      </c>
      <c r="D1585" s="2" t="s">
        <v>101</v>
      </c>
      <c r="E1585" s="2" t="s">
        <v>38</v>
      </c>
      <c r="F1585" s="2" t="s">
        <v>22</v>
      </c>
      <c r="G1585" s="2" t="s">
        <v>145</v>
      </c>
      <c r="H1585" s="2">
        <v>4</v>
      </c>
      <c r="I1585" s="2">
        <v>3228.63</v>
      </c>
      <c r="J1585" s="2">
        <v>0</v>
      </c>
      <c r="K1585" s="2" t="s">
        <v>24</v>
      </c>
      <c r="L1585" s="2" t="s">
        <v>25</v>
      </c>
    </row>
    <row r="1586" spans="1:12" x14ac:dyDescent="0.2">
      <c r="A1586" s="2">
        <v>100938</v>
      </c>
      <c r="B1586" s="17">
        <v>45647</v>
      </c>
      <c r="C1586" s="2" t="s">
        <v>504</v>
      </c>
      <c r="D1586" s="2" t="s">
        <v>13</v>
      </c>
      <c r="E1586" s="2" t="s">
        <v>119</v>
      </c>
      <c r="F1586" s="2" t="s">
        <v>33</v>
      </c>
      <c r="G1586" s="2" t="s">
        <v>81</v>
      </c>
      <c r="H1586" s="2">
        <v>3</v>
      </c>
      <c r="I1586" s="2" t="s">
        <v>986</v>
      </c>
      <c r="J1586" s="2">
        <v>20</v>
      </c>
      <c r="K1586" s="2" t="s">
        <v>29</v>
      </c>
      <c r="L1586" s="2" t="s">
        <v>42</v>
      </c>
    </row>
    <row r="1587" spans="1:12" x14ac:dyDescent="0.2">
      <c r="A1587" s="2">
        <v>100835</v>
      </c>
      <c r="B1587" s="18">
        <v>45537</v>
      </c>
      <c r="C1587" s="2" t="s">
        <v>309</v>
      </c>
      <c r="D1587" s="2" t="s">
        <v>92</v>
      </c>
      <c r="E1587" s="2" t="s">
        <v>54</v>
      </c>
      <c r="F1587" s="2" t="s">
        <v>223</v>
      </c>
      <c r="G1587" s="2" t="s">
        <v>56</v>
      </c>
      <c r="H1587" s="2">
        <v>2</v>
      </c>
      <c r="I1587" s="2">
        <v>7988.39</v>
      </c>
      <c r="J1587" s="2">
        <v>10</v>
      </c>
      <c r="K1587" s="2" t="s">
        <v>24</v>
      </c>
      <c r="L1587" s="2" t="s">
        <v>143</v>
      </c>
    </row>
    <row r="1588" spans="1:12" x14ac:dyDescent="0.2">
      <c r="A1588" s="2">
        <v>100750</v>
      </c>
      <c r="B1588" s="18">
        <v>45440</v>
      </c>
      <c r="C1588" s="2" t="s">
        <v>463</v>
      </c>
      <c r="D1588" s="2" t="s">
        <v>73</v>
      </c>
      <c r="E1588" s="2" t="s">
        <v>49</v>
      </c>
      <c r="F1588" s="2" t="s">
        <v>124</v>
      </c>
      <c r="G1588" s="2" t="s">
        <v>99</v>
      </c>
      <c r="H1588" s="2">
        <v>-1</v>
      </c>
      <c r="I1588" s="2">
        <v>4673.2299999999996</v>
      </c>
      <c r="J1588" s="2">
        <v>0.1</v>
      </c>
      <c r="K1588" s="2" t="s">
        <v>17</v>
      </c>
      <c r="L1588" s="2" t="s">
        <v>87</v>
      </c>
    </row>
    <row r="1589" spans="1:12" x14ac:dyDescent="0.2">
      <c r="A1589" s="2">
        <v>100891</v>
      </c>
      <c r="B1589" s="18">
        <v>45480</v>
      </c>
      <c r="C1589" s="2" t="s">
        <v>761</v>
      </c>
      <c r="D1589" s="2" t="s">
        <v>95</v>
      </c>
      <c r="E1589" s="2" t="s">
        <v>133</v>
      </c>
      <c r="F1589" s="2" t="s">
        <v>45</v>
      </c>
      <c r="G1589" s="2" t="s">
        <v>153</v>
      </c>
      <c r="H1589" s="2">
        <v>11</v>
      </c>
      <c r="I1589" s="2"/>
      <c r="J1589" s="2"/>
      <c r="K1589" s="2" t="s">
        <v>41</v>
      </c>
      <c r="L1589" s="2" t="s">
        <v>121</v>
      </c>
    </row>
    <row r="1590" spans="1:12" x14ac:dyDescent="0.2">
      <c r="A1590" s="2">
        <v>100255</v>
      </c>
      <c r="B1590" s="17">
        <v>45400</v>
      </c>
      <c r="C1590" s="2" t="s">
        <v>187</v>
      </c>
      <c r="D1590" s="2" t="s">
        <v>175</v>
      </c>
      <c r="E1590" s="2" t="s">
        <v>38</v>
      </c>
      <c r="F1590" s="2" t="s">
        <v>45</v>
      </c>
      <c r="G1590" s="2" t="s">
        <v>71</v>
      </c>
      <c r="H1590" s="2">
        <v>10</v>
      </c>
      <c r="I1590" s="2">
        <v>28707.54</v>
      </c>
      <c r="J1590" s="2">
        <v>0.15</v>
      </c>
      <c r="K1590" s="2" t="s">
        <v>41</v>
      </c>
      <c r="L1590" s="2" t="s">
        <v>52</v>
      </c>
    </row>
    <row r="1591" spans="1:12" x14ac:dyDescent="0.2">
      <c r="A1591" s="2">
        <v>101755</v>
      </c>
      <c r="B1591" s="17">
        <v>45299</v>
      </c>
      <c r="C1591" s="2" t="s">
        <v>346</v>
      </c>
      <c r="D1591" s="2" t="s">
        <v>20</v>
      </c>
      <c r="E1591" s="2" t="s">
        <v>21</v>
      </c>
      <c r="F1591" s="2" t="s">
        <v>120</v>
      </c>
      <c r="G1591" s="2" t="s">
        <v>145</v>
      </c>
      <c r="H1591" s="2">
        <v>1</v>
      </c>
      <c r="I1591" s="2"/>
      <c r="J1591" s="2">
        <v>20</v>
      </c>
      <c r="K1591" s="2" t="s">
        <v>41</v>
      </c>
      <c r="L1591" s="2" t="s">
        <v>52</v>
      </c>
    </row>
    <row r="1592" spans="1:12" x14ac:dyDescent="0.2">
      <c r="A1592" s="2">
        <v>101483</v>
      </c>
      <c r="B1592" s="17">
        <v>45424</v>
      </c>
      <c r="C1592" s="2" t="s">
        <v>219</v>
      </c>
      <c r="D1592" s="2" t="s">
        <v>31</v>
      </c>
      <c r="E1592" s="2" t="s">
        <v>32</v>
      </c>
      <c r="F1592" s="2" t="s">
        <v>22</v>
      </c>
      <c r="G1592" s="2" t="s">
        <v>145</v>
      </c>
      <c r="H1592" s="2">
        <v>6</v>
      </c>
      <c r="I1592" s="2">
        <v>2178.12</v>
      </c>
      <c r="J1592" s="2">
        <v>0.05</v>
      </c>
      <c r="K1592" s="2" t="s">
        <v>66</v>
      </c>
      <c r="L1592" s="2" t="s">
        <v>52</v>
      </c>
    </row>
    <row r="1593" spans="1:12" x14ac:dyDescent="0.2">
      <c r="A1593" s="2">
        <v>101980</v>
      </c>
      <c r="B1593" s="18">
        <v>45452</v>
      </c>
      <c r="C1593" s="2" t="s">
        <v>296</v>
      </c>
      <c r="D1593" s="2" t="s">
        <v>175</v>
      </c>
      <c r="E1593" s="2" t="s">
        <v>69</v>
      </c>
      <c r="F1593" s="2" t="s">
        <v>120</v>
      </c>
      <c r="G1593" s="2" t="s">
        <v>75</v>
      </c>
      <c r="H1593" s="2">
        <v>11</v>
      </c>
      <c r="I1593" s="2">
        <v>877.9</v>
      </c>
      <c r="J1593" s="2">
        <v>0</v>
      </c>
      <c r="K1593" s="2" t="s">
        <v>41</v>
      </c>
      <c r="L1593" s="2" t="s">
        <v>35</v>
      </c>
    </row>
    <row r="1594" spans="1:12" x14ac:dyDescent="0.2">
      <c r="A1594" s="2">
        <v>101408</v>
      </c>
      <c r="B1594" s="18">
        <v>45657</v>
      </c>
      <c r="C1594" s="2" t="s">
        <v>760</v>
      </c>
      <c r="D1594" s="2" t="s">
        <v>95</v>
      </c>
      <c r="E1594" s="2" t="s">
        <v>21</v>
      </c>
      <c r="F1594" s="2" t="s">
        <v>120</v>
      </c>
      <c r="G1594" s="2" t="s">
        <v>145</v>
      </c>
      <c r="H1594" s="2">
        <v>5</v>
      </c>
      <c r="I1594" s="2">
        <v>998.63</v>
      </c>
      <c r="J1594" s="2">
        <v>0</v>
      </c>
      <c r="K1594" s="2" t="s">
        <v>29</v>
      </c>
      <c r="L1594" s="2" t="s">
        <v>42</v>
      </c>
    </row>
    <row r="1595" spans="1:12" x14ac:dyDescent="0.2">
      <c r="A1595" s="2">
        <v>101338</v>
      </c>
      <c r="B1595" s="18">
        <v>45409</v>
      </c>
      <c r="C1595" s="2" t="s">
        <v>151</v>
      </c>
      <c r="D1595" s="2" t="s">
        <v>20</v>
      </c>
      <c r="E1595" s="2" t="s">
        <v>133</v>
      </c>
      <c r="F1595" s="2" t="s">
        <v>50</v>
      </c>
      <c r="G1595" s="2" t="s">
        <v>62</v>
      </c>
      <c r="H1595" s="2">
        <v>9</v>
      </c>
      <c r="I1595" s="2">
        <v>7084.15</v>
      </c>
      <c r="J1595" s="2">
        <v>20</v>
      </c>
      <c r="K1595" s="2" t="s">
        <v>24</v>
      </c>
      <c r="L1595" s="2" t="s">
        <v>143</v>
      </c>
    </row>
    <row r="1596" spans="1:12" x14ac:dyDescent="0.2">
      <c r="A1596" s="2">
        <v>101109</v>
      </c>
      <c r="B1596" s="17">
        <v>45511</v>
      </c>
      <c r="C1596" s="2" t="s">
        <v>614</v>
      </c>
      <c r="D1596" s="2" t="s">
        <v>27</v>
      </c>
      <c r="E1596" s="2" t="s">
        <v>21</v>
      </c>
      <c r="F1596" s="2" t="s">
        <v>223</v>
      </c>
      <c r="G1596" s="2" t="s">
        <v>51</v>
      </c>
      <c r="H1596" s="2">
        <v>5</v>
      </c>
      <c r="I1596" s="2">
        <v>10599.09</v>
      </c>
      <c r="J1596" s="2">
        <v>0.05</v>
      </c>
      <c r="K1596" s="2" t="s">
        <v>66</v>
      </c>
      <c r="L1596" s="2" t="s">
        <v>52</v>
      </c>
    </row>
    <row r="1597" spans="1:12" x14ac:dyDescent="0.2">
      <c r="A1597" s="2">
        <v>100137</v>
      </c>
      <c r="B1597" s="18">
        <v>45553</v>
      </c>
      <c r="C1597" s="2" t="s">
        <v>521</v>
      </c>
      <c r="D1597" s="2" t="s">
        <v>175</v>
      </c>
      <c r="E1597" s="2" t="s">
        <v>69</v>
      </c>
      <c r="F1597" s="2" t="s">
        <v>33</v>
      </c>
      <c r="G1597" s="2" t="s">
        <v>34</v>
      </c>
      <c r="H1597" s="2">
        <v>5</v>
      </c>
      <c r="I1597" s="2">
        <v>220.96</v>
      </c>
      <c r="J1597" s="2">
        <v>0</v>
      </c>
      <c r="K1597" s="2" t="s">
        <v>17</v>
      </c>
      <c r="L1597" s="2" t="s">
        <v>52</v>
      </c>
    </row>
    <row r="1598" spans="1:12" x14ac:dyDescent="0.2">
      <c r="A1598" s="2">
        <v>101136</v>
      </c>
      <c r="B1598" s="17">
        <v>45497</v>
      </c>
      <c r="C1598" s="2" t="s">
        <v>526</v>
      </c>
      <c r="D1598" s="2" t="s">
        <v>37</v>
      </c>
      <c r="E1598" s="2" t="s">
        <v>38</v>
      </c>
      <c r="F1598" s="2" t="s">
        <v>22</v>
      </c>
      <c r="G1598" s="2" t="s">
        <v>23</v>
      </c>
      <c r="H1598" s="2">
        <v>2</v>
      </c>
      <c r="I1598" s="2">
        <v>1651.52</v>
      </c>
      <c r="J1598" s="2"/>
      <c r="K1598" s="2" t="s">
        <v>17</v>
      </c>
      <c r="L1598" s="2" t="s">
        <v>121</v>
      </c>
    </row>
    <row r="1599" spans="1:12" x14ac:dyDescent="0.2">
      <c r="A1599" s="2">
        <v>101219</v>
      </c>
      <c r="B1599" s="18">
        <v>45448</v>
      </c>
      <c r="C1599" s="2" t="s">
        <v>739</v>
      </c>
      <c r="D1599" s="2" t="s">
        <v>95</v>
      </c>
      <c r="E1599" s="2" t="s">
        <v>133</v>
      </c>
      <c r="F1599" s="2" t="s">
        <v>124</v>
      </c>
      <c r="G1599" s="2" t="s">
        <v>99</v>
      </c>
      <c r="H1599" s="2">
        <v>10</v>
      </c>
      <c r="I1599" s="2">
        <v>4238.5</v>
      </c>
      <c r="J1599" s="2">
        <v>0</v>
      </c>
      <c r="K1599" s="2" t="s">
        <v>66</v>
      </c>
      <c r="L1599" s="2" t="s">
        <v>121</v>
      </c>
    </row>
    <row r="1600" spans="1:12" x14ac:dyDescent="0.2">
      <c r="A1600" s="2">
        <v>100853</v>
      </c>
      <c r="B1600" s="17">
        <v>45434</v>
      </c>
      <c r="C1600" s="2" t="s">
        <v>877</v>
      </c>
      <c r="D1600" s="2" t="s">
        <v>48</v>
      </c>
      <c r="E1600" s="2" t="s">
        <v>79</v>
      </c>
      <c r="F1600" s="2" t="s">
        <v>33</v>
      </c>
      <c r="G1600" s="2" t="s">
        <v>34</v>
      </c>
      <c r="H1600" s="2">
        <v>6</v>
      </c>
      <c r="I1600" s="2">
        <v>390.31</v>
      </c>
      <c r="J1600" s="2">
        <v>25</v>
      </c>
      <c r="K1600" s="2" t="s">
        <v>83</v>
      </c>
      <c r="L1600" s="2" t="s">
        <v>52</v>
      </c>
    </row>
    <row r="1601" spans="1:12" x14ac:dyDescent="0.2">
      <c r="A1601" s="2">
        <v>101203</v>
      </c>
      <c r="B1601" s="17">
        <v>45485</v>
      </c>
      <c r="C1601" s="2" t="s">
        <v>415</v>
      </c>
      <c r="D1601" s="2" t="s">
        <v>92</v>
      </c>
      <c r="E1601" s="2" t="s">
        <v>54</v>
      </c>
      <c r="F1601" s="2" t="s">
        <v>45</v>
      </c>
      <c r="G1601" s="2" t="s">
        <v>149</v>
      </c>
      <c r="H1601" s="2">
        <v>1</v>
      </c>
      <c r="I1601" s="2">
        <v>31480.47</v>
      </c>
      <c r="J1601" s="2">
        <v>0</v>
      </c>
      <c r="K1601" s="2" t="s">
        <v>83</v>
      </c>
      <c r="L1601" s="2" t="s">
        <v>52</v>
      </c>
    </row>
    <row r="1602" spans="1:12" x14ac:dyDescent="0.2">
      <c r="A1602" s="2">
        <v>101907</v>
      </c>
      <c r="B1602" s="17">
        <v>45538</v>
      </c>
      <c r="C1602" s="2" t="s">
        <v>500</v>
      </c>
      <c r="D1602" s="2" t="s">
        <v>181</v>
      </c>
      <c r="E1602" s="2" t="s">
        <v>119</v>
      </c>
      <c r="F1602" s="2" t="s">
        <v>22</v>
      </c>
      <c r="G1602" s="2" t="s">
        <v>145</v>
      </c>
      <c r="H1602" s="2">
        <v>-1</v>
      </c>
      <c r="I1602" s="2">
        <v>455.46</v>
      </c>
      <c r="J1602" s="2">
        <v>20</v>
      </c>
      <c r="K1602" s="2" t="s">
        <v>24</v>
      </c>
      <c r="L1602" s="2" t="s">
        <v>52</v>
      </c>
    </row>
    <row r="1603" spans="1:12" x14ac:dyDescent="0.2">
      <c r="A1603" s="2">
        <v>100724</v>
      </c>
      <c r="B1603" s="18">
        <v>45573</v>
      </c>
      <c r="C1603" s="2" t="s">
        <v>987</v>
      </c>
      <c r="D1603" s="2" t="s">
        <v>101</v>
      </c>
      <c r="E1603" s="2" t="s">
        <v>38</v>
      </c>
      <c r="F1603" s="2" t="s">
        <v>28</v>
      </c>
      <c r="G1603" s="2" t="s">
        <v>205</v>
      </c>
      <c r="H1603" s="2">
        <v>1</v>
      </c>
      <c r="I1603" s="2" t="s">
        <v>988</v>
      </c>
      <c r="J1603" s="2">
        <v>0</v>
      </c>
      <c r="K1603" s="2" t="s">
        <v>83</v>
      </c>
      <c r="L1603" s="2" t="s">
        <v>87</v>
      </c>
    </row>
    <row r="1604" spans="1:12" x14ac:dyDescent="0.2">
      <c r="A1604" s="2">
        <v>100860</v>
      </c>
      <c r="B1604" s="17">
        <v>45478</v>
      </c>
      <c r="C1604" s="2" t="s">
        <v>200</v>
      </c>
      <c r="D1604" s="2" t="s">
        <v>58</v>
      </c>
      <c r="E1604" s="2" t="s">
        <v>38</v>
      </c>
      <c r="F1604" s="2" t="s">
        <v>106</v>
      </c>
      <c r="G1604" s="2" t="s">
        <v>135</v>
      </c>
      <c r="H1604" s="2">
        <v>5</v>
      </c>
      <c r="I1604" s="2">
        <v>1835.97</v>
      </c>
      <c r="J1604" s="2">
        <v>0.25</v>
      </c>
      <c r="K1604" s="2" t="s">
        <v>41</v>
      </c>
      <c r="L1604" s="2" t="s">
        <v>143</v>
      </c>
    </row>
    <row r="1605" spans="1:12" x14ac:dyDescent="0.2">
      <c r="A1605" s="2">
        <v>100970</v>
      </c>
      <c r="B1605" s="17">
        <v>45437</v>
      </c>
      <c r="C1605" s="2" t="s">
        <v>695</v>
      </c>
      <c r="D1605" s="2" t="s">
        <v>20</v>
      </c>
      <c r="E1605" s="2" t="s">
        <v>21</v>
      </c>
      <c r="F1605" s="2" t="s">
        <v>102</v>
      </c>
      <c r="G1605" s="2" t="s">
        <v>137</v>
      </c>
      <c r="H1605" s="2">
        <v>11</v>
      </c>
      <c r="I1605" s="2">
        <v>2529.0300000000002</v>
      </c>
      <c r="J1605" s="2">
        <v>0.05</v>
      </c>
      <c r="K1605" s="2" t="s">
        <v>29</v>
      </c>
      <c r="L1605" s="2" t="s">
        <v>143</v>
      </c>
    </row>
    <row r="1606" spans="1:12" x14ac:dyDescent="0.2">
      <c r="A1606" s="2">
        <v>100497</v>
      </c>
      <c r="B1606" s="17">
        <v>45357</v>
      </c>
      <c r="C1606" s="2" t="s">
        <v>463</v>
      </c>
      <c r="D1606" s="2" t="s">
        <v>85</v>
      </c>
      <c r="E1606" s="2" t="s">
        <v>14</v>
      </c>
      <c r="F1606" s="2" t="s">
        <v>74</v>
      </c>
      <c r="G1606" s="2" t="s">
        <v>75</v>
      </c>
      <c r="H1606" s="2">
        <v>-2</v>
      </c>
      <c r="I1606" s="2"/>
      <c r="J1606" s="2">
        <v>0</v>
      </c>
      <c r="K1606" s="2" t="s">
        <v>66</v>
      </c>
      <c r="L1606" s="2" t="s">
        <v>52</v>
      </c>
    </row>
    <row r="1607" spans="1:12" x14ac:dyDescent="0.2">
      <c r="A1607" s="2">
        <v>100951</v>
      </c>
      <c r="B1607" s="18">
        <v>45549</v>
      </c>
      <c r="C1607" s="2" t="s">
        <v>462</v>
      </c>
      <c r="D1607" s="2" t="s">
        <v>85</v>
      </c>
      <c r="E1607" s="2" t="s">
        <v>14</v>
      </c>
      <c r="F1607" s="2" t="s">
        <v>80</v>
      </c>
      <c r="G1607" s="2" t="s">
        <v>81</v>
      </c>
      <c r="H1607" s="2">
        <v>11</v>
      </c>
      <c r="I1607" s="2">
        <v>127.45</v>
      </c>
      <c r="J1607" s="2">
        <v>15</v>
      </c>
      <c r="K1607" s="2" t="s">
        <v>41</v>
      </c>
      <c r="L1607" s="2" t="s">
        <v>18</v>
      </c>
    </row>
    <row r="1608" spans="1:12" x14ac:dyDescent="0.2">
      <c r="A1608" s="2">
        <v>100806</v>
      </c>
      <c r="B1608" s="17">
        <v>45335</v>
      </c>
      <c r="C1608" s="2"/>
      <c r="D1608" s="2" t="s">
        <v>73</v>
      </c>
      <c r="E1608" s="2" t="s">
        <v>49</v>
      </c>
      <c r="F1608" s="2" t="s">
        <v>70</v>
      </c>
      <c r="G1608" s="2" t="s">
        <v>149</v>
      </c>
      <c r="H1608" s="2">
        <v>8</v>
      </c>
      <c r="I1608" s="2">
        <v>17239.28</v>
      </c>
      <c r="J1608" s="2">
        <v>0</v>
      </c>
      <c r="K1608" s="2" t="s">
        <v>17</v>
      </c>
      <c r="L1608" s="2" t="s">
        <v>52</v>
      </c>
    </row>
    <row r="1609" spans="1:12" x14ac:dyDescent="0.2">
      <c r="A1609" s="2">
        <v>100130</v>
      </c>
      <c r="B1609" s="2" t="s">
        <v>469</v>
      </c>
      <c r="C1609" s="2" t="s">
        <v>508</v>
      </c>
      <c r="D1609" s="2" t="s">
        <v>31</v>
      </c>
      <c r="E1609" s="2" t="s">
        <v>54</v>
      </c>
      <c r="F1609" s="2" t="s">
        <v>28</v>
      </c>
      <c r="G1609" s="2" t="s">
        <v>205</v>
      </c>
      <c r="H1609" s="2">
        <v>5</v>
      </c>
      <c r="I1609" s="2">
        <v>22289.4</v>
      </c>
      <c r="J1609" s="2">
        <v>0</v>
      </c>
      <c r="K1609" s="2" t="s">
        <v>17</v>
      </c>
      <c r="L1609" s="2" t="s">
        <v>25</v>
      </c>
    </row>
    <row r="1610" spans="1:12" x14ac:dyDescent="0.2">
      <c r="A1610" s="2">
        <v>100338</v>
      </c>
      <c r="B1610" s="2" t="s">
        <v>982</v>
      </c>
      <c r="C1610" s="2" t="s">
        <v>563</v>
      </c>
      <c r="D1610" s="2" t="s">
        <v>181</v>
      </c>
      <c r="E1610" s="2" t="s">
        <v>119</v>
      </c>
      <c r="F1610" s="2" t="s">
        <v>113</v>
      </c>
      <c r="G1610" s="2" t="s">
        <v>242</v>
      </c>
      <c r="H1610" s="2">
        <v>1</v>
      </c>
      <c r="I1610" s="2">
        <v>254.07</v>
      </c>
      <c r="J1610" s="2">
        <v>20</v>
      </c>
      <c r="K1610" s="2" t="s">
        <v>83</v>
      </c>
      <c r="L1610" s="2" t="s">
        <v>121</v>
      </c>
    </row>
    <row r="1611" spans="1:12" x14ac:dyDescent="0.2">
      <c r="A1611" s="2">
        <v>100859</v>
      </c>
      <c r="B1611" s="2" t="s">
        <v>486</v>
      </c>
      <c r="C1611" s="2" t="s">
        <v>487</v>
      </c>
      <c r="D1611" s="2" t="s">
        <v>31</v>
      </c>
      <c r="E1611" s="2" t="s">
        <v>54</v>
      </c>
      <c r="F1611" s="2" t="s">
        <v>223</v>
      </c>
      <c r="G1611" s="2" t="s">
        <v>51</v>
      </c>
      <c r="H1611" s="2">
        <v>10</v>
      </c>
      <c r="I1611" s="2">
        <v>5733.18</v>
      </c>
      <c r="J1611" s="2">
        <v>0.1</v>
      </c>
      <c r="K1611" s="2" t="s">
        <v>17</v>
      </c>
      <c r="L1611" s="2" t="s">
        <v>25</v>
      </c>
    </row>
    <row r="1612" spans="1:12" x14ac:dyDescent="0.2">
      <c r="A1612" s="2">
        <v>100609</v>
      </c>
      <c r="B1612" s="18">
        <v>45600</v>
      </c>
      <c r="C1612" s="2" t="s">
        <v>861</v>
      </c>
      <c r="D1612" s="2" t="s">
        <v>37</v>
      </c>
      <c r="E1612" s="2" t="s">
        <v>69</v>
      </c>
      <c r="F1612" s="2" t="s">
        <v>223</v>
      </c>
      <c r="G1612" s="2" t="s">
        <v>207</v>
      </c>
      <c r="H1612" s="2">
        <v>12</v>
      </c>
      <c r="I1612" s="2">
        <v>7858.57</v>
      </c>
      <c r="J1612" s="2">
        <v>10</v>
      </c>
      <c r="K1612" s="2" t="s">
        <v>24</v>
      </c>
      <c r="L1612" s="2" t="s">
        <v>25</v>
      </c>
    </row>
    <row r="1613" spans="1:12" x14ac:dyDescent="0.2">
      <c r="A1613" s="2">
        <v>101149</v>
      </c>
      <c r="B1613" s="18">
        <v>45544</v>
      </c>
      <c r="C1613" s="2" t="s">
        <v>704</v>
      </c>
      <c r="D1613" s="2" t="s">
        <v>92</v>
      </c>
      <c r="E1613" s="2" t="s">
        <v>54</v>
      </c>
      <c r="F1613" s="2" t="s">
        <v>106</v>
      </c>
      <c r="G1613" s="2" t="s">
        <v>135</v>
      </c>
      <c r="H1613" s="2">
        <v>5</v>
      </c>
      <c r="I1613" s="2">
        <v>682.36</v>
      </c>
      <c r="J1613" s="2">
        <v>0</v>
      </c>
      <c r="K1613" s="2" t="s">
        <v>66</v>
      </c>
      <c r="L1613" s="2" t="s">
        <v>87</v>
      </c>
    </row>
    <row r="1614" spans="1:12" x14ac:dyDescent="0.2">
      <c r="A1614" s="2">
        <v>100196</v>
      </c>
      <c r="B1614" s="17">
        <v>45549</v>
      </c>
      <c r="C1614" s="2" t="s">
        <v>862</v>
      </c>
      <c r="D1614" s="2" t="s">
        <v>85</v>
      </c>
      <c r="E1614" s="2" t="s">
        <v>14</v>
      </c>
      <c r="F1614" s="2" t="s">
        <v>33</v>
      </c>
      <c r="G1614" s="2" t="s">
        <v>81</v>
      </c>
      <c r="H1614" s="2">
        <v>5</v>
      </c>
      <c r="I1614" s="2">
        <v>253.72</v>
      </c>
      <c r="J1614" s="2">
        <v>0</v>
      </c>
      <c r="K1614" s="2" t="s">
        <v>66</v>
      </c>
      <c r="L1614" s="2" t="s">
        <v>121</v>
      </c>
    </row>
    <row r="1615" spans="1:12" x14ac:dyDescent="0.2">
      <c r="A1615" s="2">
        <v>101251</v>
      </c>
      <c r="B1615" s="17">
        <v>45610</v>
      </c>
      <c r="C1615" s="2" t="s">
        <v>590</v>
      </c>
      <c r="D1615" s="2" t="s">
        <v>85</v>
      </c>
      <c r="E1615" s="2" t="s">
        <v>14</v>
      </c>
      <c r="F1615" s="2" t="s">
        <v>15</v>
      </c>
      <c r="G1615" s="2" t="s">
        <v>59</v>
      </c>
      <c r="H1615" s="2">
        <v>1</v>
      </c>
      <c r="I1615" s="2">
        <v>10961.07</v>
      </c>
      <c r="J1615" s="2">
        <v>0.2</v>
      </c>
      <c r="K1615" s="2" t="s">
        <v>83</v>
      </c>
      <c r="L1615" s="2" t="s">
        <v>35</v>
      </c>
    </row>
    <row r="1616" spans="1:12" x14ac:dyDescent="0.2">
      <c r="A1616" s="2">
        <v>101293</v>
      </c>
      <c r="B1616" s="18">
        <v>45414</v>
      </c>
      <c r="C1616" s="2" t="s">
        <v>718</v>
      </c>
      <c r="D1616" s="2" t="s">
        <v>13</v>
      </c>
      <c r="E1616" s="2" t="s">
        <v>14</v>
      </c>
      <c r="F1616" s="2" t="s">
        <v>22</v>
      </c>
      <c r="G1616" s="2" t="s">
        <v>145</v>
      </c>
      <c r="H1616" s="2">
        <v>10</v>
      </c>
      <c r="I1616" s="2">
        <v>2605.02</v>
      </c>
      <c r="J1616" s="2">
        <v>0.05</v>
      </c>
      <c r="K1616" s="2" t="s">
        <v>17</v>
      </c>
      <c r="L1616" s="2" t="s">
        <v>143</v>
      </c>
    </row>
    <row r="1617" spans="1:12" x14ac:dyDescent="0.2">
      <c r="A1617" s="2">
        <v>102000</v>
      </c>
      <c r="B1617" s="18">
        <v>45496</v>
      </c>
      <c r="C1617" s="2" t="s">
        <v>211</v>
      </c>
      <c r="D1617" s="2" t="s">
        <v>109</v>
      </c>
      <c r="E1617" s="2" t="s">
        <v>133</v>
      </c>
      <c r="F1617" s="2" t="s">
        <v>102</v>
      </c>
      <c r="G1617" s="2" t="s">
        <v>156</v>
      </c>
      <c r="H1617" s="2">
        <v>9</v>
      </c>
      <c r="I1617" s="2">
        <v>2521.9499999999998</v>
      </c>
      <c r="J1617" s="2">
        <v>0</v>
      </c>
      <c r="K1617" s="2" t="s">
        <v>24</v>
      </c>
      <c r="L1617" s="2" t="s">
        <v>143</v>
      </c>
    </row>
    <row r="1618" spans="1:12" x14ac:dyDescent="0.2">
      <c r="A1618" s="2">
        <v>100910</v>
      </c>
      <c r="B1618" s="18">
        <v>45296</v>
      </c>
      <c r="C1618" s="2" t="s">
        <v>353</v>
      </c>
      <c r="D1618" s="2" t="s">
        <v>95</v>
      </c>
      <c r="E1618" s="2" t="s">
        <v>21</v>
      </c>
      <c r="F1618" s="2" t="s">
        <v>155</v>
      </c>
      <c r="G1618" s="2" t="s">
        <v>103</v>
      </c>
      <c r="H1618" s="2">
        <v>4</v>
      </c>
      <c r="I1618" s="2">
        <v>1013.21</v>
      </c>
      <c r="J1618" s="2">
        <v>10</v>
      </c>
      <c r="K1618" s="2" t="s">
        <v>24</v>
      </c>
      <c r="L1618" s="2" t="s">
        <v>143</v>
      </c>
    </row>
    <row r="1619" spans="1:12" x14ac:dyDescent="0.2">
      <c r="A1619" s="2">
        <v>100585</v>
      </c>
      <c r="B1619" s="2" t="s">
        <v>989</v>
      </c>
      <c r="C1619" s="2" t="s">
        <v>183</v>
      </c>
      <c r="D1619" s="2" t="s">
        <v>129</v>
      </c>
      <c r="E1619" s="2" t="s">
        <v>49</v>
      </c>
      <c r="F1619" s="2" t="s">
        <v>64</v>
      </c>
      <c r="G1619" s="2" t="s">
        <v>242</v>
      </c>
      <c r="H1619" s="2">
        <v>8</v>
      </c>
      <c r="I1619" s="2">
        <v>105.73</v>
      </c>
      <c r="J1619" s="2">
        <v>0</v>
      </c>
      <c r="K1619" s="2" t="s">
        <v>66</v>
      </c>
      <c r="L1619" s="2" t="s">
        <v>35</v>
      </c>
    </row>
    <row r="1620" spans="1:12" x14ac:dyDescent="0.2">
      <c r="A1620" s="2">
        <v>100104</v>
      </c>
      <c r="B1620" s="17">
        <v>45389</v>
      </c>
      <c r="C1620" s="2" t="s">
        <v>732</v>
      </c>
      <c r="D1620" s="2" t="s">
        <v>31</v>
      </c>
      <c r="E1620" s="2" t="s">
        <v>54</v>
      </c>
      <c r="F1620" s="2" t="s">
        <v>39</v>
      </c>
      <c r="G1620" s="2" t="s">
        <v>292</v>
      </c>
      <c r="H1620" s="2">
        <v>11</v>
      </c>
      <c r="I1620" s="2">
        <v>163.98</v>
      </c>
      <c r="J1620" s="2">
        <v>15</v>
      </c>
      <c r="K1620" s="2" t="s">
        <v>41</v>
      </c>
      <c r="L1620" s="2" t="s">
        <v>42</v>
      </c>
    </row>
    <row r="1621" spans="1:12" x14ac:dyDescent="0.2">
      <c r="A1621" s="2">
        <v>101618</v>
      </c>
      <c r="B1621" s="17">
        <v>45317</v>
      </c>
      <c r="C1621" s="2" t="s">
        <v>314</v>
      </c>
      <c r="D1621" s="2" t="s">
        <v>20</v>
      </c>
      <c r="E1621" s="2" t="s">
        <v>21</v>
      </c>
      <c r="F1621" s="2" t="s">
        <v>74</v>
      </c>
      <c r="G1621" s="2" t="s">
        <v>75</v>
      </c>
      <c r="H1621" s="2">
        <v>6</v>
      </c>
      <c r="I1621" s="2">
        <v>3230.52</v>
      </c>
      <c r="J1621" s="2">
        <v>0</v>
      </c>
      <c r="K1621" s="2" t="s">
        <v>41</v>
      </c>
      <c r="L1621" s="2" t="s">
        <v>143</v>
      </c>
    </row>
    <row r="1622" spans="1:12" x14ac:dyDescent="0.2">
      <c r="A1622" s="2">
        <v>101870</v>
      </c>
      <c r="B1622" s="17">
        <v>45376</v>
      </c>
      <c r="C1622" s="2"/>
      <c r="D1622" s="2" t="s">
        <v>131</v>
      </c>
      <c r="E1622" s="2" t="s">
        <v>21</v>
      </c>
      <c r="F1622" s="2" t="s">
        <v>106</v>
      </c>
      <c r="G1622" s="2" t="s">
        <v>135</v>
      </c>
      <c r="H1622" s="2">
        <v>9</v>
      </c>
      <c r="I1622" s="2">
        <v>502.07</v>
      </c>
      <c r="J1622" s="2"/>
      <c r="K1622" s="2" t="s">
        <v>41</v>
      </c>
      <c r="L1622" s="2" t="s">
        <v>52</v>
      </c>
    </row>
    <row r="1623" spans="1:12" x14ac:dyDescent="0.2">
      <c r="A1623" s="2">
        <v>101889</v>
      </c>
      <c r="B1623" s="17">
        <v>45603</v>
      </c>
      <c r="C1623" s="2" t="s">
        <v>990</v>
      </c>
      <c r="D1623" s="2" t="s">
        <v>37</v>
      </c>
      <c r="E1623" s="2" t="s">
        <v>69</v>
      </c>
      <c r="F1623" s="2" t="s">
        <v>96</v>
      </c>
      <c r="G1623" s="2" t="s">
        <v>46</v>
      </c>
      <c r="H1623" s="2">
        <v>11</v>
      </c>
      <c r="I1623" s="2">
        <v>16702.3</v>
      </c>
      <c r="J1623" s="2">
        <v>0.2</v>
      </c>
      <c r="K1623" s="2" t="s">
        <v>17</v>
      </c>
      <c r="L1623" s="2" t="s">
        <v>143</v>
      </c>
    </row>
    <row r="1624" spans="1:12" x14ac:dyDescent="0.2">
      <c r="A1624" s="2">
        <v>100720</v>
      </c>
      <c r="B1624" s="2" t="s">
        <v>991</v>
      </c>
      <c r="C1624" s="2" t="s">
        <v>200</v>
      </c>
      <c r="D1624" s="2" t="s">
        <v>95</v>
      </c>
      <c r="E1624" s="2" t="s">
        <v>133</v>
      </c>
      <c r="F1624" s="2" t="s">
        <v>28</v>
      </c>
      <c r="G1624" s="2" t="s">
        <v>16</v>
      </c>
      <c r="H1624" s="2">
        <v>-2</v>
      </c>
      <c r="I1624" s="2">
        <v>6465.92</v>
      </c>
      <c r="J1624" s="2">
        <v>20</v>
      </c>
      <c r="K1624" s="2" t="s">
        <v>66</v>
      </c>
      <c r="L1624" s="2" t="s">
        <v>87</v>
      </c>
    </row>
    <row r="1625" spans="1:12" x14ac:dyDescent="0.2">
      <c r="A1625" s="2">
        <v>100885</v>
      </c>
      <c r="B1625" s="17">
        <v>45414</v>
      </c>
      <c r="C1625" s="2" t="s">
        <v>504</v>
      </c>
      <c r="D1625" s="2" t="s">
        <v>89</v>
      </c>
      <c r="E1625" s="2" t="s">
        <v>54</v>
      </c>
      <c r="F1625" s="2" t="s">
        <v>113</v>
      </c>
      <c r="G1625" s="2" t="s">
        <v>40</v>
      </c>
      <c r="H1625" s="2">
        <v>5</v>
      </c>
      <c r="I1625" s="2">
        <v>391.17</v>
      </c>
      <c r="J1625" s="2">
        <v>0.15</v>
      </c>
      <c r="K1625" s="2" t="s">
        <v>24</v>
      </c>
      <c r="L1625" s="2" t="s">
        <v>25</v>
      </c>
    </row>
    <row r="1626" spans="1:12" x14ac:dyDescent="0.2">
      <c r="A1626" s="2">
        <v>100777</v>
      </c>
      <c r="B1626" s="18">
        <v>45309</v>
      </c>
      <c r="C1626" s="2" t="s">
        <v>586</v>
      </c>
      <c r="D1626" s="2" t="s">
        <v>31</v>
      </c>
      <c r="E1626" s="2" t="s">
        <v>54</v>
      </c>
      <c r="F1626" s="2" t="s">
        <v>191</v>
      </c>
      <c r="G1626" s="2" t="s">
        <v>16</v>
      </c>
      <c r="H1626" s="2">
        <v>1</v>
      </c>
      <c r="I1626" s="2">
        <v>16006.11</v>
      </c>
      <c r="J1626" s="2">
        <v>0</v>
      </c>
      <c r="K1626" s="2" t="s">
        <v>29</v>
      </c>
      <c r="L1626" s="2" t="s">
        <v>52</v>
      </c>
    </row>
    <row r="1627" spans="1:12" x14ac:dyDescent="0.2">
      <c r="A1627" s="2">
        <v>101570</v>
      </c>
      <c r="B1627" s="18">
        <v>45465</v>
      </c>
      <c r="C1627" s="2"/>
      <c r="D1627" s="2" t="s">
        <v>85</v>
      </c>
      <c r="E1627" s="2" t="s">
        <v>119</v>
      </c>
      <c r="F1627" s="2" t="s">
        <v>155</v>
      </c>
      <c r="G1627" s="2" t="s">
        <v>156</v>
      </c>
      <c r="H1627" s="2">
        <v>7</v>
      </c>
      <c r="I1627" s="2">
        <v>3983.29</v>
      </c>
      <c r="J1627" s="2">
        <v>0</v>
      </c>
      <c r="K1627" s="2" t="s">
        <v>66</v>
      </c>
      <c r="L1627" s="2" t="s">
        <v>25</v>
      </c>
    </row>
    <row r="1628" spans="1:12" x14ac:dyDescent="0.2">
      <c r="A1628" s="2">
        <v>100850</v>
      </c>
      <c r="B1628" s="18">
        <v>45476</v>
      </c>
      <c r="C1628" s="2" t="s">
        <v>803</v>
      </c>
      <c r="D1628" s="2" t="s">
        <v>13</v>
      </c>
      <c r="E1628" s="2" t="s">
        <v>14</v>
      </c>
      <c r="F1628" s="2" t="s">
        <v>86</v>
      </c>
      <c r="G1628" s="2" t="s">
        <v>149</v>
      </c>
      <c r="H1628" s="2">
        <v>10</v>
      </c>
      <c r="I1628" s="2" t="s">
        <v>992</v>
      </c>
      <c r="J1628" s="2">
        <v>0</v>
      </c>
      <c r="K1628" s="2" t="s">
        <v>24</v>
      </c>
      <c r="L1628" s="2" t="s">
        <v>35</v>
      </c>
    </row>
    <row r="1629" spans="1:12" x14ac:dyDescent="0.2">
      <c r="A1629" s="2">
        <v>100895</v>
      </c>
      <c r="B1629" s="2" t="s">
        <v>993</v>
      </c>
      <c r="C1629" s="2" t="s">
        <v>522</v>
      </c>
      <c r="D1629" s="2" t="s">
        <v>160</v>
      </c>
      <c r="E1629" s="2" t="s">
        <v>49</v>
      </c>
      <c r="F1629" s="2" t="s">
        <v>45</v>
      </c>
      <c r="G1629" s="2" t="s">
        <v>97</v>
      </c>
      <c r="H1629" s="2">
        <v>3</v>
      </c>
      <c r="I1629" s="2" t="s">
        <v>994</v>
      </c>
      <c r="J1629" s="2">
        <v>0</v>
      </c>
      <c r="K1629" s="2" t="s">
        <v>17</v>
      </c>
      <c r="L1629" s="2" t="s">
        <v>25</v>
      </c>
    </row>
    <row r="1630" spans="1:12" x14ac:dyDescent="0.2">
      <c r="A1630" s="2">
        <v>100228</v>
      </c>
      <c r="B1630" s="18">
        <v>45522</v>
      </c>
      <c r="C1630" s="2" t="s">
        <v>351</v>
      </c>
      <c r="D1630" s="2" t="s">
        <v>44</v>
      </c>
      <c r="E1630" s="2" t="s">
        <v>54</v>
      </c>
      <c r="F1630" s="2" t="s">
        <v>28</v>
      </c>
      <c r="G1630" s="2" t="s">
        <v>205</v>
      </c>
      <c r="H1630" s="2">
        <v>10</v>
      </c>
      <c r="I1630" s="2">
        <v>14503.27</v>
      </c>
      <c r="J1630" s="2">
        <v>0</v>
      </c>
      <c r="K1630" s="2" t="s">
        <v>29</v>
      </c>
      <c r="L1630" s="2" t="s">
        <v>25</v>
      </c>
    </row>
    <row r="1631" spans="1:12" x14ac:dyDescent="0.2">
      <c r="A1631" s="2">
        <v>101903</v>
      </c>
      <c r="B1631" s="17">
        <v>45636</v>
      </c>
      <c r="C1631" s="2"/>
      <c r="D1631" s="2" t="s">
        <v>129</v>
      </c>
      <c r="E1631" s="2" t="s">
        <v>49</v>
      </c>
      <c r="F1631" s="2" t="s">
        <v>124</v>
      </c>
      <c r="G1631" s="2" t="s">
        <v>51</v>
      </c>
      <c r="H1631" s="2">
        <v>4</v>
      </c>
      <c r="I1631" s="2">
        <v>6272.67</v>
      </c>
      <c r="J1631" s="2"/>
      <c r="K1631" s="2" t="s">
        <v>17</v>
      </c>
      <c r="L1631" s="2" t="s">
        <v>42</v>
      </c>
    </row>
    <row r="1632" spans="1:12" x14ac:dyDescent="0.2">
      <c r="A1632" s="2">
        <v>101326</v>
      </c>
      <c r="B1632" s="2" t="s">
        <v>365</v>
      </c>
      <c r="C1632" s="2" t="s">
        <v>47</v>
      </c>
      <c r="D1632" s="2" t="s">
        <v>160</v>
      </c>
      <c r="E1632" s="2" t="s">
        <v>49</v>
      </c>
      <c r="F1632" s="2" t="s">
        <v>74</v>
      </c>
      <c r="G1632" s="2" t="s">
        <v>75</v>
      </c>
      <c r="H1632" s="2">
        <v>-1</v>
      </c>
      <c r="I1632" s="2">
        <v>2179.12</v>
      </c>
      <c r="J1632" s="2">
        <v>10</v>
      </c>
      <c r="K1632" s="2" t="s">
        <v>83</v>
      </c>
      <c r="L1632" s="2" t="s">
        <v>18</v>
      </c>
    </row>
    <row r="1633" spans="1:12" x14ac:dyDescent="0.2">
      <c r="A1633" s="2">
        <v>101300</v>
      </c>
      <c r="B1633" s="17">
        <v>45561</v>
      </c>
      <c r="C1633" s="2" t="s">
        <v>884</v>
      </c>
      <c r="D1633" s="2" t="s">
        <v>31</v>
      </c>
      <c r="E1633" s="2" t="s">
        <v>32</v>
      </c>
      <c r="F1633" s="2" t="s">
        <v>50</v>
      </c>
      <c r="G1633" s="2" t="s">
        <v>99</v>
      </c>
      <c r="H1633" s="2">
        <v>-2</v>
      </c>
      <c r="I1633" s="2">
        <v>989.98</v>
      </c>
      <c r="J1633" s="2">
        <v>0.25</v>
      </c>
      <c r="K1633" s="2" t="s">
        <v>83</v>
      </c>
      <c r="L1633" s="2" t="s">
        <v>52</v>
      </c>
    </row>
    <row r="1634" spans="1:12" x14ac:dyDescent="0.2">
      <c r="A1634" s="2">
        <v>100127</v>
      </c>
      <c r="B1634" s="17">
        <v>45303</v>
      </c>
      <c r="C1634" s="2" t="s">
        <v>775</v>
      </c>
      <c r="D1634" s="2" t="s">
        <v>85</v>
      </c>
      <c r="E1634" s="2" t="s">
        <v>119</v>
      </c>
      <c r="F1634" s="2" t="s">
        <v>120</v>
      </c>
      <c r="G1634" s="2" t="s">
        <v>141</v>
      </c>
      <c r="H1634" s="2">
        <v>11</v>
      </c>
      <c r="I1634" s="2">
        <v>1296.93</v>
      </c>
      <c r="J1634" s="2">
        <v>0.2</v>
      </c>
      <c r="K1634" s="2" t="s">
        <v>17</v>
      </c>
      <c r="L1634" s="2" t="s">
        <v>25</v>
      </c>
    </row>
    <row r="1635" spans="1:12" x14ac:dyDescent="0.2">
      <c r="A1635" s="2">
        <v>100406</v>
      </c>
      <c r="B1635" s="18">
        <v>45390</v>
      </c>
      <c r="C1635" s="2" t="s">
        <v>147</v>
      </c>
      <c r="D1635" s="2" t="s">
        <v>175</v>
      </c>
      <c r="E1635" s="2" t="s">
        <v>38</v>
      </c>
      <c r="F1635" s="2" t="s">
        <v>191</v>
      </c>
      <c r="G1635" s="2" t="s">
        <v>205</v>
      </c>
      <c r="H1635" s="2">
        <v>4</v>
      </c>
      <c r="I1635" s="2">
        <v>13560.12</v>
      </c>
      <c r="J1635" s="2">
        <v>0</v>
      </c>
      <c r="K1635" s="2" t="s">
        <v>41</v>
      </c>
      <c r="L1635" s="2" t="s">
        <v>121</v>
      </c>
    </row>
    <row r="1636" spans="1:12" x14ac:dyDescent="0.2">
      <c r="A1636" s="2">
        <v>100776</v>
      </c>
      <c r="B1636" s="18">
        <v>45329</v>
      </c>
      <c r="C1636" s="2" t="s">
        <v>500</v>
      </c>
      <c r="D1636" s="2" t="s">
        <v>101</v>
      </c>
      <c r="E1636" s="2" t="s">
        <v>38</v>
      </c>
      <c r="F1636" s="2" t="s">
        <v>70</v>
      </c>
      <c r="G1636" s="2" t="s">
        <v>111</v>
      </c>
      <c r="H1636" s="2">
        <v>9</v>
      </c>
      <c r="I1636" s="2">
        <v>39495.11</v>
      </c>
      <c r="J1636" s="2">
        <v>0.1</v>
      </c>
      <c r="K1636" s="2" t="s">
        <v>83</v>
      </c>
      <c r="L1636" s="2" t="s">
        <v>25</v>
      </c>
    </row>
    <row r="1637" spans="1:12" x14ac:dyDescent="0.2">
      <c r="A1637" s="2">
        <v>100822</v>
      </c>
      <c r="B1637" s="17">
        <v>45465</v>
      </c>
      <c r="C1637" s="2" t="s">
        <v>281</v>
      </c>
      <c r="D1637" s="2" t="s">
        <v>58</v>
      </c>
      <c r="E1637" s="2" t="s">
        <v>69</v>
      </c>
      <c r="F1637" s="2" t="s">
        <v>106</v>
      </c>
      <c r="G1637" s="2" t="s">
        <v>135</v>
      </c>
      <c r="H1637" s="2">
        <v>9</v>
      </c>
      <c r="I1637" s="2">
        <v>4242.2299999999996</v>
      </c>
      <c r="J1637" s="2">
        <v>0</v>
      </c>
      <c r="K1637" s="2" t="s">
        <v>66</v>
      </c>
      <c r="L1637" s="2" t="s">
        <v>42</v>
      </c>
    </row>
    <row r="1638" spans="1:12" x14ac:dyDescent="0.2">
      <c r="A1638" s="2">
        <v>100712</v>
      </c>
      <c r="B1638" s="2" t="s">
        <v>595</v>
      </c>
      <c r="C1638" s="2" t="s">
        <v>995</v>
      </c>
      <c r="D1638" s="2" t="s">
        <v>175</v>
      </c>
      <c r="E1638" s="2" t="s">
        <v>69</v>
      </c>
      <c r="F1638" s="2" t="s">
        <v>191</v>
      </c>
      <c r="G1638" s="2" t="s">
        <v>152</v>
      </c>
      <c r="H1638" s="2">
        <v>7</v>
      </c>
      <c r="I1638" s="2">
        <v>3124.98</v>
      </c>
      <c r="J1638" s="2">
        <v>0.2</v>
      </c>
      <c r="K1638" s="2" t="s">
        <v>29</v>
      </c>
      <c r="L1638" s="2" t="s">
        <v>18</v>
      </c>
    </row>
    <row r="1639" spans="1:12" x14ac:dyDescent="0.2">
      <c r="A1639" s="2">
        <v>101911</v>
      </c>
      <c r="B1639" s="2" t="s">
        <v>503</v>
      </c>
      <c r="C1639" s="2" t="s">
        <v>250</v>
      </c>
      <c r="D1639" s="2" t="s">
        <v>31</v>
      </c>
      <c r="E1639" s="2" t="s">
        <v>32</v>
      </c>
      <c r="F1639" s="2" t="s">
        <v>33</v>
      </c>
      <c r="G1639" s="2" t="s">
        <v>34</v>
      </c>
      <c r="H1639" s="2">
        <v>2</v>
      </c>
      <c r="I1639" s="2">
        <v>282.97000000000003</v>
      </c>
      <c r="J1639" s="2">
        <v>0</v>
      </c>
      <c r="K1639" s="2" t="s">
        <v>83</v>
      </c>
      <c r="L1639" s="2" t="s">
        <v>143</v>
      </c>
    </row>
    <row r="1640" spans="1:12" x14ac:dyDescent="0.2">
      <c r="A1640" s="2">
        <v>101061</v>
      </c>
      <c r="B1640" s="18">
        <v>45529</v>
      </c>
      <c r="C1640" s="2" t="s">
        <v>257</v>
      </c>
      <c r="D1640" s="2" t="s">
        <v>129</v>
      </c>
      <c r="E1640" s="2" t="s">
        <v>49</v>
      </c>
      <c r="F1640" s="2" t="s">
        <v>64</v>
      </c>
      <c r="G1640" s="2" t="s">
        <v>292</v>
      </c>
      <c r="H1640" s="2">
        <v>3</v>
      </c>
      <c r="I1640" s="2">
        <v>364.02</v>
      </c>
      <c r="J1640" s="2">
        <v>0.05</v>
      </c>
      <c r="K1640" s="2" t="s">
        <v>66</v>
      </c>
      <c r="L1640" s="2" t="s">
        <v>87</v>
      </c>
    </row>
    <row r="1641" spans="1:12" x14ac:dyDescent="0.2">
      <c r="A1641" s="2">
        <v>101164</v>
      </c>
      <c r="B1641" s="2" t="s">
        <v>996</v>
      </c>
      <c r="C1641" s="2" t="s">
        <v>212</v>
      </c>
      <c r="D1641" s="2" t="s">
        <v>160</v>
      </c>
      <c r="E1641" s="2" t="s">
        <v>79</v>
      </c>
      <c r="F1641" s="2" t="s">
        <v>223</v>
      </c>
      <c r="G1641" s="2" t="s">
        <v>62</v>
      </c>
      <c r="H1641" s="2">
        <v>1</v>
      </c>
      <c r="I1641" s="2">
        <v>11792.86</v>
      </c>
      <c r="J1641" s="2">
        <v>0</v>
      </c>
      <c r="K1641" s="2" t="s">
        <v>83</v>
      </c>
      <c r="L1641" s="2" t="s">
        <v>42</v>
      </c>
    </row>
    <row r="1642" spans="1:12" x14ac:dyDescent="0.2">
      <c r="A1642" s="2">
        <v>100304</v>
      </c>
      <c r="B1642" s="17">
        <v>45586</v>
      </c>
      <c r="C1642" s="2" t="s">
        <v>94</v>
      </c>
      <c r="D1642" s="2" t="s">
        <v>58</v>
      </c>
      <c r="E1642" s="2" t="s">
        <v>38</v>
      </c>
      <c r="F1642" s="2" t="s">
        <v>102</v>
      </c>
      <c r="G1642" s="2" t="s">
        <v>135</v>
      </c>
      <c r="H1642" s="2">
        <v>11</v>
      </c>
      <c r="I1642" s="2">
        <v>2824.26</v>
      </c>
      <c r="J1642" s="2">
        <v>0</v>
      </c>
      <c r="K1642" s="2" t="s">
        <v>83</v>
      </c>
      <c r="L1642" s="2" t="s">
        <v>35</v>
      </c>
    </row>
    <row r="1643" spans="1:12" x14ac:dyDescent="0.2">
      <c r="A1643" s="2">
        <v>100268</v>
      </c>
      <c r="B1643" s="17">
        <v>45504</v>
      </c>
      <c r="C1643" s="2" t="s">
        <v>723</v>
      </c>
      <c r="D1643" s="2" t="s">
        <v>20</v>
      </c>
      <c r="E1643" s="2" t="s">
        <v>21</v>
      </c>
      <c r="F1643" s="2" t="s">
        <v>15</v>
      </c>
      <c r="G1643" s="2" t="s">
        <v>152</v>
      </c>
      <c r="H1643" s="2">
        <v>11</v>
      </c>
      <c r="I1643" s="2">
        <v>16912.95</v>
      </c>
      <c r="J1643" s="2">
        <v>0</v>
      </c>
      <c r="K1643" s="2" t="s">
        <v>24</v>
      </c>
      <c r="L1643" s="2" t="s">
        <v>25</v>
      </c>
    </row>
    <row r="1644" spans="1:12" x14ac:dyDescent="0.2">
      <c r="A1644" s="2">
        <v>101558</v>
      </c>
      <c r="B1644" s="18">
        <v>45586</v>
      </c>
      <c r="C1644" s="2"/>
      <c r="D1644" s="2" t="s">
        <v>73</v>
      </c>
      <c r="E1644" s="2" t="s">
        <v>79</v>
      </c>
      <c r="F1644" s="2" t="s">
        <v>124</v>
      </c>
      <c r="G1644" s="2" t="s">
        <v>62</v>
      </c>
      <c r="H1644" s="2">
        <v>5</v>
      </c>
      <c r="I1644" s="2">
        <v>3081.88</v>
      </c>
      <c r="J1644" s="2">
        <v>0</v>
      </c>
      <c r="K1644" s="2" t="s">
        <v>17</v>
      </c>
      <c r="L1644" s="2" t="s">
        <v>35</v>
      </c>
    </row>
    <row r="1645" spans="1:12" x14ac:dyDescent="0.2">
      <c r="A1645" s="2">
        <v>100546</v>
      </c>
      <c r="B1645" s="17">
        <v>45548</v>
      </c>
      <c r="C1645" s="2" t="s">
        <v>233</v>
      </c>
      <c r="D1645" s="2" t="s">
        <v>95</v>
      </c>
      <c r="E1645" s="2" t="s">
        <v>21</v>
      </c>
      <c r="F1645" s="2" t="s">
        <v>124</v>
      </c>
      <c r="G1645" s="2" t="s">
        <v>56</v>
      </c>
      <c r="H1645" s="2">
        <v>1</v>
      </c>
      <c r="I1645" s="2">
        <v>2729.48</v>
      </c>
      <c r="J1645" s="2">
        <v>0.2</v>
      </c>
      <c r="K1645" s="2" t="s">
        <v>29</v>
      </c>
      <c r="L1645" s="2" t="s">
        <v>35</v>
      </c>
    </row>
    <row r="1646" spans="1:12" x14ac:dyDescent="0.2">
      <c r="A1646" s="2">
        <v>100213</v>
      </c>
      <c r="B1646" s="18">
        <v>45572</v>
      </c>
      <c r="C1646" s="2" t="s">
        <v>219</v>
      </c>
      <c r="D1646" s="2" t="s">
        <v>92</v>
      </c>
      <c r="E1646" s="2" t="s">
        <v>54</v>
      </c>
      <c r="F1646" s="2" t="s">
        <v>70</v>
      </c>
      <c r="G1646" s="2" t="s">
        <v>153</v>
      </c>
      <c r="H1646" s="2">
        <v>4</v>
      </c>
      <c r="I1646" s="2" t="s">
        <v>997</v>
      </c>
      <c r="J1646" s="2">
        <v>0.15</v>
      </c>
      <c r="K1646" s="2" t="s">
        <v>83</v>
      </c>
      <c r="L1646" s="2" t="s">
        <v>121</v>
      </c>
    </row>
    <row r="1647" spans="1:12" x14ac:dyDescent="0.2">
      <c r="A1647" s="2">
        <v>100897</v>
      </c>
      <c r="B1647" s="17">
        <v>45455</v>
      </c>
      <c r="C1647" s="2" t="s">
        <v>765</v>
      </c>
      <c r="D1647" s="2" t="s">
        <v>95</v>
      </c>
      <c r="E1647" s="2" t="s">
        <v>21</v>
      </c>
      <c r="F1647" s="2" t="s">
        <v>28</v>
      </c>
      <c r="G1647" s="2" t="s">
        <v>16</v>
      </c>
      <c r="H1647" s="2">
        <v>5</v>
      </c>
      <c r="I1647" s="2">
        <v>2388.41</v>
      </c>
      <c r="J1647" s="2">
        <v>0</v>
      </c>
      <c r="K1647" s="2" t="s">
        <v>66</v>
      </c>
      <c r="L1647" s="2" t="s">
        <v>18</v>
      </c>
    </row>
    <row r="1648" spans="1:12" x14ac:dyDescent="0.2">
      <c r="A1648" s="2">
        <v>101493</v>
      </c>
      <c r="B1648" s="2" t="s">
        <v>441</v>
      </c>
      <c r="C1648" s="2" t="s">
        <v>521</v>
      </c>
      <c r="D1648" s="2" t="s">
        <v>31</v>
      </c>
      <c r="E1648" s="2" t="s">
        <v>32</v>
      </c>
      <c r="F1648" s="2" t="s">
        <v>64</v>
      </c>
      <c r="G1648" s="2" t="s">
        <v>242</v>
      </c>
      <c r="H1648" s="2">
        <v>9</v>
      </c>
      <c r="I1648" s="2">
        <v>464.31</v>
      </c>
      <c r="J1648" s="2">
        <v>0.2</v>
      </c>
      <c r="K1648" s="2" t="s">
        <v>29</v>
      </c>
      <c r="L1648" s="2" t="s">
        <v>143</v>
      </c>
    </row>
    <row r="1649" spans="1:12" x14ac:dyDescent="0.2">
      <c r="A1649" s="2">
        <v>101223</v>
      </c>
      <c r="B1649" s="17">
        <v>45574</v>
      </c>
      <c r="C1649" s="2" t="s">
        <v>388</v>
      </c>
      <c r="D1649" s="2" t="s">
        <v>44</v>
      </c>
      <c r="E1649" s="2" t="s">
        <v>32</v>
      </c>
      <c r="F1649" s="2" t="s">
        <v>113</v>
      </c>
      <c r="G1649" s="2" t="s">
        <v>242</v>
      </c>
      <c r="H1649" s="2">
        <v>3</v>
      </c>
      <c r="I1649" s="2">
        <v>518.66</v>
      </c>
      <c r="J1649" s="2">
        <v>0</v>
      </c>
      <c r="K1649" s="2" t="s">
        <v>83</v>
      </c>
      <c r="L1649" s="2" t="s">
        <v>52</v>
      </c>
    </row>
    <row r="1650" spans="1:12" x14ac:dyDescent="0.2">
      <c r="A1650" s="2">
        <v>100917</v>
      </c>
      <c r="B1650" s="17">
        <v>45646</v>
      </c>
      <c r="C1650" s="2" t="s">
        <v>998</v>
      </c>
      <c r="D1650" s="2" t="s">
        <v>73</v>
      </c>
      <c r="E1650" s="2" t="s">
        <v>79</v>
      </c>
      <c r="F1650" s="2" t="s">
        <v>191</v>
      </c>
      <c r="G1650" s="2" t="s">
        <v>116</v>
      </c>
      <c r="H1650" s="2">
        <v>1</v>
      </c>
      <c r="I1650" s="2">
        <v>15193.19</v>
      </c>
      <c r="J1650" s="2">
        <v>0.1</v>
      </c>
      <c r="K1650" s="2" t="s">
        <v>41</v>
      </c>
      <c r="L1650" s="2" t="s">
        <v>35</v>
      </c>
    </row>
    <row r="1651" spans="1:12" x14ac:dyDescent="0.2">
      <c r="A1651" s="2">
        <v>101552</v>
      </c>
      <c r="B1651" s="18">
        <v>45560</v>
      </c>
      <c r="C1651" s="2" t="s">
        <v>528</v>
      </c>
      <c r="D1651" s="2" t="s">
        <v>89</v>
      </c>
      <c r="E1651" s="2" t="s">
        <v>32</v>
      </c>
      <c r="F1651" s="2" t="s">
        <v>33</v>
      </c>
      <c r="G1651" s="2" t="s">
        <v>93</v>
      </c>
      <c r="H1651" s="2">
        <v>6</v>
      </c>
      <c r="I1651" s="2">
        <v>32.619999999999997</v>
      </c>
      <c r="J1651" s="2"/>
      <c r="K1651" s="2" t="s">
        <v>66</v>
      </c>
      <c r="L1651" s="2" t="s">
        <v>25</v>
      </c>
    </row>
    <row r="1652" spans="1:12" x14ac:dyDescent="0.2">
      <c r="A1652" s="2">
        <v>100676</v>
      </c>
      <c r="B1652" s="17">
        <v>45566</v>
      </c>
      <c r="C1652" s="2" t="s">
        <v>666</v>
      </c>
      <c r="D1652" s="2" t="s">
        <v>131</v>
      </c>
      <c r="E1652" s="2" t="s">
        <v>133</v>
      </c>
      <c r="F1652" s="2" t="s">
        <v>45</v>
      </c>
      <c r="G1652" s="2" t="s">
        <v>111</v>
      </c>
      <c r="H1652" s="2">
        <v>9</v>
      </c>
      <c r="I1652" s="2">
        <v>7084.71</v>
      </c>
      <c r="J1652" s="2">
        <v>25</v>
      </c>
      <c r="K1652" s="2" t="s">
        <v>17</v>
      </c>
      <c r="L1652" s="2" t="s">
        <v>35</v>
      </c>
    </row>
    <row r="1653" spans="1:12" x14ac:dyDescent="0.2">
      <c r="A1653" s="2">
        <v>101290</v>
      </c>
      <c r="B1653" s="18">
        <v>45491</v>
      </c>
      <c r="C1653" s="2" t="s">
        <v>819</v>
      </c>
      <c r="D1653" s="2" t="s">
        <v>61</v>
      </c>
      <c r="E1653" s="2" t="s">
        <v>14</v>
      </c>
      <c r="F1653" s="2" t="s">
        <v>50</v>
      </c>
      <c r="G1653" s="2" t="s">
        <v>51</v>
      </c>
      <c r="H1653" s="2">
        <v>7</v>
      </c>
      <c r="I1653" s="2">
        <v>11689.78</v>
      </c>
      <c r="J1653" s="2"/>
      <c r="K1653" s="2" t="s">
        <v>66</v>
      </c>
      <c r="L1653" s="2" t="s">
        <v>35</v>
      </c>
    </row>
    <row r="1654" spans="1:12" x14ac:dyDescent="0.2">
      <c r="A1654" s="2">
        <v>100815</v>
      </c>
      <c r="B1654" s="17">
        <v>45457</v>
      </c>
      <c r="C1654" s="2" t="s">
        <v>200</v>
      </c>
      <c r="D1654" s="2" t="s">
        <v>89</v>
      </c>
      <c r="E1654" s="2" t="s">
        <v>54</v>
      </c>
      <c r="F1654" s="2" t="s">
        <v>70</v>
      </c>
      <c r="G1654" s="2" t="s">
        <v>71</v>
      </c>
      <c r="H1654" s="2">
        <v>1</v>
      </c>
      <c r="I1654" s="2">
        <v>43062.16</v>
      </c>
      <c r="J1654" s="2">
        <v>5</v>
      </c>
      <c r="K1654" s="2" t="s">
        <v>29</v>
      </c>
      <c r="L1654" s="2" t="s">
        <v>52</v>
      </c>
    </row>
    <row r="1655" spans="1:12" x14ac:dyDescent="0.2">
      <c r="A1655" s="2">
        <v>101266</v>
      </c>
      <c r="B1655" s="18">
        <v>45392</v>
      </c>
      <c r="C1655" s="2" t="s">
        <v>822</v>
      </c>
      <c r="D1655" s="2" t="s">
        <v>44</v>
      </c>
      <c r="E1655" s="2" t="s">
        <v>32</v>
      </c>
      <c r="F1655" s="2" t="s">
        <v>80</v>
      </c>
      <c r="G1655" s="2" t="s">
        <v>158</v>
      </c>
      <c r="H1655" s="2">
        <v>12</v>
      </c>
      <c r="I1655" s="2">
        <v>324.86</v>
      </c>
      <c r="J1655" s="2">
        <v>0</v>
      </c>
      <c r="K1655" s="2" t="s">
        <v>41</v>
      </c>
      <c r="L1655" s="2" t="s">
        <v>143</v>
      </c>
    </row>
    <row r="1656" spans="1:12" x14ac:dyDescent="0.2">
      <c r="A1656" s="2">
        <v>100343</v>
      </c>
      <c r="B1656" s="2" t="s">
        <v>469</v>
      </c>
      <c r="C1656" s="2" t="s">
        <v>435</v>
      </c>
      <c r="D1656" s="2" t="s">
        <v>101</v>
      </c>
      <c r="E1656" s="2" t="s">
        <v>69</v>
      </c>
      <c r="F1656" s="2" t="s">
        <v>223</v>
      </c>
      <c r="G1656" s="2" t="s">
        <v>207</v>
      </c>
      <c r="H1656" s="2">
        <v>2</v>
      </c>
      <c r="I1656" s="2" t="s">
        <v>999</v>
      </c>
      <c r="J1656" s="2">
        <v>0.05</v>
      </c>
      <c r="K1656" s="2" t="s">
        <v>66</v>
      </c>
      <c r="L1656" s="2" t="s">
        <v>42</v>
      </c>
    </row>
    <row r="1657" spans="1:12" x14ac:dyDescent="0.2">
      <c r="A1657" s="2">
        <v>100550</v>
      </c>
      <c r="B1657" s="18">
        <v>45636</v>
      </c>
      <c r="C1657" s="2" t="s">
        <v>512</v>
      </c>
      <c r="D1657" s="2" t="s">
        <v>95</v>
      </c>
      <c r="E1657" s="2" t="s">
        <v>21</v>
      </c>
      <c r="F1657" s="2" t="s">
        <v>64</v>
      </c>
      <c r="G1657" s="2" t="s">
        <v>114</v>
      </c>
      <c r="H1657" s="2">
        <v>9</v>
      </c>
      <c r="I1657" s="2">
        <v>426.87</v>
      </c>
      <c r="J1657" s="2">
        <v>0</v>
      </c>
      <c r="K1657" s="2" t="s">
        <v>83</v>
      </c>
      <c r="L1657" s="2" t="s">
        <v>143</v>
      </c>
    </row>
    <row r="1658" spans="1:12" x14ac:dyDescent="0.2">
      <c r="A1658" s="2">
        <v>101411</v>
      </c>
      <c r="B1658" s="17">
        <v>45388</v>
      </c>
      <c r="C1658" s="2" t="s">
        <v>728</v>
      </c>
      <c r="D1658" s="2" t="s">
        <v>101</v>
      </c>
      <c r="E1658" s="2" t="s">
        <v>69</v>
      </c>
      <c r="F1658" s="2" t="s">
        <v>80</v>
      </c>
      <c r="G1658" s="2" t="s">
        <v>158</v>
      </c>
      <c r="H1658" s="2">
        <v>7</v>
      </c>
      <c r="I1658" s="2">
        <v>55.76</v>
      </c>
      <c r="J1658" s="2">
        <v>0</v>
      </c>
      <c r="K1658" s="2" t="s">
        <v>83</v>
      </c>
      <c r="L1658" s="2" t="s">
        <v>35</v>
      </c>
    </row>
    <row r="1659" spans="1:12" x14ac:dyDescent="0.2">
      <c r="A1659" s="2">
        <v>101215</v>
      </c>
      <c r="B1659" s="17">
        <v>45635</v>
      </c>
      <c r="C1659" s="2" t="s">
        <v>656</v>
      </c>
      <c r="D1659" s="2" t="s">
        <v>95</v>
      </c>
      <c r="E1659" s="2" t="s">
        <v>21</v>
      </c>
      <c r="F1659" s="2" t="s">
        <v>124</v>
      </c>
      <c r="G1659" s="2" t="s">
        <v>62</v>
      </c>
      <c r="H1659" s="2">
        <v>1</v>
      </c>
      <c r="I1659" s="2">
        <v>7612.48</v>
      </c>
      <c r="J1659" s="2">
        <v>0</v>
      </c>
      <c r="K1659" s="2" t="s">
        <v>24</v>
      </c>
      <c r="L1659" s="2" t="s">
        <v>25</v>
      </c>
    </row>
    <row r="1660" spans="1:12" x14ac:dyDescent="0.2">
      <c r="A1660" s="2">
        <v>100967</v>
      </c>
      <c r="B1660" s="17">
        <v>45398</v>
      </c>
      <c r="C1660" s="2" t="s">
        <v>464</v>
      </c>
      <c r="D1660" s="2" t="s">
        <v>44</v>
      </c>
      <c r="E1660" s="2" t="s">
        <v>32</v>
      </c>
      <c r="F1660" s="2" t="s">
        <v>22</v>
      </c>
      <c r="G1660" s="2" t="s">
        <v>23</v>
      </c>
      <c r="H1660" s="2"/>
      <c r="I1660" s="2"/>
      <c r="J1660" s="2">
        <v>0</v>
      </c>
      <c r="K1660" s="2" t="s">
        <v>83</v>
      </c>
      <c r="L1660" s="2" t="s">
        <v>52</v>
      </c>
    </row>
    <row r="1661" spans="1:12" x14ac:dyDescent="0.2">
      <c r="A1661" s="2">
        <v>101231</v>
      </c>
      <c r="B1661" s="2" t="s">
        <v>915</v>
      </c>
      <c r="C1661" s="2" t="s">
        <v>366</v>
      </c>
      <c r="D1661" s="2" t="s">
        <v>131</v>
      </c>
      <c r="E1661" s="2" t="s">
        <v>21</v>
      </c>
      <c r="F1661" s="2" t="s">
        <v>33</v>
      </c>
      <c r="G1661" s="2" t="s">
        <v>93</v>
      </c>
      <c r="H1661" s="2">
        <v>10</v>
      </c>
      <c r="I1661" s="2">
        <v>160.30000000000001</v>
      </c>
      <c r="J1661" s="2">
        <v>0</v>
      </c>
      <c r="K1661" s="2" t="s">
        <v>41</v>
      </c>
      <c r="L1661" s="2" t="s">
        <v>18</v>
      </c>
    </row>
    <row r="1662" spans="1:12" x14ac:dyDescent="0.2">
      <c r="A1662" s="2">
        <v>100296</v>
      </c>
      <c r="B1662" s="18">
        <v>45622</v>
      </c>
      <c r="C1662" s="2" t="s">
        <v>639</v>
      </c>
      <c r="D1662" s="2" t="s">
        <v>58</v>
      </c>
      <c r="E1662" s="2" t="s">
        <v>69</v>
      </c>
      <c r="F1662" s="2" t="s">
        <v>33</v>
      </c>
      <c r="G1662" s="2" t="s">
        <v>81</v>
      </c>
      <c r="H1662" s="2">
        <v>4</v>
      </c>
      <c r="I1662" s="2" t="s">
        <v>1000</v>
      </c>
      <c r="J1662" s="2">
        <v>0.15</v>
      </c>
      <c r="K1662" s="2" t="s">
        <v>66</v>
      </c>
      <c r="L1662" s="2" t="s">
        <v>35</v>
      </c>
    </row>
    <row r="1663" spans="1:12" x14ac:dyDescent="0.2">
      <c r="A1663" s="2">
        <v>100696</v>
      </c>
      <c r="B1663" s="2" t="s">
        <v>1001</v>
      </c>
      <c r="C1663" s="2" t="s">
        <v>424</v>
      </c>
      <c r="D1663" s="2" t="s">
        <v>13</v>
      </c>
      <c r="E1663" s="2" t="s">
        <v>119</v>
      </c>
      <c r="F1663" s="2" t="s">
        <v>50</v>
      </c>
      <c r="G1663" s="2" t="s">
        <v>99</v>
      </c>
      <c r="H1663" s="2">
        <v>1</v>
      </c>
      <c r="I1663" s="2">
        <v>10395.02</v>
      </c>
      <c r="J1663" s="2"/>
      <c r="K1663" s="2" t="s">
        <v>83</v>
      </c>
      <c r="L1663" s="2" t="s">
        <v>35</v>
      </c>
    </row>
    <row r="1664" spans="1:12" x14ac:dyDescent="0.2">
      <c r="A1664" s="2">
        <v>101453</v>
      </c>
      <c r="B1664" s="18">
        <v>45651</v>
      </c>
      <c r="C1664" s="2" t="s">
        <v>167</v>
      </c>
      <c r="D1664" s="2" t="s">
        <v>27</v>
      </c>
      <c r="E1664" s="2" t="s">
        <v>21</v>
      </c>
      <c r="F1664" s="2" t="s">
        <v>55</v>
      </c>
      <c r="G1664" s="2" t="s">
        <v>62</v>
      </c>
      <c r="H1664" s="2">
        <v>8</v>
      </c>
      <c r="I1664" s="2">
        <v>6704.79</v>
      </c>
      <c r="J1664" s="2">
        <v>20</v>
      </c>
      <c r="K1664" s="2" t="s">
        <v>24</v>
      </c>
      <c r="L1664" s="2" t="s">
        <v>143</v>
      </c>
    </row>
    <row r="1665" spans="1:12" x14ac:dyDescent="0.2">
      <c r="A1665" s="2">
        <v>100074</v>
      </c>
      <c r="B1665" s="17">
        <v>45355</v>
      </c>
      <c r="C1665" s="2"/>
      <c r="D1665" s="2" t="s">
        <v>129</v>
      </c>
      <c r="E1665" s="2" t="s">
        <v>79</v>
      </c>
      <c r="F1665" s="2" t="s">
        <v>33</v>
      </c>
      <c r="G1665" s="2" t="s">
        <v>81</v>
      </c>
      <c r="H1665" s="2">
        <v>11</v>
      </c>
      <c r="I1665" s="2">
        <v>106.04</v>
      </c>
      <c r="J1665" s="2">
        <v>0.25</v>
      </c>
      <c r="K1665" s="2" t="s">
        <v>17</v>
      </c>
      <c r="L1665" s="2" t="s">
        <v>143</v>
      </c>
    </row>
    <row r="1666" spans="1:12" x14ac:dyDescent="0.2">
      <c r="A1666" s="2">
        <v>100606</v>
      </c>
      <c r="B1666" s="18">
        <v>45361</v>
      </c>
      <c r="C1666" s="2" t="s">
        <v>299</v>
      </c>
      <c r="D1666" s="2" t="s">
        <v>13</v>
      </c>
      <c r="E1666" s="2" t="s">
        <v>119</v>
      </c>
      <c r="F1666" s="2" t="s">
        <v>102</v>
      </c>
      <c r="G1666" s="2" t="s">
        <v>103</v>
      </c>
      <c r="H1666" s="2">
        <v>7</v>
      </c>
      <c r="I1666" s="2">
        <v>3933.18</v>
      </c>
      <c r="J1666" s="2">
        <v>0.2</v>
      </c>
      <c r="K1666" s="2" t="s">
        <v>83</v>
      </c>
      <c r="L1666" s="2" t="s">
        <v>42</v>
      </c>
    </row>
    <row r="1667" spans="1:12" x14ac:dyDescent="0.2">
      <c r="A1667" s="2">
        <v>100105</v>
      </c>
      <c r="B1667" s="2" t="s">
        <v>860</v>
      </c>
      <c r="C1667" s="2" t="s">
        <v>850</v>
      </c>
      <c r="D1667" s="2" t="s">
        <v>13</v>
      </c>
      <c r="E1667" s="2" t="s">
        <v>14</v>
      </c>
      <c r="F1667" s="2" t="s">
        <v>191</v>
      </c>
      <c r="G1667" s="2" t="s">
        <v>59</v>
      </c>
      <c r="H1667" s="2">
        <v>4</v>
      </c>
      <c r="I1667" s="2" t="s">
        <v>1002</v>
      </c>
      <c r="J1667" s="2">
        <v>0.25</v>
      </c>
      <c r="K1667" s="2" t="s">
        <v>24</v>
      </c>
      <c r="L1667" s="2" t="s">
        <v>35</v>
      </c>
    </row>
    <row r="1668" spans="1:12" x14ac:dyDescent="0.2">
      <c r="A1668" s="2">
        <v>100646</v>
      </c>
      <c r="B1668" s="2" t="s">
        <v>971</v>
      </c>
      <c r="C1668" s="2" t="s">
        <v>783</v>
      </c>
      <c r="D1668" s="2" t="s">
        <v>44</v>
      </c>
      <c r="E1668" s="2" t="s">
        <v>54</v>
      </c>
      <c r="F1668" s="2" t="s">
        <v>70</v>
      </c>
      <c r="G1668" s="2" t="s">
        <v>111</v>
      </c>
      <c r="H1668" s="2">
        <v>9</v>
      </c>
      <c r="I1668" s="2">
        <v>5188.6000000000004</v>
      </c>
      <c r="J1668" s="2">
        <v>0</v>
      </c>
      <c r="K1668" s="2" t="s">
        <v>17</v>
      </c>
      <c r="L1668" s="2" t="s">
        <v>87</v>
      </c>
    </row>
    <row r="1669" spans="1:12" x14ac:dyDescent="0.2">
      <c r="A1669" s="2">
        <v>101405</v>
      </c>
      <c r="B1669" s="18">
        <v>45292</v>
      </c>
      <c r="C1669" s="2" t="s">
        <v>291</v>
      </c>
      <c r="D1669" s="2" t="s">
        <v>61</v>
      </c>
      <c r="E1669" s="2" t="s">
        <v>14</v>
      </c>
      <c r="F1669" s="2" t="s">
        <v>80</v>
      </c>
      <c r="G1669" s="2" t="s">
        <v>158</v>
      </c>
      <c r="H1669" s="2">
        <v>10</v>
      </c>
      <c r="I1669" s="2">
        <v>100.66</v>
      </c>
      <c r="J1669" s="2">
        <v>10</v>
      </c>
      <c r="K1669" s="2" t="s">
        <v>41</v>
      </c>
      <c r="L1669" s="2" t="s">
        <v>25</v>
      </c>
    </row>
    <row r="1670" spans="1:12" x14ac:dyDescent="0.2">
      <c r="A1670" s="2">
        <v>101987</v>
      </c>
      <c r="B1670" s="17">
        <v>45352</v>
      </c>
      <c r="C1670" s="2" t="s">
        <v>127</v>
      </c>
      <c r="D1670" s="2" t="s">
        <v>48</v>
      </c>
      <c r="E1670" s="2" t="s">
        <v>49</v>
      </c>
      <c r="F1670" s="2" t="s">
        <v>155</v>
      </c>
      <c r="G1670" s="2" t="s">
        <v>156</v>
      </c>
      <c r="H1670" s="2">
        <v>8</v>
      </c>
      <c r="I1670" s="2">
        <v>3789.43</v>
      </c>
      <c r="J1670" s="2">
        <v>0.05</v>
      </c>
      <c r="K1670" s="2" t="s">
        <v>83</v>
      </c>
      <c r="L1670" s="2" t="s">
        <v>52</v>
      </c>
    </row>
    <row r="1671" spans="1:12" x14ac:dyDescent="0.2">
      <c r="A1671" s="2">
        <v>101041</v>
      </c>
      <c r="B1671" s="17">
        <v>45428</v>
      </c>
      <c r="C1671" s="2" t="s">
        <v>898</v>
      </c>
      <c r="D1671" s="2" t="s">
        <v>181</v>
      </c>
      <c r="E1671" s="2" t="s">
        <v>119</v>
      </c>
      <c r="F1671" s="2" t="s">
        <v>70</v>
      </c>
      <c r="G1671" s="2" t="s">
        <v>97</v>
      </c>
      <c r="H1671" s="2">
        <v>3</v>
      </c>
      <c r="I1671" s="2">
        <v>28274.07</v>
      </c>
      <c r="J1671" s="2">
        <v>0.05</v>
      </c>
      <c r="K1671" s="2" t="s">
        <v>24</v>
      </c>
      <c r="L1671" s="2" t="s">
        <v>18</v>
      </c>
    </row>
    <row r="1672" spans="1:12" x14ac:dyDescent="0.2">
      <c r="A1672" s="2">
        <v>100440</v>
      </c>
      <c r="B1672" s="17">
        <v>45552</v>
      </c>
      <c r="C1672" s="2" t="s">
        <v>421</v>
      </c>
      <c r="D1672" s="2" t="s">
        <v>85</v>
      </c>
      <c r="E1672" s="2" t="s">
        <v>119</v>
      </c>
      <c r="F1672" s="2" t="s">
        <v>22</v>
      </c>
      <c r="G1672" s="2" t="s">
        <v>145</v>
      </c>
      <c r="H1672" s="2">
        <v>7</v>
      </c>
      <c r="I1672" s="2">
        <v>588.46</v>
      </c>
      <c r="J1672" s="2">
        <v>0</v>
      </c>
      <c r="K1672" s="2" t="s">
        <v>17</v>
      </c>
      <c r="L1672" s="2" t="s">
        <v>143</v>
      </c>
    </row>
    <row r="1673" spans="1:12" x14ac:dyDescent="0.2">
      <c r="A1673" s="2">
        <v>101020</v>
      </c>
      <c r="B1673" s="18">
        <v>45484</v>
      </c>
      <c r="C1673" s="2" t="s">
        <v>832</v>
      </c>
      <c r="D1673" s="2" t="s">
        <v>160</v>
      </c>
      <c r="E1673" s="2" t="s">
        <v>79</v>
      </c>
      <c r="F1673" s="2" t="s">
        <v>64</v>
      </c>
      <c r="G1673" s="2" t="s">
        <v>165</v>
      </c>
      <c r="H1673" s="2">
        <v>4</v>
      </c>
      <c r="I1673" s="2">
        <v>632.46</v>
      </c>
      <c r="J1673" s="2">
        <v>25</v>
      </c>
      <c r="K1673" s="2" t="s">
        <v>66</v>
      </c>
      <c r="L1673" s="2" t="s">
        <v>52</v>
      </c>
    </row>
    <row r="1674" spans="1:12" x14ac:dyDescent="0.2">
      <c r="A1674" s="2">
        <v>100092</v>
      </c>
      <c r="B1674" s="2" t="s">
        <v>756</v>
      </c>
      <c r="C1674" s="2"/>
      <c r="D1674" s="2" t="s">
        <v>58</v>
      </c>
      <c r="E1674" s="2" t="s">
        <v>38</v>
      </c>
      <c r="F1674" s="2" t="s">
        <v>28</v>
      </c>
      <c r="G1674" s="2" t="s">
        <v>59</v>
      </c>
      <c r="H1674" s="2">
        <v>10</v>
      </c>
      <c r="I1674" s="2">
        <v>23459.55</v>
      </c>
      <c r="J1674" s="2">
        <v>0</v>
      </c>
      <c r="K1674" s="2" t="s">
        <v>29</v>
      </c>
      <c r="L1674" s="2" t="s">
        <v>35</v>
      </c>
    </row>
    <row r="1675" spans="1:12" x14ac:dyDescent="0.2">
      <c r="A1675" s="2">
        <v>101113</v>
      </c>
      <c r="B1675" s="18">
        <v>45325</v>
      </c>
      <c r="C1675" s="2" t="s">
        <v>743</v>
      </c>
      <c r="D1675" s="2" t="s">
        <v>89</v>
      </c>
      <c r="E1675" s="2" t="s">
        <v>54</v>
      </c>
      <c r="F1675" s="2" t="s">
        <v>22</v>
      </c>
      <c r="G1675" s="2" t="s">
        <v>145</v>
      </c>
      <c r="H1675" s="2">
        <v>9</v>
      </c>
      <c r="I1675" s="2">
        <v>2026.98</v>
      </c>
      <c r="J1675" s="2">
        <v>0.25</v>
      </c>
      <c r="K1675" s="2" t="s">
        <v>66</v>
      </c>
      <c r="L1675" s="2" t="s">
        <v>52</v>
      </c>
    </row>
    <row r="1676" spans="1:12" x14ac:dyDescent="0.2">
      <c r="A1676" s="2">
        <v>101778</v>
      </c>
      <c r="B1676" s="17">
        <v>45527</v>
      </c>
      <c r="C1676" s="2" t="s">
        <v>142</v>
      </c>
      <c r="D1676" s="2" t="s">
        <v>89</v>
      </c>
      <c r="E1676" s="2" t="s">
        <v>54</v>
      </c>
      <c r="F1676" s="2" t="s">
        <v>191</v>
      </c>
      <c r="G1676" s="2" t="s">
        <v>205</v>
      </c>
      <c r="H1676" s="2">
        <v>5</v>
      </c>
      <c r="I1676" s="2">
        <v>23717.94</v>
      </c>
      <c r="J1676" s="2">
        <v>0.2</v>
      </c>
      <c r="K1676" s="2" t="s">
        <v>83</v>
      </c>
      <c r="L1676" s="2" t="s">
        <v>35</v>
      </c>
    </row>
    <row r="1677" spans="1:12" x14ac:dyDescent="0.2">
      <c r="A1677" s="2">
        <v>100909</v>
      </c>
      <c r="B1677" s="18">
        <v>45407</v>
      </c>
      <c r="C1677" s="2" t="s">
        <v>148</v>
      </c>
      <c r="D1677" s="2" t="s">
        <v>101</v>
      </c>
      <c r="E1677" s="2" t="s">
        <v>38</v>
      </c>
      <c r="F1677" s="2" t="s">
        <v>223</v>
      </c>
      <c r="G1677" s="2" t="s">
        <v>51</v>
      </c>
      <c r="H1677" s="2">
        <v>4</v>
      </c>
      <c r="I1677" s="2">
        <v>2246.5700000000002</v>
      </c>
      <c r="J1677" s="2">
        <v>10</v>
      </c>
      <c r="K1677" s="2" t="s">
        <v>66</v>
      </c>
      <c r="L1677" s="2" t="s">
        <v>121</v>
      </c>
    </row>
    <row r="1678" spans="1:12" x14ac:dyDescent="0.2">
      <c r="A1678" s="2">
        <v>101475</v>
      </c>
      <c r="B1678" s="17">
        <v>45416</v>
      </c>
      <c r="C1678" s="2" t="s">
        <v>671</v>
      </c>
      <c r="D1678" s="2" t="s">
        <v>95</v>
      </c>
      <c r="E1678" s="2" t="s">
        <v>21</v>
      </c>
      <c r="F1678" s="2" t="s">
        <v>22</v>
      </c>
      <c r="G1678" s="2" t="s">
        <v>23</v>
      </c>
      <c r="H1678" s="2">
        <v>8</v>
      </c>
      <c r="I1678" s="2">
        <v>2877.15</v>
      </c>
      <c r="J1678" s="2">
        <v>0.05</v>
      </c>
      <c r="K1678" s="2" t="s">
        <v>24</v>
      </c>
      <c r="L1678" s="2" t="s">
        <v>121</v>
      </c>
    </row>
    <row r="1679" spans="1:12" x14ac:dyDescent="0.2">
      <c r="A1679" s="2">
        <v>100103</v>
      </c>
      <c r="B1679" s="18">
        <v>45386</v>
      </c>
      <c r="C1679" s="2" t="s">
        <v>515</v>
      </c>
      <c r="D1679" s="2" t="s">
        <v>37</v>
      </c>
      <c r="E1679" s="2" t="s">
        <v>38</v>
      </c>
      <c r="F1679" s="2" t="s">
        <v>80</v>
      </c>
      <c r="G1679" s="2" t="s">
        <v>93</v>
      </c>
      <c r="H1679" s="2">
        <v>7</v>
      </c>
      <c r="I1679" s="2">
        <v>56.72</v>
      </c>
      <c r="J1679" s="2">
        <v>0.2</v>
      </c>
      <c r="K1679" s="2" t="s">
        <v>29</v>
      </c>
      <c r="L1679" s="2" t="s">
        <v>121</v>
      </c>
    </row>
    <row r="1680" spans="1:12" x14ac:dyDescent="0.2">
      <c r="A1680" s="2">
        <v>100239</v>
      </c>
      <c r="B1680" s="17">
        <v>45439</v>
      </c>
      <c r="C1680" s="2" t="s">
        <v>972</v>
      </c>
      <c r="D1680" s="2" t="s">
        <v>31</v>
      </c>
      <c r="E1680" s="2" t="s">
        <v>32</v>
      </c>
      <c r="F1680" s="2" t="s">
        <v>28</v>
      </c>
      <c r="G1680" s="2" t="s">
        <v>59</v>
      </c>
      <c r="H1680" s="2">
        <v>12</v>
      </c>
      <c r="I1680" s="2">
        <v>5587.8</v>
      </c>
      <c r="J1680" s="2">
        <v>0</v>
      </c>
      <c r="K1680" s="2" t="s">
        <v>83</v>
      </c>
      <c r="L1680" s="2" t="s">
        <v>42</v>
      </c>
    </row>
    <row r="1681" spans="1:12" x14ac:dyDescent="0.2">
      <c r="A1681" s="2">
        <v>101725</v>
      </c>
      <c r="B1681" s="17">
        <v>45565</v>
      </c>
      <c r="C1681" s="2" t="s">
        <v>457</v>
      </c>
      <c r="D1681" s="2" t="s">
        <v>13</v>
      </c>
      <c r="E1681" s="2" t="s">
        <v>119</v>
      </c>
      <c r="F1681" s="2" t="s">
        <v>96</v>
      </c>
      <c r="G1681" s="2" t="s">
        <v>46</v>
      </c>
      <c r="H1681" s="2">
        <v>2</v>
      </c>
      <c r="I1681" s="2">
        <v>1973.37</v>
      </c>
      <c r="J1681" s="2">
        <v>0.2</v>
      </c>
      <c r="K1681" s="2" t="s">
        <v>17</v>
      </c>
      <c r="L1681" s="2" t="s">
        <v>52</v>
      </c>
    </row>
    <row r="1682" spans="1:12" x14ac:dyDescent="0.2">
      <c r="A1682" s="2">
        <v>100943</v>
      </c>
      <c r="B1682" s="17">
        <v>45323</v>
      </c>
      <c r="C1682" s="2" t="s">
        <v>53</v>
      </c>
      <c r="D1682" s="2" t="s">
        <v>181</v>
      </c>
      <c r="E1682" s="2" t="s">
        <v>119</v>
      </c>
      <c r="F1682" s="2" t="s">
        <v>22</v>
      </c>
      <c r="G1682" s="2" t="s">
        <v>23</v>
      </c>
      <c r="H1682" s="2">
        <v>3</v>
      </c>
      <c r="I1682" s="2">
        <v>2990.65</v>
      </c>
      <c r="J1682" s="2">
        <v>20</v>
      </c>
      <c r="K1682" s="2" t="s">
        <v>83</v>
      </c>
      <c r="L1682" s="2" t="s">
        <v>18</v>
      </c>
    </row>
    <row r="1683" spans="1:12" x14ac:dyDescent="0.2">
      <c r="A1683" s="2">
        <v>101271</v>
      </c>
      <c r="B1683" s="2" t="s">
        <v>1003</v>
      </c>
      <c r="C1683" s="2" t="s">
        <v>748</v>
      </c>
      <c r="D1683" s="2" t="s">
        <v>37</v>
      </c>
      <c r="E1683" s="2" t="s">
        <v>38</v>
      </c>
      <c r="F1683" s="2" t="s">
        <v>113</v>
      </c>
      <c r="G1683" s="2" t="s">
        <v>40</v>
      </c>
      <c r="H1683" s="2">
        <v>-2</v>
      </c>
      <c r="I1683" s="2"/>
      <c r="J1683" s="2">
        <v>15</v>
      </c>
      <c r="K1683" s="2" t="s">
        <v>17</v>
      </c>
      <c r="L1683" s="2" t="s">
        <v>42</v>
      </c>
    </row>
    <row r="1684" spans="1:12" x14ac:dyDescent="0.2">
      <c r="A1684" s="2">
        <v>100939</v>
      </c>
      <c r="B1684" s="18">
        <v>45496</v>
      </c>
      <c r="C1684" s="2" t="s">
        <v>652</v>
      </c>
      <c r="D1684" s="2" t="s">
        <v>85</v>
      </c>
      <c r="E1684" s="2" t="s">
        <v>14</v>
      </c>
      <c r="F1684" s="2" t="s">
        <v>80</v>
      </c>
      <c r="G1684" s="2" t="s">
        <v>158</v>
      </c>
      <c r="H1684" s="2">
        <v>12</v>
      </c>
      <c r="I1684" s="2" t="s">
        <v>1004</v>
      </c>
      <c r="J1684" s="2">
        <v>0.2</v>
      </c>
      <c r="K1684" s="2" t="s">
        <v>41</v>
      </c>
      <c r="L1684" s="2" t="s">
        <v>121</v>
      </c>
    </row>
    <row r="1685" spans="1:12" x14ac:dyDescent="0.2">
      <c r="A1685" s="2">
        <v>101715</v>
      </c>
      <c r="B1685" s="17">
        <v>45539</v>
      </c>
      <c r="C1685" s="2" t="s">
        <v>134</v>
      </c>
      <c r="D1685" s="2" t="s">
        <v>140</v>
      </c>
      <c r="E1685" s="2" t="s">
        <v>49</v>
      </c>
      <c r="F1685" s="2" t="s">
        <v>15</v>
      </c>
      <c r="G1685" s="2" t="s">
        <v>16</v>
      </c>
      <c r="H1685" s="2">
        <v>3</v>
      </c>
      <c r="I1685" s="2"/>
      <c r="J1685" s="2">
        <v>0</v>
      </c>
      <c r="K1685" s="2" t="s">
        <v>29</v>
      </c>
      <c r="L1685" s="2" t="s">
        <v>87</v>
      </c>
    </row>
    <row r="1686" spans="1:12" x14ac:dyDescent="0.2">
      <c r="A1686" s="2">
        <v>101182</v>
      </c>
      <c r="B1686" s="17">
        <v>45505</v>
      </c>
      <c r="C1686" s="2" t="s">
        <v>619</v>
      </c>
      <c r="D1686" s="2" t="s">
        <v>37</v>
      </c>
      <c r="E1686" s="2" t="s">
        <v>69</v>
      </c>
      <c r="F1686" s="2" t="s">
        <v>106</v>
      </c>
      <c r="G1686" s="2" t="s">
        <v>103</v>
      </c>
      <c r="H1686" s="2">
        <v>2</v>
      </c>
      <c r="I1686" s="2">
        <v>1807.96</v>
      </c>
      <c r="J1686" s="2">
        <v>0.2</v>
      </c>
      <c r="K1686" s="2" t="s">
        <v>29</v>
      </c>
      <c r="L1686" s="2" t="s">
        <v>143</v>
      </c>
    </row>
    <row r="1687" spans="1:12" x14ac:dyDescent="0.2">
      <c r="A1687" s="2">
        <v>101504</v>
      </c>
      <c r="B1687" s="2" t="s">
        <v>329</v>
      </c>
      <c r="C1687" s="2" t="s">
        <v>190</v>
      </c>
      <c r="D1687" s="2" t="s">
        <v>140</v>
      </c>
      <c r="E1687" s="2" t="s">
        <v>79</v>
      </c>
      <c r="F1687" s="2" t="s">
        <v>22</v>
      </c>
      <c r="G1687" s="2" t="s">
        <v>75</v>
      </c>
      <c r="H1687" s="2">
        <v>9</v>
      </c>
      <c r="I1687" s="2">
        <v>1751.33</v>
      </c>
      <c r="J1687" s="2">
        <v>0</v>
      </c>
      <c r="K1687" s="2" t="s">
        <v>83</v>
      </c>
      <c r="L1687" s="2" t="s">
        <v>25</v>
      </c>
    </row>
    <row r="1688" spans="1:12" x14ac:dyDescent="0.2">
      <c r="A1688" s="2">
        <v>101670</v>
      </c>
      <c r="B1688" s="18">
        <v>45612</v>
      </c>
      <c r="C1688" s="2" t="s">
        <v>533</v>
      </c>
      <c r="D1688" s="2" t="s">
        <v>31</v>
      </c>
      <c r="E1688" s="2" t="s">
        <v>54</v>
      </c>
      <c r="F1688" s="2" t="s">
        <v>70</v>
      </c>
      <c r="G1688" s="2" t="s">
        <v>153</v>
      </c>
      <c r="H1688" s="2">
        <v>2</v>
      </c>
      <c r="I1688" s="2">
        <v>2012.74</v>
      </c>
      <c r="J1688" s="2">
        <v>0</v>
      </c>
      <c r="K1688" s="2" t="s">
        <v>24</v>
      </c>
      <c r="L1688" s="2" t="s">
        <v>18</v>
      </c>
    </row>
    <row r="1689" spans="1:12" x14ac:dyDescent="0.2">
      <c r="A1689" s="2">
        <v>100006</v>
      </c>
      <c r="B1689" s="17">
        <v>45442</v>
      </c>
      <c r="C1689" s="2"/>
      <c r="D1689" s="2" t="s">
        <v>31</v>
      </c>
      <c r="E1689" s="2" t="s">
        <v>54</v>
      </c>
      <c r="F1689" s="2" t="s">
        <v>39</v>
      </c>
      <c r="G1689" s="2" t="s">
        <v>40</v>
      </c>
      <c r="H1689" s="2">
        <v>1</v>
      </c>
      <c r="I1689" s="2">
        <v>499.75</v>
      </c>
      <c r="J1689" s="2">
        <v>0.1</v>
      </c>
      <c r="K1689" s="2" t="s">
        <v>29</v>
      </c>
      <c r="L1689" s="2" t="s">
        <v>52</v>
      </c>
    </row>
    <row r="1690" spans="1:12" x14ac:dyDescent="0.2">
      <c r="A1690" s="2">
        <v>101838</v>
      </c>
      <c r="B1690" s="17">
        <v>45424</v>
      </c>
      <c r="C1690" s="2" t="s">
        <v>675</v>
      </c>
      <c r="D1690" s="2" t="s">
        <v>44</v>
      </c>
      <c r="E1690" s="2" t="s">
        <v>54</v>
      </c>
      <c r="F1690" s="2" t="s">
        <v>102</v>
      </c>
      <c r="G1690" s="2" t="s">
        <v>135</v>
      </c>
      <c r="H1690" s="2">
        <v>10</v>
      </c>
      <c r="I1690" s="2">
        <v>2895.27</v>
      </c>
      <c r="J1690" s="2">
        <v>0</v>
      </c>
      <c r="K1690" s="2" t="s">
        <v>29</v>
      </c>
      <c r="L1690" s="2" t="s">
        <v>87</v>
      </c>
    </row>
    <row r="1691" spans="1:12" x14ac:dyDescent="0.2">
      <c r="A1691" s="2">
        <v>100966</v>
      </c>
      <c r="B1691" s="17">
        <v>45611</v>
      </c>
      <c r="C1691" s="2" t="s">
        <v>213</v>
      </c>
      <c r="D1691" s="2" t="s">
        <v>89</v>
      </c>
      <c r="E1691" s="2" t="s">
        <v>32</v>
      </c>
      <c r="F1691" s="2" t="s">
        <v>22</v>
      </c>
      <c r="G1691" s="2" t="s">
        <v>141</v>
      </c>
      <c r="H1691" s="2">
        <v>5</v>
      </c>
      <c r="I1691" s="2">
        <v>948.98</v>
      </c>
      <c r="J1691" s="2">
        <v>20</v>
      </c>
      <c r="K1691" s="2" t="s">
        <v>29</v>
      </c>
      <c r="L1691" s="2" t="s">
        <v>52</v>
      </c>
    </row>
    <row r="1692" spans="1:12" x14ac:dyDescent="0.2">
      <c r="A1692" s="2">
        <v>100019</v>
      </c>
      <c r="B1692" s="2" t="s">
        <v>1005</v>
      </c>
      <c r="C1692" s="2"/>
      <c r="D1692" s="2" t="s">
        <v>175</v>
      </c>
      <c r="E1692" s="2" t="s">
        <v>38</v>
      </c>
      <c r="F1692" s="2" t="s">
        <v>96</v>
      </c>
      <c r="G1692" s="2" t="s">
        <v>71</v>
      </c>
      <c r="H1692" s="2">
        <v>5</v>
      </c>
      <c r="I1692" s="2">
        <v>15779.39</v>
      </c>
      <c r="J1692" s="2">
        <v>0.15</v>
      </c>
      <c r="K1692" s="2" t="s">
        <v>83</v>
      </c>
      <c r="L1692" s="2" t="s">
        <v>18</v>
      </c>
    </row>
    <row r="1693" spans="1:12" x14ac:dyDescent="0.2">
      <c r="A1693" s="2">
        <v>101431</v>
      </c>
      <c r="B1693" s="2" t="s">
        <v>778</v>
      </c>
      <c r="C1693" s="2" t="s">
        <v>723</v>
      </c>
      <c r="D1693" s="2" t="s">
        <v>89</v>
      </c>
      <c r="E1693" s="2" t="s">
        <v>54</v>
      </c>
      <c r="F1693" s="2" t="s">
        <v>70</v>
      </c>
      <c r="G1693" s="2" t="s">
        <v>149</v>
      </c>
      <c r="H1693" s="2">
        <v>6</v>
      </c>
      <c r="I1693" s="2">
        <v>36755.160000000003</v>
      </c>
      <c r="J1693" s="2">
        <v>0</v>
      </c>
      <c r="K1693" s="2" t="s">
        <v>17</v>
      </c>
      <c r="L1693" s="2" t="s">
        <v>52</v>
      </c>
    </row>
    <row r="1694" spans="1:12" x14ac:dyDescent="0.2">
      <c r="A1694" s="2">
        <v>100122</v>
      </c>
      <c r="B1694" s="18">
        <v>45470</v>
      </c>
      <c r="C1694" s="2" t="s">
        <v>517</v>
      </c>
      <c r="D1694" s="2" t="s">
        <v>48</v>
      </c>
      <c r="E1694" s="2" t="s">
        <v>79</v>
      </c>
      <c r="F1694" s="2" t="s">
        <v>124</v>
      </c>
      <c r="G1694" s="2" t="s">
        <v>99</v>
      </c>
      <c r="H1694" s="2">
        <v>8</v>
      </c>
      <c r="I1694" s="2">
        <v>4518.43</v>
      </c>
      <c r="J1694" s="2">
        <v>0.2</v>
      </c>
      <c r="K1694" s="2" t="s">
        <v>29</v>
      </c>
      <c r="L1694" s="2" t="s">
        <v>52</v>
      </c>
    </row>
    <row r="1695" spans="1:12" x14ac:dyDescent="0.2">
      <c r="A1695" s="2">
        <v>100662</v>
      </c>
      <c r="B1695" s="17">
        <v>45593</v>
      </c>
      <c r="C1695" s="2" t="s">
        <v>1006</v>
      </c>
      <c r="D1695" s="2" t="s">
        <v>85</v>
      </c>
      <c r="E1695" s="2" t="s">
        <v>14</v>
      </c>
      <c r="F1695" s="2" t="s">
        <v>39</v>
      </c>
      <c r="G1695" s="2" t="s">
        <v>40</v>
      </c>
      <c r="H1695" s="2">
        <v>11</v>
      </c>
      <c r="I1695" s="2">
        <v>66.37</v>
      </c>
      <c r="J1695" s="2"/>
      <c r="K1695" s="2" t="s">
        <v>29</v>
      </c>
      <c r="L1695" s="2" t="s">
        <v>87</v>
      </c>
    </row>
    <row r="1696" spans="1:12" x14ac:dyDescent="0.2">
      <c r="A1696" s="2">
        <v>101705</v>
      </c>
      <c r="B1696" s="17">
        <v>45588</v>
      </c>
      <c r="C1696" s="2"/>
      <c r="D1696" s="2" t="s">
        <v>92</v>
      </c>
      <c r="E1696" s="2" t="s">
        <v>54</v>
      </c>
      <c r="F1696" s="2" t="s">
        <v>50</v>
      </c>
      <c r="G1696" s="2" t="s">
        <v>51</v>
      </c>
      <c r="H1696" s="2">
        <v>8</v>
      </c>
      <c r="I1696" s="2">
        <v>4967.6000000000004</v>
      </c>
      <c r="J1696" s="2">
        <v>0.15</v>
      </c>
      <c r="K1696" s="2" t="s">
        <v>29</v>
      </c>
      <c r="L1696" s="2" t="s">
        <v>42</v>
      </c>
    </row>
    <row r="1697" spans="1:12" x14ac:dyDescent="0.2">
      <c r="A1697" s="2">
        <v>100275</v>
      </c>
      <c r="B1697" s="18">
        <v>45452</v>
      </c>
      <c r="C1697" s="2" t="s">
        <v>1007</v>
      </c>
      <c r="D1697" s="2" t="s">
        <v>101</v>
      </c>
      <c r="E1697" s="2" t="s">
        <v>38</v>
      </c>
      <c r="F1697" s="2" t="s">
        <v>120</v>
      </c>
      <c r="G1697" s="2" t="s">
        <v>145</v>
      </c>
      <c r="H1697" s="2">
        <v>12</v>
      </c>
      <c r="I1697" s="2">
        <v>1612.58</v>
      </c>
      <c r="J1697" s="2">
        <v>0.15</v>
      </c>
      <c r="K1697" s="2" t="s">
        <v>41</v>
      </c>
      <c r="L1697" s="2" t="s">
        <v>87</v>
      </c>
    </row>
    <row r="1698" spans="1:12" x14ac:dyDescent="0.2">
      <c r="A1698" s="2">
        <v>100434</v>
      </c>
      <c r="B1698" s="17">
        <v>45637</v>
      </c>
      <c r="C1698" s="2" t="s">
        <v>830</v>
      </c>
      <c r="D1698" s="2" t="s">
        <v>20</v>
      </c>
      <c r="E1698" s="2" t="s">
        <v>21</v>
      </c>
      <c r="F1698" s="2" t="s">
        <v>124</v>
      </c>
      <c r="G1698" s="2" t="s">
        <v>207</v>
      </c>
      <c r="H1698" s="2">
        <v>-2</v>
      </c>
      <c r="I1698" s="2">
        <v>8429.24</v>
      </c>
      <c r="J1698" s="2">
        <v>25</v>
      </c>
      <c r="K1698" s="2" t="s">
        <v>41</v>
      </c>
      <c r="L1698" s="2" t="s">
        <v>52</v>
      </c>
    </row>
    <row r="1699" spans="1:12" x14ac:dyDescent="0.2">
      <c r="A1699" s="2">
        <v>100812</v>
      </c>
      <c r="B1699" s="17">
        <v>45428</v>
      </c>
      <c r="C1699" s="2" t="s">
        <v>397</v>
      </c>
      <c r="D1699" s="2" t="s">
        <v>109</v>
      </c>
      <c r="E1699" s="2" t="s">
        <v>133</v>
      </c>
      <c r="F1699" s="2" t="s">
        <v>55</v>
      </c>
      <c r="G1699" s="2" t="s">
        <v>62</v>
      </c>
      <c r="H1699" s="2">
        <v>2</v>
      </c>
      <c r="I1699" s="2">
        <v>5748.58</v>
      </c>
      <c r="J1699" s="2"/>
      <c r="K1699" s="2" t="s">
        <v>29</v>
      </c>
      <c r="L1699" s="2" t="s">
        <v>143</v>
      </c>
    </row>
    <row r="1700" spans="1:12" x14ac:dyDescent="0.2">
      <c r="A1700" s="2">
        <v>101301</v>
      </c>
      <c r="B1700" s="17">
        <v>45361</v>
      </c>
      <c r="C1700" s="2" t="s">
        <v>596</v>
      </c>
      <c r="D1700" s="2" t="s">
        <v>31</v>
      </c>
      <c r="E1700" s="2" t="s">
        <v>54</v>
      </c>
      <c r="F1700" s="2" t="s">
        <v>28</v>
      </c>
      <c r="G1700" s="2" t="s">
        <v>205</v>
      </c>
      <c r="H1700" s="2">
        <v>7</v>
      </c>
      <c r="I1700" s="2" t="s">
        <v>1008</v>
      </c>
      <c r="J1700" s="2">
        <v>0.2</v>
      </c>
      <c r="K1700" s="2" t="s">
        <v>29</v>
      </c>
      <c r="L1700" s="2" t="s">
        <v>52</v>
      </c>
    </row>
    <row r="1701" spans="1:12" x14ac:dyDescent="0.2">
      <c r="A1701" s="2">
        <v>101336</v>
      </c>
      <c r="B1701" s="17">
        <v>45316</v>
      </c>
      <c r="C1701" s="2" t="s">
        <v>128</v>
      </c>
      <c r="D1701" s="2" t="s">
        <v>160</v>
      </c>
      <c r="E1701" s="2" t="s">
        <v>49</v>
      </c>
      <c r="F1701" s="2" t="s">
        <v>33</v>
      </c>
      <c r="G1701" s="2" t="s">
        <v>158</v>
      </c>
      <c r="H1701" s="2">
        <v>3</v>
      </c>
      <c r="I1701" s="2">
        <v>224.38</v>
      </c>
      <c r="J1701" s="2">
        <v>15</v>
      </c>
      <c r="K1701" s="2" t="s">
        <v>66</v>
      </c>
      <c r="L1701" s="2" t="s">
        <v>18</v>
      </c>
    </row>
    <row r="1702" spans="1:12" x14ac:dyDescent="0.2">
      <c r="A1702" s="2">
        <v>101890</v>
      </c>
      <c r="B1702" s="17">
        <v>45549</v>
      </c>
      <c r="C1702" s="2" t="s">
        <v>1009</v>
      </c>
      <c r="D1702" s="2" t="s">
        <v>58</v>
      </c>
      <c r="E1702" s="2" t="s">
        <v>69</v>
      </c>
      <c r="F1702" s="2" t="s">
        <v>33</v>
      </c>
      <c r="G1702" s="2" t="s">
        <v>81</v>
      </c>
      <c r="H1702" s="2">
        <v>10</v>
      </c>
      <c r="I1702" s="2" t="s">
        <v>1010</v>
      </c>
      <c r="J1702" s="2">
        <v>0</v>
      </c>
      <c r="K1702" s="2" t="s">
        <v>66</v>
      </c>
      <c r="L1702" s="2" t="s">
        <v>87</v>
      </c>
    </row>
    <row r="1703" spans="1:12" x14ac:dyDescent="0.2">
      <c r="A1703" s="2">
        <v>101913</v>
      </c>
      <c r="B1703" s="17">
        <v>45335</v>
      </c>
      <c r="C1703" s="2" t="s">
        <v>1011</v>
      </c>
      <c r="D1703" s="2" t="s">
        <v>109</v>
      </c>
      <c r="E1703" s="2" t="s">
        <v>133</v>
      </c>
      <c r="F1703" s="2" t="s">
        <v>124</v>
      </c>
      <c r="G1703" s="2" t="s">
        <v>56</v>
      </c>
      <c r="H1703" s="2">
        <v>9</v>
      </c>
      <c r="I1703" s="2">
        <v>2198.38</v>
      </c>
      <c r="J1703" s="2"/>
      <c r="K1703" s="2" t="s">
        <v>24</v>
      </c>
      <c r="L1703" s="2" t="s">
        <v>52</v>
      </c>
    </row>
    <row r="1704" spans="1:12" x14ac:dyDescent="0.2">
      <c r="A1704" s="2">
        <v>101571</v>
      </c>
      <c r="B1704" s="18">
        <v>45657</v>
      </c>
      <c r="C1704" s="2" t="s">
        <v>865</v>
      </c>
      <c r="D1704" s="2" t="s">
        <v>85</v>
      </c>
      <c r="E1704" s="2" t="s">
        <v>14</v>
      </c>
      <c r="F1704" s="2" t="s">
        <v>120</v>
      </c>
      <c r="G1704" s="2" t="s">
        <v>145</v>
      </c>
      <c r="H1704" s="2">
        <v>1</v>
      </c>
      <c r="I1704" s="2">
        <v>1805.8</v>
      </c>
      <c r="J1704" s="2">
        <v>0.1</v>
      </c>
      <c r="K1704" s="2" t="s">
        <v>83</v>
      </c>
      <c r="L1704" s="2" t="s">
        <v>52</v>
      </c>
    </row>
    <row r="1705" spans="1:12" x14ac:dyDescent="0.2">
      <c r="A1705" s="2">
        <v>100182</v>
      </c>
      <c r="B1705" s="18">
        <v>45452</v>
      </c>
      <c r="C1705" s="2" t="s">
        <v>187</v>
      </c>
      <c r="D1705" s="2" t="s">
        <v>85</v>
      </c>
      <c r="E1705" s="2" t="s">
        <v>14</v>
      </c>
      <c r="F1705" s="2" t="s">
        <v>39</v>
      </c>
      <c r="G1705" s="2" t="s">
        <v>242</v>
      </c>
      <c r="H1705" s="2">
        <v>8</v>
      </c>
      <c r="I1705" s="2">
        <v>282.56</v>
      </c>
      <c r="J1705" s="2">
        <v>0.1</v>
      </c>
      <c r="K1705" s="2" t="s">
        <v>83</v>
      </c>
      <c r="L1705" s="2" t="s">
        <v>18</v>
      </c>
    </row>
    <row r="1706" spans="1:12" x14ac:dyDescent="0.2">
      <c r="A1706" s="2">
        <v>100185</v>
      </c>
      <c r="B1706" s="18">
        <v>45652</v>
      </c>
      <c r="C1706" s="2" t="s">
        <v>513</v>
      </c>
      <c r="D1706" s="2" t="s">
        <v>160</v>
      </c>
      <c r="E1706" s="2" t="s">
        <v>49</v>
      </c>
      <c r="F1706" s="2" t="s">
        <v>39</v>
      </c>
      <c r="G1706" s="2" t="s">
        <v>165</v>
      </c>
      <c r="H1706" s="2">
        <v>12</v>
      </c>
      <c r="I1706" s="2" t="s">
        <v>1012</v>
      </c>
      <c r="J1706" s="2">
        <v>0.25</v>
      </c>
      <c r="K1706" s="2" t="s">
        <v>29</v>
      </c>
      <c r="L1706" s="2" t="s">
        <v>42</v>
      </c>
    </row>
    <row r="1707" spans="1:12" x14ac:dyDescent="0.2">
      <c r="A1707" s="2">
        <v>100407</v>
      </c>
      <c r="B1707" s="17">
        <v>45428</v>
      </c>
      <c r="C1707" s="2" t="s">
        <v>307</v>
      </c>
      <c r="D1707" s="2" t="s">
        <v>129</v>
      </c>
      <c r="E1707" s="2" t="s">
        <v>79</v>
      </c>
      <c r="F1707" s="2" t="s">
        <v>64</v>
      </c>
      <c r="G1707" s="2" t="s">
        <v>165</v>
      </c>
      <c r="H1707" s="2">
        <v>4</v>
      </c>
      <c r="I1707" s="2" t="s">
        <v>1013</v>
      </c>
      <c r="J1707" s="2"/>
      <c r="K1707" s="2" t="s">
        <v>17</v>
      </c>
      <c r="L1707" s="2" t="s">
        <v>143</v>
      </c>
    </row>
    <row r="1708" spans="1:12" x14ac:dyDescent="0.2">
      <c r="A1708" s="2">
        <v>100866</v>
      </c>
      <c r="B1708" s="17">
        <v>45621</v>
      </c>
      <c r="C1708" s="2" t="s">
        <v>387</v>
      </c>
      <c r="D1708" s="2" t="s">
        <v>85</v>
      </c>
      <c r="E1708" s="2" t="s">
        <v>14</v>
      </c>
      <c r="F1708" s="2" t="s">
        <v>124</v>
      </c>
      <c r="G1708" s="2" t="s">
        <v>99</v>
      </c>
      <c r="H1708" s="2">
        <v>7</v>
      </c>
      <c r="I1708" s="2"/>
      <c r="J1708" s="2">
        <v>0.25</v>
      </c>
      <c r="K1708" s="2" t="s">
        <v>66</v>
      </c>
      <c r="L1708" s="2" t="s">
        <v>143</v>
      </c>
    </row>
    <row r="1709" spans="1:12" x14ac:dyDescent="0.2">
      <c r="A1709" s="2">
        <v>101631</v>
      </c>
      <c r="B1709" s="18">
        <v>45604</v>
      </c>
      <c r="C1709" s="2" t="s">
        <v>128</v>
      </c>
      <c r="D1709" s="2" t="s">
        <v>37</v>
      </c>
      <c r="E1709" s="2" t="s">
        <v>69</v>
      </c>
      <c r="F1709" s="2" t="s">
        <v>50</v>
      </c>
      <c r="G1709" s="2" t="s">
        <v>62</v>
      </c>
      <c r="H1709" s="2">
        <v>9</v>
      </c>
      <c r="I1709" s="2" t="s">
        <v>1014</v>
      </c>
      <c r="J1709" s="2">
        <v>0.1</v>
      </c>
      <c r="K1709" s="2" t="s">
        <v>24</v>
      </c>
      <c r="L1709" s="2" t="s">
        <v>25</v>
      </c>
    </row>
    <row r="1710" spans="1:12" x14ac:dyDescent="0.2">
      <c r="A1710" s="2">
        <v>100521</v>
      </c>
      <c r="B1710" s="17">
        <v>45590</v>
      </c>
      <c r="C1710" s="2" t="s">
        <v>613</v>
      </c>
      <c r="D1710" s="2" t="s">
        <v>20</v>
      </c>
      <c r="E1710" s="2" t="s">
        <v>21</v>
      </c>
      <c r="F1710" s="2" t="s">
        <v>22</v>
      </c>
      <c r="G1710" s="2" t="s">
        <v>145</v>
      </c>
      <c r="H1710" s="2">
        <v>9</v>
      </c>
      <c r="I1710" s="2">
        <v>479.16</v>
      </c>
      <c r="J1710" s="2">
        <v>0.15</v>
      </c>
      <c r="K1710" s="2" t="s">
        <v>41</v>
      </c>
      <c r="L1710" s="2" t="s">
        <v>87</v>
      </c>
    </row>
    <row r="1711" spans="1:12" x14ac:dyDescent="0.2">
      <c r="A1711" s="2">
        <v>101004</v>
      </c>
      <c r="B1711" s="17">
        <v>45312</v>
      </c>
      <c r="C1711" s="2" t="s">
        <v>147</v>
      </c>
      <c r="D1711" s="2" t="s">
        <v>181</v>
      </c>
      <c r="E1711" s="2" t="s">
        <v>119</v>
      </c>
      <c r="F1711" s="2" t="s">
        <v>15</v>
      </c>
      <c r="G1711" s="2" t="s">
        <v>16</v>
      </c>
      <c r="H1711" s="2">
        <v>5</v>
      </c>
      <c r="I1711" s="2">
        <v>22219.65</v>
      </c>
      <c r="J1711" s="2">
        <v>0.05</v>
      </c>
      <c r="K1711" s="2" t="s">
        <v>41</v>
      </c>
      <c r="L1711" s="2" t="s">
        <v>121</v>
      </c>
    </row>
    <row r="1712" spans="1:12" x14ac:dyDescent="0.2">
      <c r="A1712" s="2">
        <v>100381</v>
      </c>
      <c r="B1712" s="17">
        <v>45395</v>
      </c>
      <c r="C1712" s="2" t="s">
        <v>108</v>
      </c>
      <c r="D1712" s="2" t="s">
        <v>89</v>
      </c>
      <c r="E1712" s="2" t="s">
        <v>32</v>
      </c>
      <c r="F1712" s="2" t="s">
        <v>120</v>
      </c>
      <c r="G1712" s="2" t="s">
        <v>141</v>
      </c>
      <c r="H1712" s="2">
        <v>8</v>
      </c>
      <c r="I1712" s="2">
        <v>2028.97</v>
      </c>
      <c r="J1712" s="2">
        <v>0</v>
      </c>
      <c r="K1712" s="2" t="s">
        <v>24</v>
      </c>
      <c r="L1712" s="2" t="s">
        <v>121</v>
      </c>
    </row>
    <row r="1713" spans="1:12" x14ac:dyDescent="0.2">
      <c r="A1713" s="2">
        <v>101435</v>
      </c>
      <c r="B1713" s="18">
        <v>45588</v>
      </c>
      <c r="C1713" s="2" t="s">
        <v>601</v>
      </c>
      <c r="D1713" s="2" t="s">
        <v>31</v>
      </c>
      <c r="E1713" s="2" t="s">
        <v>54</v>
      </c>
      <c r="F1713" s="2" t="s">
        <v>15</v>
      </c>
      <c r="G1713" s="2" t="s">
        <v>116</v>
      </c>
      <c r="H1713" s="2">
        <v>8</v>
      </c>
      <c r="I1713" s="2">
        <v>12748.8</v>
      </c>
      <c r="J1713" s="2">
        <v>5</v>
      </c>
      <c r="K1713" s="2" t="s">
        <v>17</v>
      </c>
      <c r="L1713" s="2" t="s">
        <v>52</v>
      </c>
    </row>
    <row r="1714" spans="1:12" x14ac:dyDescent="0.2">
      <c r="A1714" s="2">
        <v>101659</v>
      </c>
      <c r="B1714" s="17">
        <v>45421</v>
      </c>
      <c r="C1714" s="2" t="s">
        <v>646</v>
      </c>
      <c r="D1714" s="2" t="s">
        <v>20</v>
      </c>
      <c r="E1714" s="2" t="s">
        <v>133</v>
      </c>
      <c r="F1714" s="2" t="s">
        <v>223</v>
      </c>
      <c r="G1714" s="2" t="s">
        <v>56</v>
      </c>
      <c r="H1714" s="2">
        <v>7</v>
      </c>
      <c r="I1714" s="2" t="s">
        <v>1015</v>
      </c>
      <c r="J1714" s="2">
        <v>5</v>
      </c>
      <c r="K1714" s="2" t="s">
        <v>17</v>
      </c>
      <c r="L1714" s="2" t="s">
        <v>18</v>
      </c>
    </row>
    <row r="1715" spans="1:12" x14ac:dyDescent="0.2">
      <c r="A1715" s="2">
        <v>101394</v>
      </c>
      <c r="B1715" s="2" t="s">
        <v>1016</v>
      </c>
      <c r="C1715" s="2" t="s">
        <v>389</v>
      </c>
      <c r="D1715" s="2" t="s">
        <v>160</v>
      </c>
      <c r="E1715" s="2" t="s">
        <v>79</v>
      </c>
      <c r="F1715" s="2" t="s">
        <v>39</v>
      </c>
      <c r="G1715" s="2" t="s">
        <v>242</v>
      </c>
      <c r="H1715" s="2">
        <v>7</v>
      </c>
      <c r="I1715" s="2">
        <v>319.33</v>
      </c>
      <c r="J1715" s="2">
        <v>0</v>
      </c>
      <c r="K1715" s="2" t="s">
        <v>29</v>
      </c>
      <c r="L1715" s="2" t="s">
        <v>42</v>
      </c>
    </row>
    <row r="1716" spans="1:12" x14ac:dyDescent="0.2">
      <c r="A1716" s="2">
        <v>101425</v>
      </c>
      <c r="B1716" s="2" t="s">
        <v>1017</v>
      </c>
      <c r="C1716" s="2" t="s">
        <v>955</v>
      </c>
      <c r="D1716" s="2" t="s">
        <v>48</v>
      </c>
      <c r="E1716" s="2" t="s">
        <v>79</v>
      </c>
      <c r="F1716" s="2" t="s">
        <v>33</v>
      </c>
      <c r="G1716" s="2" t="s">
        <v>93</v>
      </c>
      <c r="H1716" s="2">
        <v>3</v>
      </c>
      <c r="I1716" s="2">
        <v>352.37</v>
      </c>
      <c r="J1716" s="2">
        <v>0</v>
      </c>
      <c r="K1716" s="2" t="s">
        <v>83</v>
      </c>
      <c r="L1716" s="2" t="s">
        <v>143</v>
      </c>
    </row>
    <row r="1717" spans="1:12" x14ac:dyDescent="0.2">
      <c r="A1717" s="2">
        <v>101613</v>
      </c>
      <c r="B1717" s="17">
        <v>45483</v>
      </c>
      <c r="C1717" s="2" t="s">
        <v>819</v>
      </c>
      <c r="D1717" s="2" t="s">
        <v>129</v>
      </c>
      <c r="E1717" s="2" t="s">
        <v>49</v>
      </c>
      <c r="F1717" s="2" t="s">
        <v>22</v>
      </c>
      <c r="G1717" s="2" t="s">
        <v>145</v>
      </c>
      <c r="H1717" s="2">
        <v>10</v>
      </c>
      <c r="I1717" s="2">
        <v>836.24</v>
      </c>
      <c r="J1717" s="2">
        <v>0.05</v>
      </c>
      <c r="K1717" s="2" t="s">
        <v>66</v>
      </c>
      <c r="L1717" s="2" t="s">
        <v>52</v>
      </c>
    </row>
    <row r="1718" spans="1:12" x14ac:dyDescent="0.2">
      <c r="A1718" s="2">
        <v>100428</v>
      </c>
      <c r="B1718" s="17">
        <v>45607</v>
      </c>
      <c r="C1718" s="2" t="s">
        <v>734</v>
      </c>
      <c r="D1718" s="2" t="s">
        <v>58</v>
      </c>
      <c r="E1718" s="2" t="s">
        <v>38</v>
      </c>
      <c r="F1718" s="2" t="s">
        <v>39</v>
      </c>
      <c r="G1718" s="2" t="s">
        <v>292</v>
      </c>
      <c r="H1718" s="2">
        <v>11</v>
      </c>
      <c r="I1718" s="2">
        <v>842.58</v>
      </c>
      <c r="J1718" s="2">
        <v>0</v>
      </c>
      <c r="K1718" s="2" t="s">
        <v>29</v>
      </c>
      <c r="L1718" s="2" t="s">
        <v>18</v>
      </c>
    </row>
    <row r="1719" spans="1:12" x14ac:dyDescent="0.2">
      <c r="A1719" s="2">
        <v>100079</v>
      </c>
      <c r="B1719" s="18">
        <v>45440</v>
      </c>
      <c r="C1719" s="2" t="s">
        <v>378</v>
      </c>
      <c r="D1719" s="2" t="s">
        <v>92</v>
      </c>
      <c r="E1719" s="2" t="s">
        <v>32</v>
      </c>
      <c r="F1719" s="2" t="s">
        <v>15</v>
      </c>
      <c r="G1719" s="2" t="s">
        <v>116</v>
      </c>
      <c r="H1719" s="2">
        <v>11</v>
      </c>
      <c r="I1719" s="2">
        <v>5971.1</v>
      </c>
      <c r="J1719" s="2">
        <v>0.15</v>
      </c>
      <c r="K1719" s="2" t="s">
        <v>29</v>
      </c>
      <c r="L1719" s="2" t="s">
        <v>121</v>
      </c>
    </row>
    <row r="1720" spans="1:12" x14ac:dyDescent="0.2">
      <c r="A1720" s="2">
        <v>101598</v>
      </c>
      <c r="B1720" s="17">
        <v>45650</v>
      </c>
      <c r="C1720" s="2" t="s">
        <v>465</v>
      </c>
      <c r="D1720" s="2" t="s">
        <v>20</v>
      </c>
      <c r="E1720" s="2" t="s">
        <v>133</v>
      </c>
      <c r="F1720" s="2" t="s">
        <v>223</v>
      </c>
      <c r="G1720" s="2" t="s">
        <v>56</v>
      </c>
      <c r="H1720" s="2">
        <v>1</v>
      </c>
      <c r="I1720" s="2">
        <v>3389.4</v>
      </c>
      <c r="J1720" s="2">
        <v>0.15</v>
      </c>
      <c r="K1720" s="2" t="s">
        <v>41</v>
      </c>
      <c r="L1720" s="2" t="s">
        <v>25</v>
      </c>
    </row>
    <row r="1721" spans="1:12" x14ac:dyDescent="0.2">
      <c r="A1721" s="2">
        <v>101010</v>
      </c>
      <c r="B1721" s="18">
        <v>45546</v>
      </c>
      <c r="C1721" s="2" t="s">
        <v>60</v>
      </c>
      <c r="D1721" s="2" t="s">
        <v>92</v>
      </c>
      <c r="E1721" s="2" t="s">
        <v>54</v>
      </c>
      <c r="F1721" s="2" t="s">
        <v>120</v>
      </c>
      <c r="G1721" s="2" t="s">
        <v>23</v>
      </c>
      <c r="H1721" s="2">
        <v>8</v>
      </c>
      <c r="I1721" s="2">
        <v>824.13</v>
      </c>
      <c r="J1721" s="2">
        <v>0.05</v>
      </c>
      <c r="K1721" s="2" t="s">
        <v>29</v>
      </c>
      <c r="L1721" s="2" t="s">
        <v>143</v>
      </c>
    </row>
    <row r="1722" spans="1:12" x14ac:dyDescent="0.2">
      <c r="A1722" s="2">
        <v>101996</v>
      </c>
      <c r="B1722" s="17">
        <v>45414</v>
      </c>
      <c r="C1722" s="2"/>
      <c r="D1722" s="2" t="s">
        <v>48</v>
      </c>
      <c r="E1722" s="2" t="s">
        <v>49</v>
      </c>
      <c r="F1722" s="2" t="s">
        <v>86</v>
      </c>
      <c r="G1722" s="2" t="s">
        <v>71</v>
      </c>
      <c r="H1722" s="2">
        <v>2</v>
      </c>
      <c r="I1722" s="2">
        <v>32003.96</v>
      </c>
      <c r="J1722" s="2">
        <v>0.25</v>
      </c>
      <c r="K1722" s="2" t="s">
        <v>17</v>
      </c>
      <c r="L1722" s="2" t="s">
        <v>42</v>
      </c>
    </row>
    <row r="1723" spans="1:12" x14ac:dyDescent="0.2">
      <c r="A1723" s="2">
        <v>101662</v>
      </c>
      <c r="B1723" s="17">
        <v>45455</v>
      </c>
      <c r="C1723" s="2" t="s">
        <v>760</v>
      </c>
      <c r="D1723" s="2" t="s">
        <v>44</v>
      </c>
      <c r="E1723" s="2" t="s">
        <v>32</v>
      </c>
      <c r="F1723" s="2" t="s">
        <v>39</v>
      </c>
      <c r="G1723" s="2" t="s">
        <v>114</v>
      </c>
      <c r="H1723" s="2">
        <v>11</v>
      </c>
      <c r="I1723" s="2">
        <v>499.72</v>
      </c>
      <c r="J1723" s="2">
        <v>0.05</v>
      </c>
      <c r="K1723" s="2" t="s">
        <v>83</v>
      </c>
      <c r="L1723" s="2" t="s">
        <v>143</v>
      </c>
    </row>
    <row r="1724" spans="1:12" x14ac:dyDescent="0.2">
      <c r="A1724" s="2">
        <v>100608</v>
      </c>
      <c r="B1724" s="18">
        <v>45355</v>
      </c>
      <c r="C1724" s="2" t="s">
        <v>398</v>
      </c>
      <c r="D1724" s="2" t="s">
        <v>109</v>
      </c>
      <c r="E1724" s="2" t="s">
        <v>21</v>
      </c>
      <c r="F1724" s="2" t="s">
        <v>80</v>
      </c>
      <c r="G1724" s="2" t="s">
        <v>81</v>
      </c>
      <c r="H1724" s="2">
        <v>2</v>
      </c>
      <c r="I1724" s="2">
        <v>36.14</v>
      </c>
      <c r="J1724" s="2">
        <v>0.05</v>
      </c>
      <c r="K1724" s="2" t="s">
        <v>29</v>
      </c>
      <c r="L1724" s="2" t="s">
        <v>18</v>
      </c>
    </row>
    <row r="1725" spans="1:12" x14ac:dyDescent="0.2">
      <c r="A1725" s="2">
        <v>101806</v>
      </c>
      <c r="B1725" s="2" t="s">
        <v>173</v>
      </c>
      <c r="C1725" s="2" t="s">
        <v>385</v>
      </c>
      <c r="D1725" s="2" t="s">
        <v>20</v>
      </c>
      <c r="E1725" s="2" t="s">
        <v>21</v>
      </c>
      <c r="F1725" s="2" t="s">
        <v>223</v>
      </c>
      <c r="G1725" s="2" t="s">
        <v>207</v>
      </c>
      <c r="H1725" s="2">
        <v>5</v>
      </c>
      <c r="I1725" s="2">
        <v>6197.21</v>
      </c>
      <c r="J1725" s="2">
        <v>0.05</v>
      </c>
      <c r="K1725" s="2" t="s">
        <v>17</v>
      </c>
      <c r="L1725" s="2" t="s">
        <v>35</v>
      </c>
    </row>
    <row r="1726" spans="1:12" x14ac:dyDescent="0.2">
      <c r="A1726" s="2">
        <v>101814</v>
      </c>
      <c r="B1726" s="17">
        <v>45600</v>
      </c>
      <c r="C1726" s="2" t="s">
        <v>302</v>
      </c>
      <c r="D1726" s="2" t="s">
        <v>48</v>
      </c>
      <c r="E1726" s="2" t="s">
        <v>49</v>
      </c>
      <c r="F1726" s="2" t="s">
        <v>15</v>
      </c>
      <c r="G1726" s="2" t="s">
        <v>16</v>
      </c>
      <c r="H1726" s="2">
        <v>5</v>
      </c>
      <c r="I1726" s="2">
        <v>20533.27</v>
      </c>
      <c r="J1726" s="2">
        <v>0</v>
      </c>
      <c r="K1726" s="2" t="s">
        <v>29</v>
      </c>
      <c r="L1726" s="2" t="s">
        <v>35</v>
      </c>
    </row>
    <row r="1727" spans="1:12" x14ac:dyDescent="0.2">
      <c r="A1727" s="2">
        <v>101845</v>
      </c>
      <c r="B1727" s="17">
        <v>45361</v>
      </c>
      <c r="C1727" s="2" t="s">
        <v>384</v>
      </c>
      <c r="D1727" s="2" t="s">
        <v>27</v>
      </c>
      <c r="E1727" s="2" t="s">
        <v>133</v>
      </c>
      <c r="F1727" s="2" t="s">
        <v>55</v>
      </c>
      <c r="G1727" s="2" t="s">
        <v>62</v>
      </c>
      <c r="H1727" s="2">
        <v>7</v>
      </c>
      <c r="I1727" s="2">
        <v>10409.870000000001</v>
      </c>
      <c r="J1727" s="2">
        <v>0.1</v>
      </c>
      <c r="K1727" s="2" t="s">
        <v>83</v>
      </c>
      <c r="L1727" s="2" t="s">
        <v>143</v>
      </c>
    </row>
    <row r="1728" spans="1:12" x14ac:dyDescent="0.2">
      <c r="A1728" s="2">
        <v>101058</v>
      </c>
      <c r="B1728" s="2" t="s">
        <v>1018</v>
      </c>
      <c r="C1728" s="2" t="s">
        <v>889</v>
      </c>
      <c r="D1728" s="2" t="s">
        <v>175</v>
      </c>
      <c r="E1728" s="2" t="s">
        <v>69</v>
      </c>
      <c r="F1728" s="2" t="s">
        <v>55</v>
      </c>
      <c r="G1728" s="2" t="s">
        <v>56</v>
      </c>
      <c r="H1728" s="2">
        <v>8</v>
      </c>
      <c r="I1728" s="2">
        <v>8025.37</v>
      </c>
      <c r="J1728" s="2">
        <v>0</v>
      </c>
      <c r="K1728" s="2" t="s">
        <v>24</v>
      </c>
      <c r="L1728" s="2" t="s">
        <v>143</v>
      </c>
    </row>
    <row r="1729" spans="1:12" x14ac:dyDescent="0.2">
      <c r="A1729" s="2">
        <v>101441</v>
      </c>
      <c r="B1729" s="17">
        <v>45366</v>
      </c>
      <c r="C1729" s="2" t="s">
        <v>1019</v>
      </c>
      <c r="D1729" s="2" t="s">
        <v>20</v>
      </c>
      <c r="E1729" s="2" t="s">
        <v>21</v>
      </c>
      <c r="F1729" s="2" t="s">
        <v>80</v>
      </c>
      <c r="G1729" s="2" t="s">
        <v>93</v>
      </c>
      <c r="H1729" s="2">
        <v>10</v>
      </c>
      <c r="I1729" s="2">
        <v>175.63</v>
      </c>
      <c r="J1729" s="2">
        <v>0.1</v>
      </c>
      <c r="K1729" s="2" t="s">
        <v>41</v>
      </c>
      <c r="L1729" s="2" t="s">
        <v>143</v>
      </c>
    </row>
    <row r="1730" spans="1:12" x14ac:dyDescent="0.2">
      <c r="A1730" s="2">
        <v>101515</v>
      </c>
      <c r="B1730" s="17">
        <v>45504</v>
      </c>
      <c r="C1730" s="2" t="s">
        <v>221</v>
      </c>
      <c r="D1730" s="2" t="s">
        <v>58</v>
      </c>
      <c r="E1730" s="2" t="s">
        <v>38</v>
      </c>
      <c r="F1730" s="2" t="s">
        <v>33</v>
      </c>
      <c r="G1730" s="2" t="s">
        <v>34</v>
      </c>
      <c r="H1730" s="2">
        <v>10</v>
      </c>
      <c r="I1730" s="2">
        <v>479.06</v>
      </c>
      <c r="J1730" s="2">
        <v>0</v>
      </c>
      <c r="K1730" s="2" t="s">
        <v>83</v>
      </c>
      <c r="L1730" s="2" t="s">
        <v>143</v>
      </c>
    </row>
    <row r="1731" spans="1:12" x14ac:dyDescent="0.2">
      <c r="A1731" s="2">
        <v>101586</v>
      </c>
      <c r="B1731" s="17">
        <v>45482</v>
      </c>
      <c r="C1731" s="2" t="s">
        <v>1020</v>
      </c>
      <c r="D1731" s="2" t="s">
        <v>13</v>
      </c>
      <c r="E1731" s="2" t="s">
        <v>119</v>
      </c>
      <c r="F1731" s="2" t="s">
        <v>74</v>
      </c>
      <c r="G1731" s="2" t="s">
        <v>141</v>
      </c>
      <c r="H1731" s="2">
        <v>6</v>
      </c>
      <c r="I1731" s="2">
        <v>2210.7800000000002</v>
      </c>
      <c r="J1731" s="2">
        <v>0.2</v>
      </c>
      <c r="K1731" s="2" t="s">
        <v>83</v>
      </c>
      <c r="L1731" s="2" t="s">
        <v>18</v>
      </c>
    </row>
    <row r="1732" spans="1:12" x14ac:dyDescent="0.2">
      <c r="A1732" s="2">
        <v>101092</v>
      </c>
      <c r="B1732" s="17">
        <v>45405</v>
      </c>
      <c r="C1732" s="2" t="s">
        <v>1021</v>
      </c>
      <c r="D1732" s="2" t="s">
        <v>101</v>
      </c>
      <c r="E1732" s="2" t="s">
        <v>38</v>
      </c>
      <c r="F1732" s="2" t="s">
        <v>74</v>
      </c>
      <c r="G1732" s="2" t="s">
        <v>141</v>
      </c>
      <c r="H1732" s="2">
        <v>8</v>
      </c>
      <c r="I1732" s="2">
        <v>793.2</v>
      </c>
      <c r="J1732" s="2">
        <v>0</v>
      </c>
      <c r="K1732" s="2" t="s">
        <v>83</v>
      </c>
      <c r="L1732" s="2" t="s">
        <v>42</v>
      </c>
    </row>
    <row r="1733" spans="1:12" x14ac:dyDescent="0.2">
      <c r="A1733" s="2">
        <v>101561</v>
      </c>
      <c r="B1733" s="18">
        <v>45528</v>
      </c>
      <c r="C1733" s="2" t="s">
        <v>197</v>
      </c>
      <c r="D1733" s="2" t="s">
        <v>160</v>
      </c>
      <c r="E1733" s="2" t="s">
        <v>79</v>
      </c>
      <c r="F1733" s="2" t="s">
        <v>33</v>
      </c>
      <c r="G1733" s="2" t="s">
        <v>158</v>
      </c>
      <c r="H1733" s="2">
        <v>2</v>
      </c>
      <c r="I1733" s="2">
        <v>371.84</v>
      </c>
      <c r="J1733" s="2">
        <v>0</v>
      </c>
      <c r="K1733" s="2" t="s">
        <v>83</v>
      </c>
      <c r="L1733" s="2" t="s">
        <v>87</v>
      </c>
    </row>
    <row r="1734" spans="1:12" x14ac:dyDescent="0.2">
      <c r="A1734" s="2">
        <v>101102</v>
      </c>
      <c r="B1734" s="18">
        <v>45489</v>
      </c>
      <c r="C1734" s="2" t="s">
        <v>963</v>
      </c>
      <c r="D1734" s="2" t="s">
        <v>58</v>
      </c>
      <c r="E1734" s="2" t="s">
        <v>69</v>
      </c>
      <c r="F1734" s="2" t="s">
        <v>74</v>
      </c>
      <c r="G1734" s="2" t="s">
        <v>141</v>
      </c>
      <c r="H1734" s="2">
        <v>3</v>
      </c>
      <c r="I1734" s="2">
        <v>3154.25</v>
      </c>
      <c r="J1734" s="2"/>
      <c r="K1734" s="2" t="s">
        <v>66</v>
      </c>
      <c r="L1734" s="2" t="s">
        <v>121</v>
      </c>
    </row>
    <row r="1735" spans="1:12" x14ac:dyDescent="0.2">
      <c r="A1735" s="2">
        <v>101130</v>
      </c>
      <c r="B1735" s="18">
        <v>45463</v>
      </c>
      <c r="C1735" s="2" t="s">
        <v>567</v>
      </c>
      <c r="D1735" s="2" t="s">
        <v>175</v>
      </c>
      <c r="E1735" s="2" t="s">
        <v>38</v>
      </c>
      <c r="F1735" s="2" t="s">
        <v>39</v>
      </c>
      <c r="G1735" s="2" t="s">
        <v>40</v>
      </c>
      <c r="H1735" s="2">
        <v>5</v>
      </c>
      <c r="I1735" s="2">
        <v>369.28</v>
      </c>
      <c r="J1735" s="2">
        <v>15</v>
      </c>
      <c r="K1735" s="2" t="s">
        <v>83</v>
      </c>
      <c r="L1735" s="2" t="s">
        <v>52</v>
      </c>
    </row>
    <row r="1736" spans="1:12" x14ac:dyDescent="0.2">
      <c r="A1736" s="2">
        <v>101236</v>
      </c>
      <c r="B1736" s="17">
        <v>45313</v>
      </c>
      <c r="C1736" s="2" t="s">
        <v>177</v>
      </c>
      <c r="D1736" s="2" t="s">
        <v>73</v>
      </c>
      <c r="E1736" s="2" t="s">
        <v>79</v>
      </c>
      <c r="F1736" s="2" t="s">
        <v>80</v>
      </c>
      <c r="G1736" s="2" t="s">
        <v>158</v>
      </c>
      <c r="H1736" s="2">
        <v>9</v>
      </c>
      <c r="I1736" s="2">
        <v>450.82</v>
      </c>
      <c r="J1736" s="2">
        <v>0.25</v>
      </c>
      <c r="K1736" s="2" t="s">
        <v>41</v>
      </c>
      <c r="L1736" s="2" t="s">
        <v>143</v>
      </c>
    </row>
    <row r="1737" spans="1:12" x14ac:dyDescent="0.2">
      <c r="A1737" s="2">
        <v>101788</v>
      </c>
      <c r="B1737" s="18">
        <v>45457</v>
      </c>
      <c r="C1737" s="2" t="s">
        <v>276</v>
      </c>
      <c r="D1737" s="2" t="s">
        <v>27</v>
      </c>
      <c r="E1737" s="2" t="s">
        <v>21</v>
      </c>
      <c r="F1737" s="2" t="s">
        <v>64</v>
      </c>
      <c r="G1737" s="2" t="s">
        <v>40</v>
      </c>
      <c r="H1737" s="2">
        <v>11</v>
      </c>
      <c r="I1737" s="2">
        <v>422.22</v>
      </c>
      <c r="J1737" s="2">
        <v>0.25</v>
      </c>
      <c r="K1737" s="2" t="s">
        <v>83</v>
      </c>
      <c r="L1737" s="2" t="s">
        <v>25</v>
      </c>
    </row>
    <row r="1738" spans="1:12" x14ac:dyDescent="0.2">
      <c r="A1738" s="2">
        <v>100959</v>
      </c>
      <c r="B1738" s="17">
        <v>45460</v>
      </c>
      <c r="C1738" s="2" t="s">
        <v>569</v>
      </c>
      <c r="D1738" s="2" t="s">
        <v>61</v>
      </c>
      <c r="E1738" s="2" t="s">
        <v>119</v>
      </c>
      <c r="F1738" s="2" t="s">
        <v>120</v>
      </c>
      <c r="G1738" s="2" t="s">
        <v>145</v>
      </c>
      <c r="H1738" s="2">
        <v>2</v>
      </c>
      <c r="I1738" s="2">
        <v>981.35</v>
      </c>
      <c r="J1738" s="2">
        <v>0.1</v>
      </c>
      <c r="K1738" s="2" t="s">
        <v>24</v>
      </c>
      <c r="L1738" s="2" t="s">
        <v>121</v>
      </c>
    </row>
    <row r="1739" spans="1:12" x14ac:dyDescent="0.2">
      <c r="A1739" s="2">
        <v>101663</v>
      </c>
      <c r="B1739" s="17">
        <v>45471</v>
      </c>
      <c r="C1739" s="2" t="s">
        <v>817</v>
      </c>
      <c r="D1739" s="2" t="s">
        <v>37</v>
      </c>
      <c r="E1739" s="2" t="s">
        <v>69</v>
      </c>
      <c r="F1739" s="2" t="s">
        <v>80</v>
      </c>
      <c r="G1739" s="2" t="s">
        <v>81</v>
      </c>
      <c r="H1739" s="2">
        <v>7</v>
      </c>
      <c r="I1739" s="2">
        <v>408.35</v>
      </c>
      <c r="J1739" s="2">
        <v>0</v>
      </c>
      <c r="K1739" s="2" t="s">
        <v>41</v>
      </c>
      <c r="L1739" s="2" t="s">
        <v>35</v>
      </c>
    </row>
    <row r="1740" spans="1:12" x14ac:dyDescent="0.2">
      <c r="A1740" s="2">
        <v>100560</v>
      </c>
      <c r="B1740" s="17">
        <v>45362</v>
      </c>
      <c r="C1740" s="2" t="s">
        <v>704</v>
      </c>
      <c r="D1740" s="2" t="s">
        <v>61</v>
      </c>
      <c r="E1740" s="2" t="s">
        <v>119</v>
      </c>
      <c r="F1740" s="2" t="s">
        <v>106</v>
      </c>
      <c r="G1740" s="2" t="s">
        <v>156</v>
      </c>
      <c r="H1740" s="2">
        <v>10</v>
      </c>
      <c r="I1740" s="2">
        <v>1976.53</v>
      </c>
      <c r="J1740" s="2">
        <v>0</v>
      </c>
      <c r="K1740" s="2" t="s">
        <v>83</v>
      </c>
      <c r="L1740" s="2" t="s">
        <v>25</v>
      </c>
    </row>
    <row r="1741" spans="1:12" x14ac:dyDescent="0.2">
      <c r="A1741" s="2">
        <v>100847</v>
      </c>
      <c r="B1741" s="18">
        <v>45606</v>
      </c>
      <c r="C1741" s="2" t="s">
        <v>352</v>
      </c>
      <c r="D1741" s="2" t="s">
        <v>140</v>
      </c>
      <c r="E1741" s="2" t="s">
        <v>79</v>
      </c>
      <c r="F1741" s="2" t="s">
        <v>80</v>
      </c>
      <c r="G1741" s="2" t="s">
        <v>81</v>
      </c>
      <c r="H1741" s="2"/>
      <c r="I1741" s="2">
        <v>200.48</v>
      </c>
      <c r="J1741" s="2">
        <v>0.25</v>
      </c>
      <c r="K1741" s="2" t="s">
        <v>41</v>
      </c>
      <c r="L1741" s="2" t="s">
        <v>18</v>
      </c>
    </row>
    <row r="1742" spans="1:12" x14ac:dyDescent="0.2">
      <c r="A1742" s="2">
        <v>101768</v>
      </c>
      <c r="B1742" s="17">
        <v>45446</v>
      </c>
      <c r="C1742" s="2" t="s">
        <v>282</v>
      </c>
      <c r="D1742" s="2" t="s">
        <v>95</v>
      </c>
      <c r="E1742" s="2" t="s">
        <v>133</v>
      </c>
      <c r="F1742" s="2" t="s">
        <v>15</v>
      </c>
      <c r="G1742" s="2" t="s">
        <v>205</v>
      </c>
      <c r="H1742" s="2">
        <v>12</v>
      </c>
      <c r="I1742" s="2">
        <v>19305.14</v>
      </c>
      <c r="J1742" s="2">
        <v>20</v>
      </c>
      <c r="K1742" s="2" t="s">
        <v>66</v>
      </c>
      <c r="L1742" s="2" t="s">
        <v>121</v>
      </c>
    </row>
    <row r="1743" spans="1:12" x14ac:dyDescent="0.2">
      <c r="A1743" s="2">
        <v>100691</v>
      </c>
      <c r="B1743" s="17">
        <v>45607</v>
      </c>
      <c r="C1743" s="2" t="s">
        <v>455</v>
      </c>
      <c r="D1743" s="2" t="s">
        <v>92</v>
      </c>
      <c r="E1743" s="2" t="s">
        <v>54</v>
      </c>
      <c r="F1743" s="2" t="s">
        <v>55</v>
      </c>
      <c r="G1743" s="2" t="s">
        <v>207</v>
      </c>
      <c r="H1743" s="2">
        <v>8</v>
      </c>
      <c r="I1743" s="2">
        <v>6908.04</v>
      </c>
      <c r="J1743" s="2">
        <v>0.15</v>
      </c>
      <c r="K1743" s="2" t="s">
        <v>29</v>
      </c>
      <c r="L1743" s="2" t="s">
        <v>87</v>
      </c>
    </row>
    <row r="1744" spans="1:12" x14ac:dyDescent="0.2">
      <c r="A1744" s="2">
        <v>101520</v>
      </c>
      <c r="B1744" s="17">
        <v>45322</v>
      </c>
      <c r="C1744" s="2" t="s">
        <v>326</v>
      </c>
      <c r="D1744" s="2" t="s">
        <v>37</v>
      </c>
      <c r="E1744" s="2" t="s">
        <v>69</v>
      </c>
      <c r="F1744" s="2" t="s">
        <v>64</v>
      </c>
      <c r="G1744" s="2" t="s">
        <v>114</v>
      </c>
      <c r="H1744" s="2">
        <v>7</v>
      </c>
      <c r="I1744" s="2">
        <v>636.92999999999995</v>
      </c>
      <c r="J1744" s="2">
        <v>0</v>
      </c>
      <c r="K1744" s="2" t="s">
        <v>24</v>
      </c>
      <c r="L1744" s="2" t="s">
        <v>87</v>
      </c>
    </row>
    <row r="1745" spans="1:12" x14ac:dyDescent="0.2">
      <c r="A1745" s="2">
        <v>101961</v>
      </c>
      <c r="B1745" s="17">
        <v>45349</v>
      </c>
      <c r="C1745" s="2" t="s">
        <v>1022</v>
      </c>
      <c r="D1745" s="2" t="s">
        <v>160</v>
      </c>
      <c r="E1745" s="2" t="s">
        <v>49</v>
      </c>
      <c r="F1745" s="2" t="s">
        <v>191</v>
      </c>
      <c r="G1745" s="2" t="s">
        <v>116</v>
      </c>
      <c r="H1745" s="2">
        <v>3</v>
      </c>
      <c r="I1745" s="2">
        <v>22025.41</v>
      </c>
      <c r="J1745" s="2"/>
      <c r="K1745" s="2" t="s">
        <v>29</v>
      </c>
      <c r="L1745" s="2" t="s">
        <v>35</v>
      </c>
    </row>
    <row r="1746" spans="1:12" x14ac:dyDescent="0.2">
      <c r="A1746" s="2">
        <v>101888</v>
      </c>
      <c r="B1746" s="2" t="s">
        <v>788</v>
      </c>
      <c r="C1746" s="2" t="s">
        <v>208</v>
      </c>
      <c r="D1746" s="2" t="s">
        <v>13</v>
      </c>
      <c r="E1746" s="2" t="s">
        <v>14</v>
      </c>
      <c r="F1746" s="2" t="s">
        <v>39</v>
      </c>
      <c r="G1746" s="2" t="s">
        <v>165</v>
      </c>
      <c r="H1746" s="2">
        <v>9</v>
      </c>
      <c r="I1746" s="2">
        <v>678.24</v>
      </c>
      <c r="J1746" s="2">
        <v>0.05</v>
      </c>
      <c r="K1746" s="2" t="s">
        <v>83</v>
      </c>
      <c r="L1746" s="2" t="s">
        <v>18</v>
      </c>
    </row>
    <row r="1747" spans="1:12" x14ac:dyDescent="0.2">
      <c r="A1747" s="2">
        <v>100437</v>
      </c>
      <c r="B1747" s="18">
        <v>45358</v>
      </c>
      <c r="C1747" s="2" t="s">
        <v>945</v>
      </c>
      <c r="D1747" s="2" t="s">
        <v>20</v>
      </c>
      <c r="E1747" s="2" t="s">
        <v>133</v>
      </c>
      <c r="F1747" s="2" t="s">
        <v>120</v>
      </c>
      <c r="G1747" s="2" t="s">
        <v>23</v>
      </c>
      <c r="H1747" s="2">
        <v>6</v>
      </c>
      <c r="I1747" s="2">
        <v>1735.81</v>
      </c>
      <c r="J1747" s="2">
        <v>0</v>
      </c>
      <c r="K1747" s="2" t="s">
        <v>66</v>
      </c>
      <c r="L1747" s="2" t="s">
        <v>18</v>
      </c>
    </row>
    <row r="1748" spans="1:12" x14ac:dyDescent="0.2">
      <c r="A1748" s="2">
        <v>100491</v>
      </c>
      <c r="B1748" s="18">
        <v>45631</v>
      </c>
      <c r="C1748" s="2" t="s">
        <v>341</v>
      </c>
      <c r="D1748" s="2" t="s">
        <v>101</v>
      </c>
      <c r="E1748" s="2" t="s">
        <v>69</v>
      </c>
      <c r="F1748" s="2" t="s">
        <v>39</v>
      </c>
      <c r="G1748" s="2" t="s">
        <v>165</v>
      </c>
      <c r="H1748" s="2">
        <v>6</v>
      </c>
      <c r="I1748" s="2">
        <v>891.32</v>
      </c>
      <c r="J1748" s="2">
        <v>0.1</v>
      </c>
      <c r="K1748" s="2" t="s">
        <v>29</v>
      </c>
      <c r="L1748" s="2" t="s">
        <v>143</v>
      </c>
    </row>
    <row r="1749" spans="1:12" x14ac:dyDescent="0.2">
      <c r="A1749" s="2"/>
      <c r="B1749" s="2"/>
      <c r="C1749" s="2"/>
      <c r="D1749" s="2"/>
      <c r="E1749" s="2"/>
      <c r="F1749" s="2"/>
      <c r="G1749" s="2"/>
      <c r="H1749" s="2"/>
      <c r="I1749" s="2"/>
      <c r="J1749" s="2"/>
      <c r="K1749" s="2"/>
      <c r="L1749" s="2"/>
    </row>
    <row r="1750" spans="1:12" x14ac:dyDescent="0.2">
      <c r="A1750" s="2">
        <v>101922</v>
      </c>
      <c r="B1750" s="2" t="s">
        <v>1023</v>
      </c>
      <c r="C1750" s="2" t="s">
        <v>459</v>
      </c>
      <c r="D1750" s="2" t="s">
        <v>140</v>
      </c>
      <c r="E1750" s="2" t="s">
        <v>49</v>
      </c>
      <c r="F1750" s="2" t="s">
        <v>113</v>
      </c>
      <c r="G1750" s="2" t="s">
        <v>165</v>
      </c>
      <c r="H1750" s="2">
        <v>9</v>
      </c>
      <c r="I1750" s="2">
        <v>610.04999999999995</v>
      </c>
      <c r="J1750" s="2">
        <v>0</v>
      </c>
      <c r="K1750" s="2" t="s">
        <v>66</v>
      </c>
      <c r="L1750" s="2" t="s">
        <v>52</v>
      </c>
    </row>
    <row r="1751" spans="1:12" x14ac:dyDescent="0.2">
      <c r="A1751" s="2">
        <v>101630</v>
      </c>
      <c r="B1751" s="17">
        <v>45637</v>
      </c>
      <c r="C1751" s="2" t="s">
        <v>187</v>
      </c>
      <c r="D1751" s="2" t="s">
        <v>175</v>
      </c>
      <c r="E1751" s="2" t="s">
        <v>38</v>
      </c>
      <c r="F1751" s="2" t="s">
        <v>74</v>
      </c>
      <c r="G1751" s="2" t="s">
        <v>232</v>
      </c>
      <c r="H1751" s="2">
        <v>4</v>
      </c>
      <c r="I1751" s="2">
        <v>645.13</v>
      </c>
      <c r="J1751" s="2">
        <v>0.2</v>
      </c>
      <c r="K1751" s="2" t="s">
        <v>24</v>
      </c>
      <c r="L1751" s="2" t="s">
        <v>143</v>
      </c>
    </row>
    <row r="1752" spans="1:12" x14ac:dyDescent="0.2">
      <c r="A1752" s="2">
        <v>101388</v>
      </c>
      <c r="B1752" s="18">
        <v>45528</v>
      </c>
      <c r="C1752" s="2" t="s">
        <v>336</v>
      </c>
      <c r="D1752" s="2" t="s">
        <v>175</v>
      </c>
      <c r="E1752" s="2" t="s">
        <v>38</v>
      </c>
      <c r="F1752" s="2" t="s">
        <v>55</v>
      </c>
      <c r="G1752" s="2" t="s">
        <v>51</v>
      </c>
      <c r="H1752" s="2">
        <v>6</v>
      </c>
      <c r="I1752" s="2">
        <v>5234.74</v>
      </c>
      <c r="J1752" s="2">
        <v>0.25</v>
      </c>
      <c r="K1752" s="2" t="s">
        <v>17</v>
      </c>
      <c r="L1752" s="2" t="s">
        <v>18</v>
      </c>
    </row>
    <row r="1753" spans="1:12" x14ac:dyDescent="0.2">
      <c r="A1753" s="2">
        <v>100070</v>
      </c>
      <c r="B1753" s="18">
        <v>45374</v>
      </c>
      <c r="C1753" s="2" t="s">
        <v>349</v>
      </c>
      <c r="D1753" s="2" t="s">
        <v>95</v>
      </c>
      <c r="E1753" s="2" t="s">
        <v>21</v>
      </c>
      <c r="F1753" s="2" t="s">
        <v>223</v>
      </c>
      <c r="G1753" s="2" t="s">
        <v>207</v>
      </c>
      <c r="H1753" s="2">
        <v>2</v>
      </c>
      <c r="I1753" s="2">
        <v>8017.09</v>
      </c>
      <c r="J1753" s="2">
        <v>0</v>
      </c>
      <c r="K1753" s="2" t="s">
        <v>17</v>
      </c>
      <c r="L1753" s="2" t="s">
        <v>35</v>
      </c>
    </row>
    <row r="1754" spans="1:12" x14ac:dyDescent="0.2">
      <c r="A1754" s="2">
        <v>101573</v>
      </c>
      <c r="B1754" s="17">
        <v>45555</v>
      </c>
      <c r="C1754" s="2" t="s">
        <v>386</v>
      </c>
      <c r="D1754" s="2" t="s">
        <v>89</v>
      </c>
      <c r="E1754" s="2" t="s">
        <v>54</v>
      </c>
      <c r="F1754" s="2" t="s">
        <v>74</v>
      </c>
      <c r="G1754" s="2" t="s">
        <v>75</v>
      </c>
      <c r="H1754" s="2">
        <v>10</v>
      </c>
      <c r="I1754" s="2">
        <v>2345.5100000000002</v>
      </c>
      <c r="J1754" s="2">
        <v>0</v>
      </c>
      <c r="K1754" s="2" t="s">
        <v>17</v>
      </c>
      <c r="L1754" s="2" t="s">
        <v>35</v>
      </c>
    </row>
    <row r="1755" spans="1:12" x14ac:dyDescent="0.2">
      <c r="A1755" s="2">
        <v>100809</v>
      </c>
      <c r="B1755" s="17">
        <v>45556</v>
      </c>
      <c r="C1755" s="2" t="s">
        <v>400</v>
      </c>
      <c r="D1755" s="2" t="s">
        <v>61</v>
      </c>
      <c r="E1755" s="2" t="s">
        <v>119</v>
      </c>
      <c r="F1755" s="2" t="s">
        <v>15</v>
      </c>
      <c r="G1755" s="2" t="s">
        <v>116</v>
      </c>
      <c r="H1755" s="2">
        <v>2</v>
      </c>
      <c r="I1755" s="2">
        <v>14738.4</v>
      </c>
      <c r="J1755" s="2">
        <v>0</v>
      </c>
      <c r="K1755" s="2" t="s">
        <v>41</v>
      </c>
      <c r="L1755" s="2" t="s">
        <v>87</v>
      </c>
    </row>
    <row r="1756" spans="1:12" x14ac:dyDescent="0.2">
      <c r="A1756" s="2">
        <v>101185</v>
      </c>
      <c r="B1756" s="17">
        <v>45547</v>
      </c>
      <c r="C1756" s="2" t="s">
        <v>1024</v>
      </c>
      <c r="D1756" s="2" t="s">
        <v>109</v>
      </c>
      <c r="E1756" s="2" t="s">
        <v>21</v>
      </c>
      <c r="F1756" s="2" t="s">
        <v>33</v>
      </c>
      <c r="G1756" s="2" t="s">
        <v>81</v>
      </c>
      <c r="H1756" s="2">
        <v>7</v>
      </c>
      <c r="I1756" s="2">
        <v>210.49</v>
      </c>
      <c r="J1756" s="2">
        <v>20</v>
      </c>
      <c r="K1756" s="2" t="s">
        <v>41</v>
      </c>
      <c r="L1756" s="2" t="s">
        <v>121</v>
      </c>
    </row>
    <row r="1757" spans="1:12" x14ac:dyDescent="0.2">
      <c r="A1757" s="2">
        <v>100012</v>
      </c>
      <c r="B1757" s="18">
        <v>45321</v>
      </c>
      <c r="C1757" s="2" t="s">
        <v>968</v>
      </c>
      <c r="D1757" s="2" t="s">
        <v>73</v>
      </c>
      <c r="E1757" s="2" t="s">
        <v>49</v>
      </c>
      <c r="F1757" s="2" t="s">
        <v>70</v>
      </c>
      <c r="G1757" s="2" t="s">
        <v>153</v>
      </c>
      <c r="H1757" s="2">
        <v>12</v>
      </c>
      <c r="I1757" s="2">
        <v>41803.54</v>
      </c>
      <c r="J1757" s="2">
        <v>25</v>
      </c>
      <c r="K1757" s="2" t="s">
        <v>41</v>
      </c>
      <c r="L1757" s="2" t="s">
        <v>35</v>
      </c>
    </row>
    <row r="1758" spans="1:12" x14ac:dyDescent="0.2">
      <c r="A1758" s="2">
        <v>100145</v>
      </c>
      <c r="B1758" s="18">
        <v>45380</v>
      </c>
      <c r="C1758" s="2" t="s">
        <v>420</v>
      </c>
      <c r="D1758" s="2" t="s">
        <v>109</v>
      </c>
      <c r="E1758" s="2" t="s">
        <v>21</v>
      </c>
      <c r="F1758" s="2" t="s">
        <v>86</v>
      </c>
      <c r="G1758" s="2" t="s">
        <v>149</v>
      </c>
      <c r="H1758" s="2">
        <v>10</v>
      </c>
      <c r="I1758" s="2">
        <v>3357.29</v>
      </c>
      <c r="J1758" s="2">
        <v>25</v>
      </c>
      <c r="K1758" s="2" t="s">
        <v>17</v>
      </c>
      <c r="L1758" s="2" t="s">
        <v>143</v>
      </c>
    </row>
    <row r="1759" spans="1:12" x14ac:dyDescent="0.2">
      <c r="A1759" s="2">
        <v>100918</v>
      </c>
      <c r="B1759" s="2" t="s">
        <v>952</v>
      </c>
      <c r="C1759" s="2" t="s">
        <v>1019</v>
      </c>
      <c r="D1759" s="2" t="s">
        <v>92</v>
      </c>
      <c r="E1759" s="2" t="s">
        <v>54</v>
      </c>
      <c r="F1759" s="2" t="s">
        <v>102</v>
      </c>
      <c r="G1759" s="2" t="s">
        <v>135</v>
      </c>
      <c r="H1759" s="2">
        <v>1</v>
      </c>
      <c r="I1759" s="2">
        <v>3503.62</v>
      </c>
      <c r="J1759" s="2">
        <v>5</v>
      </c>
      <c r="K1759" s="2" t="s">
        <v>24</v>
      </c>
      <c r="L1759" s="2" t="s">
        <v>121</v>
      </c>
    </row>
    <row r="1760" spans="1:12" x14ac:dyDescent="0.2">
      <c r="A1760" s="2">
        <v>101542</v>
      </c>
      <c r="B1760" s="18">
        <v>45622</v>
      </c>
      <c r="C1760" s="2" t="s">
        <v>336</v>
      </c>
      <c r="D1760" s="2" t="s">
        <v>58</v>
      </c>
      <c r="E1760" s="2" t="s">
        <v>38</v>
      </c>
      <c r="F1760" s="2" t="s">
        <v>70</v>
      </c>
      <c r="G1760" s="2" t="s">
        <v>71</v>
      </c>
      <c r="H1760" s="2">
        <v>9</v>
      </c>
      <c r="I1760" s="2">
        <v>43362.44</v>
      </c>
      <c r="J1760" s="2">
        <v>0</v>
      </c>
      <c r="K1760" s="2" t="s">
        <v>66</v>
      </c>
      <c r="L1760" s="2" t="s">
        <v>25</v>
      </c>
    </row>
    <row r="1761" spans="1:12" x14ac:dyDescent="0.2">
      <c r="A1761" s="2">
        <v>101452</v>
      </c>
      <c r="B1761" s="18">
        <v>45568</v>
      </c>
      <c r="C1761" s="2" t="s">
        <v>517</v>
      </c>
      <c r="D1761" s="2" t="s">
        <v>131</v>
      </c>
      <c r="E1761" s="2" t="s">
        <v>21</v>
      </c>
      <c r="F1761" s="2" t="s">
        <v>80</v>
      </c>
      <c r="G1761" s="2" t="s">
        <v>93</v>
      </c>
      <c r="H1761" s="2">
        <v>2</v>
      </c>
      <c r="I1761" s="2"/>
      <c r="J1761" s="2">
        <v>0</v>
      </c>
      <c r="K1761" s="2" t="s">
        <v>17</v>
      </c>
      <c r="L1761" s="2" t="s">
        <v>42</v>
      </c>
    </row>
    <row r="1762" spans="1:12" x14ac:dyDescent="0.2">
      <c r="A1762" s="2">
        <v>100640</v>
      </c>
      <c r="B1762" s="18">
        <v>45453</v>
      </c>
      <c r="C1762" s="2" t="s">
        <v>475</v>
      </c>
      <c r="D1762" s="2" t="s">
        <v>140</v>
      </c>
      <c r="E1762" s="2" t="s">
        <v>79</v>
      </c>
      <c r="F1762" s="2" t="s">
        <v>45</v>
      </c>
      <c r="G1762" s="2" t="s">
        <v>153</v>
      </c>
      <c r="H1762" s="2">
        <v>4</v>
      </c>
      <c r="I1762" s="2">
        <v>38588.14</v>
      </c>
      <c r="J1762" s="2">
        <v>0.1</v>
      </c>
      <c r="K1762" s="2" t="s">
        <v>83</v>
      </c>
      <c r="L1762" s="2" t="s">
        <v>52</v>
      </c>
    </row>
    <row r="1763" spans="1:12" x14ac:dyDescent="0.2">
      <c r="A1763" s="2">
        <v>100177</v>
      </c>
      <c r="B1763" s="18">
        <v>45372</v>
      </c>
      <c r="C1763" s="2" t="s">
        <v>446</v>
      </c>
      <c r="D1763" s="2" t="s">
        <v>48</v>
      </c>
      <c r="E1763" s="2" t="s">
        <v>79</v>
      </c>
      <c r="F1763" s="2" t="s">
        <v>80</v>
      </c>
      <c r="G1763" s="2" t="s">
        <v>34</v>
      </c>
      <c r="H1763" s="2">
        <v>11</v>
      </c>
      <c r="I1763" s="2">
        <v>276.72000000000003</v>
      </c>
      <c r="J1763" s="2"/>
      <c r="K1763" s="2" t="s">
        <v>41</v>
      </c>
      <c r="L1763" s="2" t="s">
        <v>35</v>
      </c>
    </row>
    <row r="1764" spans="1:12" x14ac:dyDescent="0.2">
      <c r="A1764" s="2">
        <v>100995</v>
      </c>
      <c r="B1764" s="2" t="s">
        <v>825</v>
      </c>
      <c r="C1764" s="2" t="s">
        <v>1025</v>
      </c>
      <c r="D1764" s="2" t="s">
        <v>20</v>
      </c>
      <c r="E1764" s="2" t="s">
        <v>21</v>
      </c>
      <c r="F1764" s="2" t="s">
        <v>33</v>
      </c>
      <c r="G1764" s="2" t="s">
        <v>93</v>
      </c>
      <c r="H1764" s="2">
        <v>1</v>
      </c>
      <c r="I1764" s="2">
        <v>410.86</v>
      </c>
      <c r="J1764" s="2">
        <v>0.2</v>
      </c>
      <c r="K1764" s="2" t="s">
        <v>66</v>
      </c>
      <c r="L1764" s="2" t="s">
        <v>35</v>
      </c>
    </row>
    <row r="1765" spans="1:12" x14ac:dyDescent="0.2">
      <c r="A1765" s="2">
        <v>100441</v>
      </c>
      <c r="B1765" s="17">
        <v>45294</v>
      </c>
      <c r="C1765" s="2" t="s">
        <v>751</v>
      </c>
      <c r="D1765" s="2" t="s">
        <v>131</v>
      </c>
      <c r="E1765" s="2" t="s">
        <v>21</v>
      </c>
      <c r="F1765" s="2" t="s">
        <v>102</v>
      </c>
      <c r="G1765" s="2" t="s">
        <v>137</v>
      </c>
      <c r="H1765" s="2">
        <v>12</v>
      </c>
      <c r="I1765" s="2">
        <v>4016.62</v>
      </c>
      <c r="J1765" s="2">
        <v>5</v>
      </c>
      <c r="K1765" s="2" t="s">
        <v>29</v>
      </c>
      <c r="L1765" s="2" t="s">
        <v>121</v>
      </c>
    </row>
    <row r="1766" spans="1:12" x14ac:dyDescent="0.2">
      <c r="A1766" s="2">
        <v>100522</v>
      </c>
      <c r="B1766" s="2" t="s">
        <v>1023</v>
      </c>
      <c r="C1766" s="2" t="s">
        <v>218</v>
      </c>
      <c r="D1766" s="2" t="s">
        <v>131</v>
      </c>
      <c r="E1766" s="2" t="s">
        <v>133</v>
      </c>
      <c r="F1766" s="2" t="s">
        <v>102</v>
      </c>
      <c r="G1766" s="2" t="s">
        <v>137</v>
      </c>
      <c r="H1766" s="2">
        <v>8</v>
      </c>
      <c r="I1766" s="2">
        <v>3890.38</v>
      </c>
      <c r="J1766" s="2">
        <v>15</v>
      </c>
      <c r="K1766" s="2" t="s">
        <v>17</v>
      </c>
      <c r="L1766" s="2" t="s">
        <v>35</v>
      </c>
    </row>
    <row r="1767" spans="1:12" x14ac:dyDescent="0.2">
      <c r="A1767" s="2">
        <v>101316</v>
      </c>
      <c r="B1767" s="17">
        <v>45415</v>
      </c>
      <c r="C1767" s="2" t="s">
        <v>420</v>
      </c>
      <c r="D1767" s="2" t="s">
        <v>109</v>
      </c>
      <c r="E1767" s="2" t="s">
        <v>21</v>
      </c>
      <c r="F1767" s="2" t="s">
        <v>80</v>
      </c>
      <c r="G1767" s="2" t="s">
        <v>81</v>
      </c>
      <c r="H1767" s="2">
        <v>9</v>
      </c>
      <c r="I1767" s="2">
        <v>433.3</v>
      </c>
      <c r="J1767" s="2">
        <v>0.2</v>
      </c>
      <c r="K1767" s="2" t="s">
        <v>17</v>
      </c>
      <c r="L1767" s="2" t="s">
        <v>18</v>
      </c>
    </row>
    <row r="1768" spans="1:12" x14ac:dyDescent="0.2">
      <c r="A1768" s="2">
        <v>101965</v>
      </c>
      <c r="B1768" s="17">
        <v>45398</v>
      </c>
      <c r="C1768" s="2" t="s">
        <v>125</v>
      </c>
      <c r="D1768" s="2" t="s">
        <v>131</v>
      </c>
      <c r="E1768" s="2" t="s">
        <v>21</v>
      </c>
      <c r="F1768" s="2" t="s">
        <v>120</v>
      </c>
      <c r="G1768" s="2" t="s">
        <v>75</v>
      </c>
      <c r="H1768" s="2">
        <v>5</v>
      </c>
      <c r="I1768" s="2">
        <v>3449.98</v>
      </c>
      <c r="J1768" s="2">
        <v>0.1</v>
      </c>
      <c r="K1768" s="2" t="s">
        <v>83</v>
      </c>
      <c r="L1768" s="2" t="s">
        <v>25</v>
      </c>
    </row>
    <row r="1769" spans="1:12" x14ac:dyDescent="0.2">
      <c r="A1769" s="2">
        <v>101713</v>
      </c>
      <c r="B1769" s="18">
        <v>45610</v>
      </c>
      <c r="C1769" s="2" t="s">
        <v>911</v>
      </c>
      <c r="D1769" s="2" t="s">
        <v>131</v>
      </c>
      <c r="E1769" s="2" t="s">
        <v>133</v>
      </c>
      <c r="F1769" s="2" t="s">
        <v>55</v>
      </c>
      <c r="G1769" s="2" t="s">
        <v>51</v>
      </c>
      <c r="H1769" s="2">
        <v>5</v>
      </c>
      <c r="I1769" s="2">
        <v>11633.36</v>
      </c>
      <c r="J1769" s="2">
        <v>15</v>
      </c>
      <c r="K1769" s="2" t="s">
        <v>41</v>
      </c>
      <c r="L1769" s="2" t="s">
        <v>42</v>
      </c>
    </row>
    <row r="1770" spans="1:12" x14ac:dyDescent="0.2">
      <c r="A1770" s="2">
        <v>101005</v>
      </c>
      <c r="B1770" s="2" t="s">
        <v>1026</v>
      </c>
      <c r="C1770" s="2" t="s">
        <v>916</v>
      </c>
      <c r="D1770" s="2" t="s">
        <v>37</v>
      </c>
      <c r="E1770" s="2" t="s">
        <v>69</v>
      </c>
      <c r="F1770" s="2" t="s">
        <v>223</v>
      </c>
      <c r="G1770" s="2" t="s">
        <v>62</v>
      </c>
      <c r="H1770" s="2">
        <v>11</v>
      </c>
      <c r="I1770" s="2"/>
      <c r="J1770" s="2">
        <v>0.05</v>
      </c>
      <c r="K1770" s="2" t="s">
        <v>24</v>
      </c>
      <c r="L1770" s="2" t="s">
        <v>25</v>
      </c>
    </row>
    <row r="1771" spans="1:12" x14ac:dyDescent="0.2">
      <c r="A1771" s="2">
        <v>101256</v>
      </c>
      <c r="B1771" s="17">
        <v>45330</v>
      </c>
      <c r="C1771" s="2" t="s">
        <v>902</v>
      </c>
      <c r="D1771" s="2" t="s">
        <v>109</v>
      </c>
      <c r="E1771" s="2" t="s">
        <v>21</v>
      </c>
      <c r="F1771" s="2" t="s">
        <v>74</v>
      </c>
      <c r="G1771" s="2" t="s">
        <v>232</v>
      </c>
      <c r="H1771" s="2">
        <v>11</v>
      </c>
      <c r="I1771" s="2">
        <v>1330.25</v>
      </c>
      <c r="J1771" s="2">
        <v>0</v>
      </c>
      <c r="K1771" s="2" t="s">
        <v>83</v>
      </c>
      <c r="L1771" s="2" t="s">
        <v>121</v>
      </c>
    </row>
    <row r="1772" spans="1:12" x14ac:dyDescent="0.2">
      <c r="A1772" s="2">
        <v>101235</v>
      </c>
      <c r="B1772" s="17">
        <v>45636</v>
      </c>
      <c r="C1772" s="2" t="s">
        <v>481</v>
      </c>
      <c r="D1772" s="2" t="s">
        <v>48</v>
      </c>
      <c r="E1772" s="2" t="s">
        <v>49</v>
      </c>
      <c r="F1772" s="2" t="s">
        <v>15</v>
      </c>
      <c r="G1772" s="2" t="s">
        <v>152</v>
      </c>
      <c r="H1772" s="2">
        <v>6</v>
      </c>
      <c r="I1772" s="2">
        <v>4266.42</v>
      </c>
      <c r="J1772" s="2"/>
      <c r="K1772" s="2" t="s">
        <v>17</v>
      </c>
      <c r="L1772" s="2" t="s">
        <v>25</v>
      </c>
    </row>
    <row r="1773" spans="1:12" x14ac:dyDescent="0.2">
      <c r="A1773" s="2">
        <v>101665</v>
      </c>
      <c r="B1773" s="18">
        <v>45648</v>
      </c>
      <c r="C1773" s="2" t="s">
        <v>387</v>
      </c>
      <c r="D1773" s="2" t="s">
        <v>13</v>
      </c>
      <c r="E1773" s="2" t="s">
        <v>119</v>
      </c>
      <c r="F1773" s="2" t="s">
        <v>223</v>
      </c>
      <c r="G1773" s="2" t="s">
        <v>207</v>
      </c>
      <c r="H1773" s="2">
        <v>8</v>
      </c>
      <c r="I1773" s="2"/>
      <c r="J1773" s="2">
        <v>0.05</v>
      </c>
      <c r="K1773" s="2" t="s">
        <v>83</v>
      </c>
      <c r="L1773" s="2" t="s">
        <v>42</v>
      </c>
    </row>
    <row r="1774" spans="1:12" x14ac:dyDescent="0.2">
      <c r="A1774" s="2">
        <v>100144</v>
      </c>
      <c r="B1774" s="17">
        <v>45482</v>
      </c>
      <c r="C1774" s="2" t="s">
        <v>962</v>
      </c>
      <c r="D1774" s="2" t="s">
        <v>175</v>
      </c>
      <c r="E1774" s="2" t="s">
        <v>38</v>
      </c>
      <c r="F1774" s="2" t="s">
        <v>113</v>
      </c>
      <c r="G1774" s="2" t="s">
        <v>292</v>
      </c>
      <c r="H1774" s="2">
        <v>3</v>
      </c>
      <c r="I1774" s="2">
        <v>685.87</v>
      </c>
      <c r="J1774" s="2">
        <v>5</v>
      </c>
      <c r="K1774" s="2" t="s">
        <v>41</v>
      </c>
      <c r="L1774" s="2" t="s">
        <v>87</v>
      </c>
    </row>
    <row r="1775" spans="1:12" x14ac:dyDescent="0.2">
      <c r="A1775" s="2">
        <v>100754</v>
      </c>
      <c r="B1775" s="17">
        <v>45560</v>
      </c>
      <c r="C1775" s="2" t="s">
        <v>759</v>
      </c>
      <c r="D1775" s="2" t="s">
        <v>61</v>
      </c>
      <c r="E1775" s="2" t="s">
        <v>119</v>
      </c>
      <c r="F1775" s="2" t="s">
        <v>15</v>
      </c>
      <c r="G1775" s="2" t="s">
        <v>152</v>
      </c>
      <c r="H1775" s="2">
        <v>2</v>
      </c>
      <c r="I1775" s="2" t="s">
        <v>1027</v>
      </c>
      <c r="J1775" s="2">
        <v>0</v>
      </c>
      <c r="K1775" s="2" t="s">
        <v>24</v>
      </c>
      <c r="L1775" s="2" t="s">
        <v>52</v>
      </c>
    </row>
    <row r="1776" spans="1:12" x14ac:dyDescent="0.2">
      <c r="A1776" s="2">
        <v>100520</v>
      </c>
      <c r="B1776" s="18">
        <v>45602</v>
      </c>
      <c r="C1776" s="2" t="s">
        <v>195</v>
      </c>
      <c r="D1776" s="2" t="s">
        <v>48</v>
      </c>
      <c r="E1776" s="2" t="s">
        <v>79</v>
      </c>
      <c r="F1776" s="2" t="s">
        <v>15</v>
      </c>
      <c r="G1776" s="2" t="s">
        <v>59</v>
      </c>
      <c r="H1776" s="2">
        <v>2</v>
      </c>
      <c r="I1776" s="2">
        <v>15118.42</v>
      </c>
      <c r="J1776" s="2"/>
      <c r="K1776" s="2" t="s">
        <v>83</v>
      </c>
      <c r="L1776" s="2" t="s">
        <v>143</v>
      </c>
    </row>
    <row r="1777" spans="1:12" x14ac:dyDescent="0.2">
      <c r="A1777" s="2"/>
      <c r="B1777" s="2"/>
      <c r="C1777" s="2"/>
      <c r="D1777" s="2"/>
      <c r="E1777" s="2"/>
      <c r="F1777" s="2"/>
      <c r="G1777" s="2"/>
      <c r="H1777" s="2"/>
      <c r="I1777" s="2"/>
      <c r="J1777" s="2"/>
      <c r="K1777" s="2"/>
      <c r="L1777" s="2"/>
    </row>
    <row r="1778" spans="1:12" x14ac:dyDescent="0.2">
      <c r="A1778" s="2">
        <v>101323</v>
      </c>
      <c r="B1778" s="18">
        <v>45483</v>
      </c>
      <c r="C1778" s="2" t="s">
        <v>934</v>
      </c>
      <c r="D1778" s="2" t="s">
        <v>181</v>
      </c>
      <c r="E1778" s="2" t="s">
        <v>119</v>
      </c>
      <c r="F1778" s="2" t="s">
        <v>191</v>
      </c>
      <c r="G1778" s="2" t="s">
        <v>205</v>
      </c>
      <c r="H1778" s="2">
        <v>10</v>
      </c>
      <c r="I1778" s="2">
        <v>9734.74</v>
      </c>
      <c r="J1778" s="2">
        <v>0</v>
      </c>
      <c r="K1778" s="2" t="s">
        <v>17</v>
      </c>
      <c r="L1778" s="2" t="s">
        <v>25</v>
      </c>
    </row>
    <row r="1779" spans="1:12" x14ac:dyDescent="0.2">
      <c r="A1779" s="2">
        <v>100823</v>
      </c>
      <c r="B1779" s="17">
        <v>45561</v>
      </c>
      <c r="C1779" s="2" t="s">
        <v>1028</v>
      </c>
      <c r="D1779" s="2" t="s">
        <v>44</v>
      </c>
      <c r="E1779" s="2" t="s">
        <v>32</v>
      </c>
      <c r="F1779" s="2" t="s">
        <v>96</v>
      </c>
      <c r="G1779" s="2" t="s">
        <v>153</v>
      </c>
      <c r="H1779" s="2">
        <v>10</v>
      </c>
      <c r="I1779" s="2">
        <v>24756.06</v>
      </c>
      <c r="J1779" s="2">
        <v>0.1</v>
      </c>
      <c r="K1779" s="2" t="s">
        <v>41</v>
      </c>
      <c r="L1779" s="2" t="s">
        <v>87</v>
      </c>
    </row>
    <row r="1780" spans="1:12" x14ac:dyDescent="0.2">
      <c r="A1780" s="2">
        <v>100429</v>
      </c>
      <c r="B1780" s="17">
        <v>45318</v>
      </c>
      <c r="C1780" s="2" t="s">
        <v>760</v>
      </c>
      <c r="D1780" s="2" t="s">
        <v>131</v>
      </c>
      <c r="E1780" s="2" t="s">
        <v>21</v>
      </c>
      <c r="F1780" s="2" t="s">
        <v>155</v>
      </c>
      <c r="G1780" s="2" t="s">
        <v>156</v>
      </c>
      <c r="H1780" s="2">
        <v>4</v>
      </c>
      <c r="I1780" s="2">
        <v>3198.09</v>
      </c>
      <c r="J1780" s="2">
        <v>0</v>
      </c>
      <c r="K1780" s="2" t="s">
        <v>83</v>
      </c>
      <c r="L1780" s="2" t="s">
        <v>42</v>
      </c>
    </row>
    <row r="1781" spans="1:12" x14ac:dyDescent="0.2">
      <c r="A1781" s="2">
        <v>100613</v>
      </c>
      <c r="B1781" s="17">
        <v>45380</v>
      </c>
      <c r="C1781" s="2" t="s">
        <v>91</v>
      </c>
      <c r="D1781" s="2" t="s">
        <v>101</v>
      </c>
      <c r="E1781" s="2" t="s">
        <v>38</v>
      </c>
      <c r="F1781" s="2" t="s">
        <v>74</v>
      </c>
      <c r="G1781" s="2" t="s">
        <v>23</v>
      </c>
      <c r="H1781" s="2">
        <v>3</v>
      </c>
      <c r="I1781" s="2">
        <v>1405.99</v>
      </c>
      <c r="J1781" s="2">
        <v>0.15</v>
      </c>
      <c r="K1781" s="2" t="s">
        <v>29</v>
      </c>
      <c r="L1781" s="2" t="s">
        <v>42</v>
      </c>
    </row>
    <row r="1782" spans="1:12" x14ac:dyDescent="0.2">
      <c r="A1782" s="2">
        <v>101506</v>
      </c>
      <c r="B1782" s="17">
        <v>45554</v>
      </c>
      <c r="C1782" s="2"/>
      <c r="D1782" s="2" t="s">
        <v>85</v>
      </c>
      <c r="E1782" s="2" t="s">
        <v>14</v>
      </c>
      <c r="F1782" s="2" t="s">
        <v>96</v>
      </c>
      <c r="G1782" s="2" t="s">
        <v>97</v>
      </c>
      <c r="H1782" s="2">
        <v>7</v>
      </c>
      <c r="I1782" s="2">
        <v>25985.38</v>
      </c>
      <c r="J1782" s="2">
        <v>15</v>
      </c>
      <c r="K1782" s="2" t="s">
        <v>41</v>
      </c>
      <c r="L1782" s="2" t="s">
        <v>143</v>
      </c>
    </row>
    <row r="1783" spans="1:12" x14ac:dyDescent="0.2">
      <c r="A1783" s="2">
        <v>101033</v>
      </c>
      <c r="B1783" s="17">
        <v>45456</v>
      </c>
      <c r="C1783" s="2" t="s">
        <v>139</v>
      </c>
      <c r="D1783" s="2" t="s">
        <v>20</v>
      </c>
      <c r="E1783" s="2" t="s">
        <v>133</v>
      </c>
      <c r="F1783" s="2" t="s">
        <v>80</v>
      </c>
      <c r="G1783" s="2" t="s">
        <v>93</v>
      </c>
      <c r="H1783" s="2">
        <v>9</v>
      </c>
      <c r="I1783" s="2">
        <v>186.71</v>
      </c>
      <c r="J1783" s="2">
        <v>0.05</v>
      </c>
      <c r="K1783" s="2" t="s">
        <v>41</v>
      </c>
      <c r="L1783" s="2" t="s">
        <v>52</v>
      </c>
    </row>
    <row r="1784" spans="1:12" x14ac:dyDescent="0.2">
      <c r="A1784" s="2">
        <v>100157</v>
      </c>
      <c r="B1784" s="2" t="s">
        <v>950</v>
      </c>
      <c r="C1784" s="2" t="s">
        <v>200</v>
      </c>
      <c r="D1784" s="2" t="s">
        <v>13</v>
      </c>
      <c r="E1784" s="2" t="s">
        <v>14</v>
      </c>
      <c r="F1784" s="2" t="s">
        <v>22</v>
      </c>
      <c r="G1784" s="2" t="s">
        <v>75</v>
      </c>
      <c r="H1784" s="2">
        <v>9</v>
      </c>
      <c r="I1784" s="2">
        <v>3198.61</v>
      </c>
      <c r="J1784" s="2">
        <v>0</v>
      </c>
      <c r="K1784" s="2" t="s">
        <v>24</v>
      </c>
      <c r="L1784" s="2" t="s">
        <v>87</v>
      </c>
    </row>
    <row r="1785" spans="1:12" x14ac:dyDescent="0.2">
      <c r="A1785" s="2">
        <v>100540</v>
      </c>
      <c r="B1785" s="18">
        <v>45502</v>
      </c>
      <c r="C1785" s="2" t="s">
        <v>653</v>
      </c>
      <c r="D1785" s="2" t="s">
        <v>140</v>
      </c>
      <c r="E1785" s="2" t="s">
        <v>79</v>
      </c>
      <c r="F1785" s="2" t="s">
        <v>191</v>
      </c>
      <c r="G1785" s="2" t="s">
        <v>16</v>
      </c>
      <c r="H1785" s="2">
        <v>8</v>
      </c>
      <c r="I1785" s="2">
        <v>7749.29</v>
      </c>
      <c r="J1785" s="2">
        <v>5</v>
      </c>
      <c r="K1785" s="2" t="s">
        <v>29</v>
      </c>
      <c r="L1785" s="2" t="s">
        <v>25</v>
      </c>
    </row>
    <row r="1786" spans="1:12" x14ac:dyDescent="0.2">
      <c r="A1786" s="2">
        <v>101531</v>
      </c>
      <c r="B1786" s="17">
        <v>45433</v>
      </c>
      <c r="C1786" s="2" t="s">
        <v>627</v>
      </c>
      <c r="D1786" s="2" t="s">
        <v>175</v>
      </c>
      <c r="E1786" s="2" t="s">
        <v>38</v>
      </c>
      <c r="F1786" s="2" t="s">
        <v>15</v>
      </c>
      <c r="G1786" s="2" t="s">
        <v>152</v>
      </c>
      <c r="H1786" s="2">
        <v>10</v>
      </c>
      <c r="I1786" s="2">
        <v>2152.46</v>
      </c>
      <c r="J1786" s="2">
        <v>0.05</v>
      </c>
      <c r="K1786" s="2" t="s">
        <v>24</v>
      </c>
      <c r="L1786" s="2" t="s">
        <v>42</v>
      </c>
    </row>
    <row r="1787" spans="1:12" x14ac:dyDescent="0.2">
      <c r="A1787" s="2">
        <v>101461</v>
      </c>
      <c r="B1787" s="18">
        <v>45487</v>
      </c>
      <c r="C1787" s="2" t="s">
        <v>555</v>
      </c>
      <c r="D1787" s="2" t="s">
        <v>95</v>
      </c>
      <c r="E1787" s="2" t="s">
        <v>133</v>
      </c>
      <c r="F1787" s="2" t="s">
        <v>22</v>
      </c>
      <c r="G1787" s="2" t="s">
        <v>141</v>
      </c>
      <c r="H1787" s="2">
        <v>11</v>
      </c>
      <c r="I1787" s="2" t="s">
        <v>1029</v>
      </c>
      <c r="J1787" s="2">
        <v>25</v>
      </c>
      <c r="K1787" s="2" t="s">
        <v>29</v>
      </c>
      <c r="L1787" s="2" t="s">
        <v>52</v>
      </c>
    </row>
    <row r="1788" spans="1:12" x14ac:dyDescent="0.2">
      <c r="A1788" s="2">
        <v>101291</v>
      </c>
      <c r="B1788" s="18">
        <v>45362</v>
      </c>
      <c r="C1788" s="2" t="s">
        <v>299</v>
      </c>
      <c r="D1788" s="2" t="s">
        <v>181</v>
      </c>
      <c r="E1788" s="2" t="s">
        <v>14</v>
      </c>
      <c r="F1788" s="2" t="s">
        <v>74</v>
      </c>
      <c r="G1788" s="2" t="s">
        <v>145</v>
      </c>
      <c r="H1788" s="2">
        <v>11</v>
      </c>
      <c r="I1788" s="2">
        <v>2332.67</v>
      </c>
      <c r="J1788" s="2">
        <v>0</v>
      </c>
      <c r="K1788" s="2" t="s">
        <v>17</v>
      </c>
      <c r="L1788" s="2" t="s">
        <v>25</v>
      </c>
    </row>
    <row r="1789" spans="1:12" x14ac:dyDescent="0.2">
      <c r="A1789" s="2">
        <v>100462</v>
      </c>
      <c r="B1789" s="17">
        <v>45495</v>
      </c>
      <c r="C1789" s="2" t="s">
        <v>623</v>
      </c>
      <c r="D1789" s="2" t="s">
        <v>73</v>
      </c>
      <c r="E1789" s="2" t="s">
        <v>49</v>
      </c>
      <c r="F1789" s="2" t="s">
        <v>55</v>
      </c>
      <c r="G1789" s="2" t="s">
        <v>207</v>
      </c>
      <c r="H1789" s="2">
        <v>8</v>
      </c>
      <c r="I1789" s="2">
        <v>4773.21</v>
      </c>
      <c r="J1789" s="2">
        <v>0</v>
      </c>
      <c r="K1789" s="2" t="s">
        <v>66</v>
      </c>
      <c r="L1789" s="2" t="s">
        <v>35</v>
      </c>
    </row>
    <row r="1790" spans="1:12" x14ac:dyDescent="0.2">
      <c r="A1790" s="2">
        <v>100577</v>
      </c>
      <c r="B1790" s="17">
        <v>45461</v>
      </c>
      <c r="C1790" s="2" t="s">
        <v>970</v>
      </c>
      <c r="D1790" s="2" t="s">
        <v>95</v>
      </c>
      <c r="E1790" s="2" t="s">
        <v>133</v>
      </c>
      <c r="F1790" s="2" t="s">
        <v>191</v>
      </c>
      <c r="G1790" s="2" t="s">
        <v>152</v>
      </c>
      <c r="H1790" s="2">
        <v>12</v>
      </c>
      <c r="I1790" s="2">
        <v>9590.59</v>
      </c>
      <c r="J1790" s="2">
        <v>0.1</v>
      </c>
      <c r="K1790" s="2" t="s">
        <v>17</v>
      </c>
      <c r="L1790" s="2" t="s">
        <v>121</v>
      </c>
    </row>
    <row r="1791" spans="1:12" x14ac:dyDescent="0.2">
      <c r="A1791" s="2">
        <v>101363</v>
      </c>
      <c r="B1791" s="18">
        <v>45315</v>
      </c>
      <c r="C1791" s="2" t="s">
        <v>546</v>
      </c>
      <c r="D1791" s="2" t="s">
        <v>31</v>
      </c>
      <c r="E1791" s="2" t="s">
        <v>54</v>
      </c>
      <c r="F1791" s="2" t="s">
        <v>28</v>
      </c>
      <c r="G1791" s="2" t="s">
        <v>16</v>
      </c>
      <c r="H1791" s="2">
        <v>9</v>
      </c>
      <c r="I1791" s="2">
        <v>4619.28</v>
      </c>
      <c r="J1791" s="2">
        <v>0.15</v>
      </c>
      <c r="K1791" s="2" t="s">
        <v>24</v>
      </c>
      <c r="L1791" s="2" t="s">
        <v>121</v>
      </c>
    </row>
    <row r="1792" spans="1:12" x14ac:dyDescent="0.2">
      <c r="A1792" s="2">
        <v>100256</v>
      </c>
      <c r="B1792" s="2" t="s">
        <v>580</v>
      </c>
      <c r="C1792" s="2" t="s">
        <v>575</v>
      </c>
      <c r="D1792" s="2" t="s">
        <v>101</v>
      </c>
      <c r="E1792" s="2" t="s">
        <v>38</v>
      </c>
      <c r="F1792" s="2" t="s">
        <v>86</v>
      </c>
      <c r="G1792" s="2" t="s">
        <v>153</v>
      </c>
      <c r="H1792" s="2">
        <v>3</v>
      </c>
      <c r="I1792" s="2">
        <v>18728.150000000001</v>
      </c>
      <c r="J1792" s="2">
        <v>0.25</v>
      </c>
      <c r="K1792" s="2" t="s">
        <v>66</v>
      </c>
      <c r="L1792" s="2" t="s">
        <v>18</v>
      </c>
    </row>
    <row r="1793" spans="1:12" x14ac:dyDescent="0.2">
      <c r="A1793" s="2">
        <v>100980</v>
      </c>
      <c r="B1793" s="18">
        <v>45468</v>
      </c>
      <c r="C1793" s="2" t="s">
        <v>728</v>
      </c>
      <c r="D1793" s="2" t="s">
        <v>37</v>
      </c>
      <c r="E1793" s="2" t="s">
        <v>38</v>
      </c>
      <c r="F1793" s="2" t="s">
        <v>191</v>
      </c>
      <c r="G1793" s="2" t="s">
        <v>116</v>
      </c>
      <c r="H1793" s="2">
        <v>12</v>
      </c>
      <c r="I1793" s="2">
        <v>3814.76</v>
      </c>
      <c r="J1793" s="2">
        <v>0</v>
      </c>
      <c r="K1793" s="2" t="s">
        <v>17</v>
      </c>
      <c r="L1793" s="2" t="s">
        <v>87</v>
      </c>
    </row>
    <row r="1794" spans="1:12" x14ac:dyDescent="0.2">
      <c r="A1794" s="2">
        <v>101186</v>
      </c>
      <c r="B1794" s="17">
        <v>45587</v>
      </c>
      <c r="C1794" s="2" t="s">
        <v>531</v>
      </c>
      <c r="D1794" s="2" t="s">
        <v>27</v>
      </c>
      <c r="E1794" s="2" t="s">
        <v>21</v>
      </c>
      <c r="F1794" s="2" t="s">
        <v>80</v>
      </c>
      <c r="G1794" s="2" t="s">
        <v>81</v>
      </c>
      <c r="H1794" s="2">
        <v>9</v>
      </c>
      <c r="I1794" s="2">
        <v>102.11</v>
      </c>
      <c r="J1794" s="2">
        <v>0.05</v>
      </c>
      <c r="K1794" s="2" t="s">
        <v>66</v>
      </c>
      <c r="L1794" s="2" t="s">
        <v>25</v>
      </c>
    </row>
    <row r="1795" spans="1:12" x14ac:dyDescent="0.2">
      <c r="A1795" s="2">
        <v>101007</v>
      </c>
      <c r="B1795" s="17">
        <v>45400</v>
      </c>
      <c r="C1795" s="2" t="s">
        <v>793</v>
      </c>
      <c r="D1795" s="2" t="s">
        <v>109</v>
      </c>
      <c r="E1795" s="2" t="s">
        <v>21</v>
      </c>
      <c r="F1795" s="2" t="s">
        <v>70</v>
      </c>
      <c r="G1795" s="2" t="s">
        <v>149</v>
      </c>
      <c r="H1795" s="2">
        <v>11</v>
      </c>
      <c r="I1795" s="2">
        <v>10964.97</v>
      </c>
      <c r="J1795" s="2">
        <v>0</v>
      </c>
      <c r="K1795" s="2" t="s">
        <v>83</v>
      </c>
      <c r="L1795" s="2" t="s">
        <v>52</v>
      </c>
    </row>
    <row r="1796" spans="1:12" x14ac:dyDescent="0.2">
      <c r="A1796" s="2">
        <v>101522</v>
      </c>
      <c r="B1796" s="18">
        <v>45644</v>
      </c>
      <c r="C1796" s="2" t="s">
        <v>1030</v>
      </c>
      <c r="D1796" s="2" t="s">
        <v>20</v>
      </c>
      <c r="E1796" s="2" t="s">
        <v>133</v>
      </c>
      <c r="F1796" s="2" t="s">
        <v>102</v>
      </c>
      <c r="G1796" s="2" t="s">
        <v>103</v>
      </c>
      <c r="H1796" s="2">
        <v>3</v>
      </c>
      <c r="I1796" s="2">
        <v>2823.24</v>
      </c>
      <c r="J1796" s="2">
        <v>0.15</v>
      </c>
      <c r="K1796" s="2" t="s">
        <v>41</v>
      </c>
      <c r="L1796" s="2" t="s">
        <v>25</v>
      </c>
    </row>
    <row r="1797" spans="1:12" x14ac:dyDescent="0.2">
      <c r="A1797" s="2">
        <v>101690</v>
      </c>
      <c r="B1797" s="17">
        <v>45590</v>
      </c>
      <c r="C1797" s="2" t="s">
        <v>391</v>
      </c>
      <c r="D1797" s="2" t="s">
        <v>85</v>
      </c>
      <c r="E1797" s="2" t="s">
        <v>14</v>
      </c>
      <c r="F1797" s="2" t="s">
        <v>80</v>
      </c>
      <c r="G1797" s="2" t="s">
        <v>34</v>
      </c>
      <c r="H1797" s="2">
        <v>11</v>
      </c>
      <c r="I1797" s="2">
        <v>294.47000000000003</v>
      </c>
      <c r="J1797" s="2">
        <v>0</v>
      </c>
      <c r="K1797" s="2" t="s">
        <v>66</v>
      </c>
      <c r="L1797" s="2" t="s">
        <v>52</v>
      </c>
    </row>
    <row r="1798" spans="1:12" x14ac:dyDescent="0.2">
      <c r="A1798" s="2">
        <v>100561</v>
      </c>
      <c r="B1798" s="18">
        <v>45334</v>
      </c>
      <c r="C1798" s="2" t="s">
        <v>286</v>
      </c>
      <c r="D1798" s="2" t="s">
        <v>109</v>
      </c>
      <c r="E1798" s="2" t="s">
        <v>21</v>
      </c>
      <c r="F1798" s="2" t="s">
        <v>74</v>
      </c>
      <c r="G1798" s="2" t="s">
        <v>75</v>
      </c>
      <c r="H1798" s="2">
        <v>7</v>
      </c>
      <c r="I1798" s="2">
        <v>2493.35</v>
      </c>
      <c r="J1798" s="2">
        <v>0</v>
      </c>
      <c r="K1798" s="2" t="s">
        <v>41</v>
      </c>
      <c r="L1798" s="2" t="s">
        <v>121</v>
      </c>
    </row>
    <row r="1799" spans="1:12" x14ac:dyDescent="0.2">
      <c r="A1799" s="2">
        <v>100209</v>
      </c>
      <c r="B1799" s="18">
        <v>45416</v>
      </c>
      <c r="C1799" s="2" t="s">
        <v>276</v>
      </c>
      <c r="D1799" s="2" t="s">
        <v>31</v>
      </c>
      <c r="E1799" s="2" t="s">
        <v>32</v>
      </c>
      <c r="F1799" s="2" t="s">
        <v>155</v>
      </c>
      <c r="G1799" s="2" t="s">
        <v>135</v>
      </c>
      <c r="H1799" s="2">
        <v>9</v>
      </c>
      <c r="I1799" s="2">
        <v>4288.0600000000004</v>
      </c>
      <c r="J1799" s="2">
        <v>0.25</v>
      </c>
      <c r="K1799" s="2" t="s">
        <v>41</v>
      </c>
      <c r="L1799" s="2" t="s">
        <v>35</v>
      </c>
    </row>
    <row r="1800" spans="1:12" x14ac:dyDescent="0.2">
      <c r="A1800" s="2">
        <v>100911</v>
      </c>
      <c r="B1800" s="17">
        <v>45297</v>
      </c>
      <c r="C1800" s="2" t="s">
        <v>544</v>
      </c>
      <c r="D1800" s="2" t="s">
        <v>44</v>
      </c>
      <c r="E1800" s="2" t="s">
        <v>54</v>
      </c>
      <c r="F1800" s="2" t="s">
        <v>223</v>
      </c>
      <c r="G1800" s="2" t="s">
        <v>56</v>
      </c>
      <c r="H1800" s="2">
        <v>6</v>
      </c>
      <c r="I1800" s="2">
        <v>4086.43</v>
      </c>
      <c r="J1800" s="2"/>
      <c r="K1800" s="2" t="s">
        <v>24</v>
      </c>
      <c r="L1800" s="2" t="s">
        <v>87</v>
      </c>
    </row>
    <row r="1801" spans="1:12" x14ac:dyDescent="0.2">
      <c r="A1801" s="2">
        <v>101312</v>
      </c>
      <c r="B1801" s="2" t="s">
        <v>860</v>
      </c>
      <c r="C1801" s="2" t="s">
        <v>250</v>
      </c>
      <c r="D1801" s="2" t="s">
        <v>160</v>
      </c>
      <c r="E1801" s="2" t="s">
        <v>49</v>
      </c>
      <c r="F1801" s="2" t="s">
        <v>102</v>
      </c>
      <c r="G1801" s="2" t="s">
        <v>135</v>
      </c>
      <c r="H1801" s="2">
        <v>10</v>
      </c>
      <c r="I1801" s="2">
        <v>2798.5</v>
      </c>
      <c r="J1801" s="2">
        <v>0.15</v>
      </c>
      <c r="K1801" s="2" t="s">
        <v>29</v>
      </c>
      <c r="L1801" s="2" t="s">
        <v>25</v>
      </c>
    </row>
    <row r="1802" spans="1:12" x14ac:dyDescent="0.2">
      <c r="A1802" s="2">
        <v>100002</v>
      </c>
      <c r="B1802" s="17">
        <v>45314</v>
      </c>
      <c r="C1802" s="2" t="s">
        <v>310</v>
      </c>
      <c r="D1802" s="2" t="s">
        <v>109</v>
      </c>
      <c r="E1802" s="2" t="s">
        <v>133</v>
      </c>
      <c r="F1802" s="2" t="s">
        <v>50</v>
      </c>
      <c r="G1802" s="2" t="s">
        <v>56</v>
      </c>
      <c r="H1802" s="2">
        <v>6</v>
      </c>
      <c r="I1802" s="2">
        <v>8649.35</v>
      </c>
      <c r="J1802" s="2">
        <v>0.15</v>
      </c>
      <c r="K1802" s="2" t="s">
        <v>66</v>
      </c>
      <c r="L1802" s="2" t="s">
        <v>52</v>
      </c>
    </row>
    <row r="1803" spans="1:12" x14ac:dyDescent="0.2">
      <c r="A1803" s="2">
        <v>101366</v>
      </c>
      <c r="B1803" s="18">
        <v>45447</v>
      </c>
      <c r="C1803" s="2" t="s">
        <v>1031</v>
      </c>
      <c r="D1803" s="2" t="s">
        <v>44</v>
      </c>
      <c r="E1803" s="2" t="s">
        <v>32</v>
      </c>
      <c r="F1803" s="2" t="s">
        <v>113</v>
      </c>
      <c r="G1803" s="2" t="s">
        <v>292</v>
      </c>
      <c r="H1803" s="2">
        <v>9</v>
      </c>
      <c r="I1803" s="2">
        <v>487.84</v>
      </c>
      <c r="J1803" s="2"/>
      <c r="K1803" s="2" t="s">
        <v>83</v>
      </c>
      <c r="L1803" s="2" t="s">
        <v>25</v>
      </c>
    </row>
    <row r="1804" spans="1:12" x14ac:dyDescent="0.2">
      <c r="A1804" s="2">
        <v>100270</v>
      </c>
      <c r="B1804" s="18">
        <v>45568</v>
      </c>
      <c r="C1804" s="2"/>
      <c r="D1804" s="2" t="s">
        <v>73</v>
      </c>
      <c r="E1804" s="2" t="s">
        <v>49</v>
      </c>
      <c r="F1804" s="2" t="s">
        <v>39</v>
      </c>
      <c r="G1804" s="2" t="s">
        <v>114</v>
      </c>
      <c r="H1804" s="2">
        <v>11</v>
      </c>
      <c r="I1804" s="2">
        <v>494.85</v>
      </c>
      <c r="J1804" s="2">
        <v>0</v>
      </c>
      <c r="K1804" s="2" t="s">
        <v>41</v>
      </c>
      <c r="L1804" s="2" t="s">
        <v>35</v>
      </c>
    </row>
    <row r="1805" spans="1:12" x14ac:dyDescent="0.2">
      <c r="A1805" s="2">
        <v>100266</v>
      </c>
      <c r="B1805" s="17">
        <v>45468</v>
      </c>
      <c r="C1805" s="2" t="s">
        <v>142</v>
      </c>
      <c r="D1805" s="2" t="s">
        <v>95</v>
      </c>
      <c r="E1805" s="2" t="s">
        <v>133</v>
      </c>
      <c r="F1805" s="2" t="s">
        <v>155</v>
      </c>
      <c r="G1805" s="2" t="s">
        <v>103</v>
      </c>
      <c r="H1805" s="2">
        <v>6</v>
      </c>
      <c r="I1805" s="2">
        <v>2962.29</v>
      </c>
      <c r="J1805" s="2">
        <v>0.1</v>
      </c>
      <c r="K1805" s="2" t="s">
        <v>17</v>
      </c>
      <c r="L1805" s="2" t="s">
        <v>52</v>
      </c>
    </row>
    <row r="1806" spans="1:12" x14ac:dyDescent="0.2">
      <c r="A1806" s="2">
        <v>100915</v>
      </c>
      <c r="B1806" s="17">
        <v>45626</v>
      </c>
      <c r="C1806" s="2" t="s">
        <v>179</v>
      </c>
      <c r="D1806" s="2" t="s">
        <v>61</v>
      </c>
      <c r="E1806" s="2" t="s">
        <v>119</v>
      </c>
      <c r="F1806" s="2" t="s">
        <v>102</v>
      </c>
      <c r="G1806" s="2" t="s">
        <v>135</v>
      </c>
      <c r="H1806" s="2">
        <v>5</v>
      </c>
      <c r="I1806" s="2">
        <v>3343.02</v>
      </c>
      <c r="J1806" s="2">
        <v>0</v>
      </c>
      <c r="K1806" s="2" t="s">
        <v>24</v>
      </c>
      <c r="L1806" s="2" t="s">
        <v>52</v>
      </c>
    </row>
    <row r="1807" spans="1:12" x14ac:dyDescent="0.2">
      <c r="A1807" s="2">
        <v>100231</v>
      </c>
      <c r="B1807" s="18">
        <v>45410</v>
      </c>
      <c r="C1807" s="2" t="s">
        <v>891</v>
      </c>
      <c r="D1807" s="2" t="s">
        <v>129</v>
      </c>
      <c r="E1807" s="2" t="s">
        <v>49</v>
      </c>
      <c r="F1807" s="2" t="s">
        <v>223</v>
      </c>
      <c r="G1807" s="2" t="s">
        <v>207</v>
      </c>
      <c r="H1807" s="2">
        <v>2</v>
      </c>
      <c r="I1807" s="2"/>
      <c r="J1807" s="2"/>
      <c r="K1807" s="2" t="s">
        <v>66</v>
      </c>
      <c r="L1807" s="2" t="s">
        <v>121</v>
      </c>
    </row>
    <row r="1808" spans="1:12" x14ac:dyDescent="0.2">
      <c r="A1808" s="2">
        <v>101999</v>
      </c>
      <c r="B1808" s="2" t="s">
        <v>1026</v>
      </c>
      <c r="C1808" s="2" t="s">
        <v>258</v>
      </c>
      <c r="D1808" s="2" t="s">
        <v>27</v>
      </c>
      <c r="E1808" s="2" t="s">
        <v>133</v>
      </c>
      <c r="F1808" s="2" t="s">
        <v>45</v>
      </c>
      <c r="G1808" s="2" t="s">
        <v>97</v>
      </c>
      <c r="H1808" s="2">
        <v>8</v>
      </c>
      <c r="I1808" s="2">
        <v>36175.69</v>
      </c>
      <c r="J1808" s="2">
        <v>0.25</v>
      </c>
      <c r="K1808" s="2" t="s">
        <v>29</v>
      </c>
      <c r="L1808" s="2" t="s">
        <v>25</v>
      </c>
    </row>
    <row r="1809" spans="1:12" x14ac:dyDescent="0.2">
      <c r="A1809" s="2">
        <v>101120</v>
      </c>
      <c r="B1809" s="17">
        <v>45426</v>
      </c>
      <c r="C1809" s="2" t="s">
        <v>1032</v>
      </c>
      <c r="D1809" s="2" t="s">
        <v>48</v>
      </c>
      <c r="E1809" s="2" t="s">
        <v>49</v>
      </c>
      <c r="F1809" s="2" t="s">
        <v>55</v>
      </c>
      <c r="G1809" s="2" t="s">
        <v>51</v>
      </c>
      <c r="H1809" s="2">
        <v>3</v>
      </c>
      <c r="I1809" s="2" t="s">
        <v>1033</v>
      </c>
      <c r="J1809" s="2">
        <v>0.1</v>
      </c>
      <c r="K1809" s="2" t="s">
        <v>17</v>
      </c>
      <c r="L1809" s="2" t="s">
        <v>25</v>
      </c>
    </row>
    <row r="1810" spans="1:12" x14ac:dyDescent="0.2">
      <c r="A1810" s="2">
        <v>101993</v>
      </c>
      <c r="B1810" s="18">
        <v>45590</v>
      </c>
      <c r="C1810" s="2" t="s">
        <v>636</v>
      </c>
      <c r="D1810" s="2" t="s">
        <v>129</v>
      </c>
      <c r="E1810" s="2" t="s">
        <v>49</v>
      </c>
      <c r="F1810" s="2" t="s">
        <v>102</v>
      </c>
      <c r="G1810" s="2" t="s">
        <v>156</v>
      </c>
      <c r="H1810" s="2">
        <v>12</v>
      </c>
      <c r="I1810" s="2">
        <v>1365.08</v>
      </c>
      <c r="J1810" s="2">
        <v>0.2</v>
      </c>
      <c r="K1810" s="2" t="s">
        <v>17</v>
      </c>
      <c r="L1810" s="2" t="s">
        <v>143</v>
      </c>
    </row>
    <row r="1811" spans="1:12" x14ac:dyDescent="0.2">
      <c r="A1811" s="2">
        <v>100865</v>
      </c>
      <c r="B1811" s="18">
        <v>45612</v>
      </c>
      <c r="C1811" s="2" t="s">
        <v>189</v>
      </c>
      <c r="D1811" s="2" t="s">
        <v>37</v>
      </c>
      <c r="E1811" s="2" t="s">
        <v>38</v>
      </c>
      <c r="F1811" s="2" t="s">
        <v>33</v>
      </c>
      <c r="G1811" s="2" t="s">
        <v>34</v>
      </c>
      <c r="H1811" s="2">
        <v>4</v>
      </c>
      <c r="I1811" s="2"/>
      <c r="J1811" s="2">
        <v>10</v>
      </c>
      <c r="K1811" s="2" t="s">
        <v>83</v>
      </c>
      <c r="L1811" s="2" t="s">
        <v>121</v>
      </c>
    </row>
    <row r="1812" spans="1:12" x14ac:dyDescent="0.2">
      <c r="A1812" s="2">
        <v>101067</v>
      </c>
      <c r="B1812" s="18">
        <v>45344</v>
      </c>
      <c r="C1812" s="2" t="s">
        <v>901</v>
      </c>
      <c r="D1812" s="2" t="s">
        <v>37</v>
      </c>
      <c r="E1812" s="2" t="s">
        <v>69</v>
      </c>
      <c r="F1812" s="2" t="s">
        <v>102</v>
      </c>
      <c r="G1812" s="2" t="s">
        <v>156</v>
      </c>
      <c r="H1812" s="2">
        <v>4</v>
      </c>
      <c r="I1812" s="2">
        <v>722.44</v>
      </c>
      <c r="J1812" s="2">
        <v>0.2</v>
      </c>
      <c r="K1812" s="2" t="s">
        <v>66</v>
      </c>
      <c r="L1812" s="2" t="s">
        <v>143</v>
      </c>
    </row>
    <row r="1813" spans="1:12" x14ac:dyDescent="0.2">
      <c r="A1813" s="2">
        <v>100874</v>
      </c>
      <c r="B1813" s="17">
        <v>45589</v>
      </c>
      <c r="C1813" s="2" t="s">
        <v>512</v>
      </c>
      <c r="D1813" s="2" t="s">
        <v>31</v>
      </c>
      <c r="E1813" s="2" t="s">
        <v>32</v>
      </c>
      <c r="F1813" s="2" t="s">
        <v>223</v>
      </c>
      <c r="G1813" s="2" t="s">
        <v>56</v>
      </c>
      <c r="H1813" s="2">
        <v>4</v>
      </c>
      <c r="I1813" s="2">
        <v>6214.13</v>
      </c>
      <c r="J1813" s="2">
        <v>0</v>
      </c>
      <c r="K1813" s="2" t="s">
        <v>83</v>
      </c>
      <c r="L1813" s="2" t="s">
        <v>143</v>
      </c>
    </row>
    <row r="1814" spans="1:12" x14ac:dyDescent="0.2">
      <c r="A1814" s="2">
        <v>101817</v>
      </c>
      <c r="B1814" s="17">
        <v>45449</v>
      </c>
      <c r="C1814" s="2" t="s">
        <v>733</v>
      </c>
      <c r="D1814" s="2" t="s">
        <v>27</v>
      </c>
      <c r="E1814" s="2" t="s">
        <v>133</v>
      </c>
      <c r="F1814" s="2" t="s">
        <v>80</v>
      </c>
      <c r="G1814" s="2" t="s">
        <v>34</v>
      </c>
      <c r="H1814" s="2">
        <v>10</v>
      </c>
      <c r="I1814" s="2">
        <v>416.14</v>
      </c>
      <c r="J1814" s="2">
        <v>25</v>
      </c>
      <c r="K1814" s="2" t="s">
        <v>24</v>
      </c>
      <c r="L1814" s="2" t="s">
        <v>25</v>
      </c>
    </row>
    <row r="1815" spans="1:12" x14ac:dyDescent="0.2">
      <c r="A1815" s="2">
        <v>100399</v>
      </c>
      <c r="B1815" s="2" t="s">
        <v>983</v>
      </c>
      <c r="C1815" s="2" t="s">
        <v>530</v>
      </c>
      <c r="D1815" s="2" t="s">
        <v>31</v>
      </c>
      <c r="E1815" s="2" t="s">
        <v>32</v>
      </c>
      <c r="F1815" s="2" t="s">
        <v>55</v>
      </c>
      <c r="G1815" s="2" t="s">
        <v>207</v>
      </c>
      <c r="H1815" s="2">
        <v>3</v>
      </c>
      <c r="I1815" s="2" t="s">
        <v>1034</v>
      </c>
      <c r="J1815" s="2">
        <v>0</v>
      </c>
      <c r="K1815" s="2" t="s">
        <v>17</v>
      </c>
      <c r="L1815" s="2" t="s">
        <v>42</v>
      </c>
    </row>
    <row r="1816" spans="1:12" x14ac:dyDescent="0.2">
      <c r="A1816" s="2">
        <v>101848</v>
      </c>
      <c r="B1816" s="18">
        <v>45633</v>
      </c>
      <c r="C1816" s="2" t="s">
        <v>963</v>
      </c>
      <c r="D1816" s="2" t="s">
        <v>31</v>
      </c>
      <c r="E1816" s="2" t="s">
        <v>32</v>
      </c>
      <c r="F1816" s="2" t="s">
        <v>80</v>
      </c>
      <c r="G1816" s="2" t="s">
        <v>158</v>
      </c>
      <c r="H1816" s="2">
        <v>9</v>
      </c>
      <c r="I1816" s="2">
        <v>332.81</v>
      </c>
      <c r="J1816" s="2">
        <v>10</v>
      </c>
      <c r="K1816" s="2" t="s">
        <v>66</v>
      </c>
      <c r="L1816" s="2" t="s">
        <v>42</v>
      </c>
    </row>
    <row r="1817" spans="1:12" x14ac:dyDescent="0.2">
      <c r="A1817" s="2">
        <v>101653</v>
      </c>
      <c r="B1817" s="18">
        <v>45417</v>
      </c>
      <c r="C1817" s="2" t="s">
        <v>771</v>
      </c>
      <c r="D1817" s="2" t="s">
        <v>13</v>
      </c>
      <c r="E1817" s="2" t="s">
        <v>119</v>
      </c>
      <c r="F1817" s="2" t="s">
        <v>50</v>
      </c>
      <c r="G1817" s="2" t="s">
        <v>99</v>
      </c>
      <c r="H1817" s="2">
        <v>5</v>
      </c>
      <c r="I1817" s="2">
        <v>10569.69</v>
      </c>
      <c r="J1817" s="2">
        <v>0.2</v>
      </c>
      <c r="K1817" s="2" t="s">
        <v>83</v>
      </c>
      <c r="L1817" s="2" t="s">
        <v>25</v>
      </c>
    </row>
    <row r="1818" spans="1:12" x14ac:dyDescent="0.2">
      <c r="A1818" s="2">
        <v>100046</v>
      </c>
      <c r="B1818" s="2" t="s">
        <v>971</v>
      </c>
      <c r="C1818" s="2" t="s">
        <v>387</v>
      </c>
      <c r="D1818" s="2" t="s">
        <v>44</v>
      </c>
      <c r="E1818" s="2" t="s">
        <v>32</v>
      </c>
      <c r="F1818" s="2" t="s">
        <v>70</v>
      </c>
      <c r="G1818" s="2" t="s">
        <v>153</v>
      </c>
      <c r="H1818" s="2">
        <v>12</v>
      </c>
      <c r="I1818" s="2">
        <v>44462.85</v>
      </c>
      <c r="J1818" s="2">
        <v>0.05</v>
      </c>
      <c r="K1818" s="2" t="s">
        <v>29</v>
      </c>
      <c r="L1818" s="2" t="s">
        <v>52</v>
      </c>
    </row>
    <row r="1819" spans="1:12" x14ac:dyDescent="0.2">
      <c r="A1819" s="2">
        <v>100162</v>
      </c>
      <c r="B1819" s="17">
        <v>45424</v>
      </c>
      <c r="C1819" s="2" t="s">
        <v>943</v>
      </c>
      <c r="D1819" s="2" t="s">
        <v>101</v>
      </c>
      <c r="E1819" s="2" t="s">
        <v>69</v>
      </c>
      <c r="F1819" s="2" t="s">
        <v>155</v>
      </c>
      <c r="G1819" s="2" t="s">
        <v>137</v>
      </c>
      <c r="H1819" s="2">
        <v>8</v>
      </c>
      <c r="I1819" s="2">
        <v>3224.7</v>
      </c>
      <c r="J1819" s="2">
        <v>0.15</v>
      </c>
      <c r="K1819" s="2" t="s">
        <v>66</v>
      </c>
      <c r="L1819" s="2" t="s">
        <v>42</v>
      </c>
    </row>
    <row r="1820" spans="1:12" x14ac:dyDescent="0.2">
      <c r="A1820" s="2">
        <v>100992</v>
      </c>
      <c r="B1820" s="18">
        <v>45357</v>
      </c>
      <c r="C1820" s="2" t="s">
        <v>1035</v>
      </c>
      <c r="D1820" s="2" t="s">
        <v>58</v>
      </c>
      <c r="E1820" s="2" t="s">
        <v>69</v>
      </c>
      <c r="F1820" s="2" t="s">
        <v>45</v>
      </c>
      <c r="G1820" s="2" t="s">
        <v>149</v>
      </c>
      <c r="H1820" s="2">
        <v>-3</v>
      </c>
      <c r="I1820" s="2">
        <v>7058.73</v>
      </c>
      <c r="J1820" s="2">
        <v>0</v>
      </c>
      <c r="K1820" s="2" t="s">
        <v>41</v>
      </c>
      <c r="L1820" s="2" t="s">
        <v>52</v>
      </c>
    </row>
    <row r="1821" spans="1:12" x14ac:dyDescent="0.2">
      <c r="A1821" s="2">
        <v>100728</v>
      </c>
      <c r="B1821" s="2" t="s">
        <v>1036</v>
      </c>
      <c r="C1821" s="2" t="s">
        <v>873</v>
      </c>
      <c r="D1821" s="2" t="s">
        <v>140</v>
      </c>
      <c r="E1821" s="2" t="s">
        <v>49</v>
      </c>
      <c r="F1821" s="2" t="s">
        <v>106</v>
      </c>
      <c r="G1821" s="2" t="s">
        <v>135</v>
      </c>
      <c r="H1821" s="2">
        <v>10</v>
      </c>
      <c r="I1821" s="2">
        <v>3265.2</v>
      </c>
      <c r="J1821" s="2">
        <v>0</v>
      </c>
      <c r="K1821" s="2" t="s">
        <v>17</v>
      </c>
      <c r="L1821" s="2" t="s">
        <v>42</v>
      </c>
    </row>
    <row r="1822" spans="1:12" x14ac:dyDescent="0.2">
      <c r="A1822" s="2">
        <v>100630</v>
      </c>
      <c r="B1822" s="17">
        <v>45542</v>
      </c>
      <c r="C1822" s="2" t="s">
        <v>479</v>
      </c>
      <c r="D1822" s="2" t="s">
        <v>44</v>
      </c>
      <c r="E1822" s="2" t="s">
        <v>32</v>
      </c>
      <c r="F1822" s="2" t="s">
        <v>80</v>
      </c>
      <c r="G1822" s="2" t="s">
        <v>34</v>
      </c>
      <c r="H1822" s="2">
        <v>4</v>
      </c>
      <c r="I1822" s="2">
        <v>426.72</v>
      </c>
      <c r="J1822" s="2">
        <v>0</v>
      </c>
      <c r="K1822" s="2" t="s">
        <v>83</v>
      </c>
      <c r="L1822" s="2" t="s">
        <v>25</v>
      </c>
    </row>
    <row r="1823" spans="1:12" x14ac:dyDescent="0.2">
      <c r="A1823" s="2">
        <v>100289</v>
      </c>
      <c r="B1823" s="18">
        <v>45404</v>
      </c>
      <c r="C1823" s="2" t="s">
        <v>541</v>
      </c>
      <c r="D1823" s="2" t="s">
        <v>20</v>
      </c>
      <c r="E1823" s="2" t="s">
        <v>133</v>
      </c>
      <c r="F1823" s="2" t="s">
        <v>191</v>
      </c>
      <c r="G1823" s="2" t="s">
        <v>205</v>
      </c>
      <c r="H1823" s="2">
        <v>2</v>
      </c>
      <c r="I1823" s="2">
        <v>2738.18</v>
      </c>
      <c r="J1823" s="2">
        <v>0</v>
      </c>
      <c r="K1823" s="2" t="s">
        <v>66</v>
      </c>
      <c r="L1823" s="2" t="s">
        <v>121</v>
      </c>
    </row>
    <row r="1824" spans="1:12" x14ac:dyDescent="0.2">
      <c r="A1824" s="2">
        <v>101614</v>
      </c>
      <c r="B1824" s="18">
        <v>45588</v>
      </c>
      <c r="C1824" s="2" t="s">
        <v>681</v>
      </c>
      <c r="D1824" s="2" t="s">
        <v>95</v>
      </c>
      <c r="E1824" s="2" t="s">
        <v>21</v>
      </c>
      <c r="F1824" s="2" t="s">
        <v>39</v>
      </c>
      <c r="G1824" s="2" t="s">
        <v>40</v>
      </c>
      <c r="H1824" s="2">
        <v>9</v>
      </c>
      <c r="I1824" s="2">
        <v>806.43</v>
      </c>
      <c r="J1824" s="2">
        <v>0.2</v>
      </c>
      <c r="K1824" s="2" t="s">
        <v>41</v>
      </c>
      <c r="L1824" s="2" t="s">
        <v>52</v>
      </c>
    </row>
    <row r="1825" spans="1:12" x14ac:dyDescent="0.2">
      <c r="A1825" s="2">
        <v>101060</v>
      </c>
      <c r="B1825" s="17">
        <v>45536</v>
      </c>
      <c r="C1825" s="2" t="s">
        <v>724</v>
      </c>
      <c r="D1825" s="2" t="s">
        <v>20</v>
      </c>
      <c r="E1825" s="2" t="s">
        <v>21</v>
      </c>
      <c r="F1825" s="2" t="s">
        <v>74</v>
      </c>
      <c r="G1825" s="2" t="s">
        <v>232</v>
      </c>
      <c r="H1825" s="2">
        <v>2</v>
      </c>
      <c r="I1825" s="2">
        <v>2565.04</v>
      </c>
      <c r="J1825" s="2">
        <v>0.15</v>
      </c>
      <c r="K1825" s="2" t="s">
        <v>66</v>
      </c>
      <c r="L1825" s="2" t="s">
        <v>121</v>
      </c>
    </row>
    <row r="1826" spans="1:12" x14ac:dyDescent="0.2">
      <c r="A1826" s="2">
        <v>101977</v>
      </c>
      <c r="B1826" s="18">
        <v>45315</v>
      </c>
      <c r="C1826" s="2" t="s">
        <v>893</v>
      </c>
      <c r="D1826" s="2" t="s">
        <v>48</v>
      </c>
      <c r="E1826" s="2" t="s">
        <v>49</v>
      </c>
      <c r="F1826" s="2" t="s">
        <v>80</v>
      </c>
      <c r="G1826" s="2" t="s">
        <v>81</v>
      </c>
      <c r="H1826" s="2">
        <v>3</v>
      </c>
      <c r="I1826" s="2" t="s">
        <v>1037</v>
      </c>
      <c r="J1826" s="2">
        <v>0.2</v>
      </c>
      <c r="K1826" s="2" t="s">
        <v>83</v>
      </c>
      <c r="L1826" s="2" t="s">
        <v>121</v>
      </c>
    </row>
    <row r="1827" spans="1:12" x14ac:dyDescent="0.2">
      <c r="A1827" s="2">
        <v>100576</v>
      </c>
      <c r="B1827" s="18">
        <v>45426</v>
      </c>
      <c r="C1827" s="2" t="s">
        <v>506</v>
      </c>
      <c r="D1827" s="2" t="s">
        <v>89</v>
      </c>
      <c r="E1827" s="2" t="s">
        <v>32</v>
      </c>
      <c r="F1827" s="2" t="s">
        <v>74</v>
      </c>
      <c r="G1827" s="2" t="s">
        <v>23</v>
      </c>
      <c r="H1827" s="2">
        <v>11</v>
      </c>
      <c r="I1827" s="2">
        <v>1526.46</v>
      </c>
      <c r="J1827" s="2">
        <v>0</v>
      </c>
      <c r="K1827" s="2" t="s">
        <v>29</v>
      </c>
      <c r="L1827" s="2" t="s">
        <v>18</v>
      </c>
    </row>
    <row r="1828" spans="1:12" x14ac:dyDescent="0.2">
      <c r="A1828" s="2">
        <v>100851</v>
      </c>
      <c r="B1828" s="18">
        <v>45603</v>
      </c>
      <c r="C1828" s="2" t="s">
        <v>281</v>
      </c>
      <c r="D1828" s="2" t="s">
        <v>37</v>
      </c>
      <c r="E1828" s="2" t="s">
        <v>38</v>
      </c>
      <c r="F1828" s="2" t="s">
        <v>113</v>
      </c>
      <c r="G1828" s="2" t="s">
        <v>40</v>
      </c>
      <c r="H1828" s="2">
        <v>11</v>
      </c>
      <c r="I1828" s="2">
        <v>561.79999999999995</v>
      </c>
      <c r="J1828" s="2">
        <v>0</v>
      </c>
      <c r="K1828" s="2" t="s">
        <v>17</v>
      </c>
      <c r="L1828" s="2" t="s">
        <v>35</v>
      </c>
    </row>
    <row r="1829" spans="1:12" x14ac:dyDescent="0.2">
      <c r="A1829" s="2">
        <v>101340</v>
      </c>
      <c r="B1829" s="18">
        <v>45301</v>
      </c>
      <c r="C1829" s="2" t="s">
        <v>443</v>
      </c>
      <c r="D1829" s="2" t="s">
        <v>92</v>
      </c>
      <c r="E1829" s="2" t="s">
        <v>32</v>
      </c>
      <c r="F1829" s="2" t="s">
        <v>39</v>
      </c>
      <c r="G1829" s="2" t="s">
        <v>292</v>
      </c>
      <c r="H1829" s="2">
        <v>4</v>
      </c>
      <c r="I1829" s="2">
        <v>383.46</v>
      </c>
      <c r="J1829" s="2">
        <v>0</v>
      </c>
      <c r="K1829" s="2" t="s">
        <v>83</v>
      </c>
      <c r="L1829" s="2" t="s">
        <v>87</v>
      </c>
    </row>
    <row r="1830" spans="1:12" x14ac:dyDescent="0.2">
      <c r="A1830" s="2">
        <v>100912</v>
      </c>
      <c r="B1830" s="18">
        <v>45474</v>
      </c>
      <c r="C1830" s="2" t="s">
        <v>1030</v>
      </c>
      <c r="D1830" s="2" t="s">
        <v>131</v>
      </c>
      <c r="E1830" s="2" t="s">
        <v>21</v>
      </c>
      <c r="F1830" s="2" t="s">
        <v>106</v>
      </c>
      <c r="G1830" s="2" t="s">
        <v>137</v>
      </c>
      <c r="H1830" s="2">
        <v>3</v>
      </c>
      <c r="I1830" s="2">
        <v>1065.74</v>
      </c>
      <c r="J1830" s="2">
        <v>0.25</v>
      </c>
      <c r="K1830" s="2" t="s">
        <v>83</v>
      </c>
      <c r="L1830" s="2" t="s">
        <v>35</v>
      </c>
    </row>
    <row r="1831" spans="1:12" x14ac:dyDescent="0.2">
      <c r="A1831" s="2">
        <v>101255</v>
      </c>
      <c r="B1831" s="17">
        <v>45437</v>
      </c>
      <c r="C1831" s="2" t="s">
        <v>190</v>
      </c>
      <c r="D1831" s="2" t="s">
        <v>85</v>
      </c>
      <c r="E1831" s="2" t="s">
        <v>14</v>
      </c>
      <c r="F1831" s="2" t="s">
        <v>113</v>
      </c>
      <c r="G1831" s="2" t="s">
        <v>114</v>
      </c>
      <c r="H1831" s="2">
        <v>2</v>
      </c>
      <c r="I1831" s="2">
        <v>150.31</v>
      </c>
      <c r="J1831" s="2">
        <v>10</v>
      </c>
      <c r="K1831" s="2" t="s">
        <v>66</v>
      </c>
      <c r="L1831" s="2" t="s">
        <v>87</v>
      </c>
    </row>
    <row r="1832" spans="1:12" x14ac:dyDescent="0.2">
      <c r="A1832" s="2">
        <v>101723</v>
      </c>
      <c r="B1832" s="18">
        <v>45546</v>
      </c>
      <c r="C1832" s="2" t="s">
        <v>19</v>
      </c>
      <c r="D1832" s="2" t="s">
        <v>160</v>
      </c>
      <c r="E1832" s="2" t="s">
        <v>49</v>
      </c>
      <c r="F1832" s="2" t="s">
        <v>223</v>
      </c>
      <c r="G1832" s="2" t="s">
        <v>207</v>
      </c>
      <c r="H1832" s="2">
        <v>5</v>
      </c>
      <c r="I1832" s="2">
        <v>6756.56</v>
      </c>
      <c r="J1832" s="2">
        <v>0</v>
      </c>
      <c r="K1832" s="2" t="s">
        <v>29</v>
      </c>
      <c r="L1832" s="2" t="s">
        <v>143</v>
      </c>
    </row>
    <row r="1833" spans="1:12" x14ac:dyDescent="0.2">
      <c r="A1833" s="2">
        <v>101914</v>
      </c>
      <c r="B1833" s="17">
        <v>45329</v>
      </c>
      <c r="C1833" s="2" t="s">
        <v>808</v>
      </c>
      <c r="D1833" s="2" t="s">
        <v>129</v>
      </c>
      <c r="E1833" s="2" t="s">
        <v>79</v>
      </c>
      <c r="F1833" s="2" t="s">
        <v>102</v>
      </c>
      <c r="G1833" s="2" t="s">
        <v>135</v>
      </c>
      <c r="H1833" s="2">
        <v>-2</v>
      </c>
      <c r="I1833" s="2" t="s">
        <v>1038</v>
      </c>
      <c r="J1833" s="2">
        <v>0.25</v>
      </c>
      <c r="K1833" s="2" t="s">
        <v>83</v>
      </c>
      <c r="L1833" s="2" t="s">
        <v>87</v>
      </c>
    </row>
    <row r="1834" spans="1:12" x14ac:dyDescent="0.2">
      <c r="A1834" s="2">
        <v>101736</v>
      </c>
      <c r="B1834" s="17">
        <v>45453</v>
      </c>
      <c r="C1834" s="2" t="s">
        <v>184</v>
      </c>
      <c r="D1834" s="2" t="s">
        <v>58</v>
      </c>
      <c r="E1834" s="2" t="s">
        <v>38</v>
      </c>
      <c r="F1834" s="2" t="s">
        <v>22</v>
      </c>
      <c r="G1834" s="2" t="s">
        <v>145</v>
      </c>
      <c r="H1834" s="2">
        <v>11</v>
      </c>
      <c r="I1834" s="2">
        <v>2316.8000000000002</v>
      </c>
      <c r="J1834" s="2"/>
      <c r="K1834" s="2" t="s">
        <v>66</v>
      </c>
      <c r="L1834" s="2" t="s">
        <v>42</v>
      </c>
    </row>
    <row r="1835" spans="1:12" x14ac:dyDescent="0.2">
      <c r="A1835" s="2">
        <v>100933</v>
      </c>
      <c r="B1835" s="2" t="s">
        <v>708</v>
      </c>
      <c r="C1835" s="2" t="s">
        <v>1039</v>
      </c>
      <c r="D1835" s="2" t="s">
        <v>160</v>
      </c>
      <c r="E1835" s="2" t="s">
        <v>49</v>
      </c>
      <c r="F1835" s="2" t="s">
        <v>191</v>
      </c>
      <c r="G1835" s="2" t="s">
        <v>16</v>
      </c>
      <c r="H1835" s="2">
        <v>12</v>
      </c>
      <c r="I1835" s="2">
        <v>16016.44</v>
      </c>
      <c r="J1835" s="2">
        <v>5</v>
      </c>
      <c r="K1835" s="2" t="s">
        <v>29</v>
      </c>
      <c r="L1835" s="2" t="s">
        <v>121</v>
      </c>
    </row>
    <row r="1836" spans="1:12" x14ac:dyDescent="0.2">
      <c r="A1836" s="2">
        <v>101101</v>
      </c>
      <c r="B1836" s="18">
        <v>45506</v>
      </c>
      <c r="C1836" s="2" t="s">
        <v>878</v>
      </c>
      <c r="D1836" s="2" t="s">
        <v>95</v>
      </c>
      <c r="E1836" s="2" t="s">
        <v>133</v>
      </c>
      <c r="F1836" s="2" t="s">
        <v>50</v>
      </c>
      <c r="G1836" s="2" t="s">
        <v>207</v>
      </c>
      <c r="H1836" s="2">
        <v>3</v>
      </c>
      <c r="I1836" s="2" t="s">
        <v>1040</v>
      </c>
      <c r="J1836" s="2"/>
      <c r="K1836" s="2" t="s">
        <v>24</v>
      </c>
      <c r="L1836" s="2" t="s">
        <v>52</v>
      </c>
    </row>
    <row r="1837" spans="1:12" x14ac:dyDescent="0.2">
      <c r="A1837" s="2">
        <v>101658</v>
      </c>
      <c r="B1837" s="17">
        <v>45590</v>
      </c>
      <c r="C1837" s="2"/>
      <c r="D1837" s="2" t="s">
        <v>109</v>
      </c>
      <c r="E1837" s="2" t="s">
        <v>133</v>
      </c>
      <c r="F1837" s="2" t="s">
        <v>223</v>
      </c>
      <c r="G1837" s="2" t="s">
        <v>56</v>
      </c>
      <c r="H1837" s="2">
        <v>9</v>
      </c>
      <c r="I1837" s="2">
        <v>6414.91</v>
      </c>
      <c r="J1837" s="2">
        <v>0.1</v>
      </c>
      <c r="K1837" s="2" t="s">
        <v>41</v>
      </c>
      <c r="L1837" s="2" t="s">
        <v>35</v>
      </c>
    </row>
    <row r="1838" spans="1:12" x14ac:dyDescent="0.2">
      <c r="A1838" s="2">
        <v>101208</v>
      </c>
      <c r="B1838" s="17">
        <v>45411</v>
      </c>
      <c r="C1838" s="2" t="s">
        <v>1041</v>
      </c>
      <c r="D1838" s="2" t="s">
        <v>27</v>
      </c>
      <c r="E1838" s="2" t="s">
        <v>133</v>
      </c>
      <c r="F1838" s="2" t="s">
        <v>64</v>
      </c>
      <c r="G1838" s="2" t="s">
        <v>292</v>
      </c>
      <c r="H1838" s="2">
        <v>2</v>
      </c>
      <c r="I1838" s="2">
        <v>430.68</v>
      </c>
      <c r="J1838" s="2">
        <v>10</v>
      </c>
      <c r="K1838" s="2" t="s">
        <v>41</v>
      </c>
      <c r="L1838" s="2" t="s">
        <v>25</v>
      </c>
    </row>
    <row r="1839" spans="1:12" x14ac:dyDescent="0.2">
      <c r="A1839" s="2">
        <v>100248</v>
      </c>
      <c r="B1839" s="17">
        <v>45364</v>
      </c>
      <c r="C1839" s="2" t="s">
        <v>455</v>
      </c>
      <c r="D1839" s="2" t="s">
        <v>48</v>
      </c>
      <c r="E1839" s="2" t="s">
        <v>49</v>
      </c>
      <c r="F1839" s="2" t="s">
        <v>102</v>
      </c>
      <c r="G1839" s="2" t="s">
        <v>137</v>
      </c>
      <c r="H1839" s="2">
        <v>5</v>
      </c>
      <c r="I1839" s="2">
        <v>1259.4000000000001</v>
      </c>
      <c r="J1839" s="2">
        <v>0</v>
      </c>
      <c r="K1839" s="2" t="s">
        <v>17</v>
      </c>
      <c r="L1839" s="2" t="s">
        <v>121</v>
      </c>
    </row>
    <row r="1840" spans="1:12" x14ac:dyDescent="0.2">
      <c r="A1840" s="2">
        <v>100477</v>
      </c>
      <c r="B1840" s="18">
        <v>45309</v>
      </c>
      <c r="C1840" s="2" t="s">
        <v>666</v>
      </c>
      <c r="D1840" s="2" t="s">
        <v>89</v>
      </c>
      <c r="E1840" s="2" t="s">
        <v>54</v>
      </c>
      <c r="F1840" s="2" t="s">
        <v>39</v>
      </c>
      <c r="G1840" s="2" t="s">
        <v>165</v>
      </c>
      <c r="H1840" s="2">
        <v>7</v>
      </c>
      <c r="I1840" s="2">
        <v>743.51</v>
      </c>
      <c r="J1840" s="2">
        <v>0</v>
      </c>
      <c r="K1840" s="2" t="s">
        <v>29</v>
      </c>
      <c r="L1840" s="2" t="s">
        <v>18</v>
      </c>
    </row>
    <row r="1841" spans="1:12" x14ac:dyDescent="0.2">
      <c r="A1841" s="2">
        <v>101695</v>
      </c>
      <c r="B1841" s="18">
        <v>45386</v>
      </c>
      <c r="C1841" s="2" t="s">
        <v>744</v>
      </c>
      <c r="D1841" s="2" t="s">
        <v>27</v>
      </c>
      <c r="E1841" s="2" t="s">
        <v>21</v>
      </c>
      <c r="F1841" s="2" t="s">
        <v>120</v>
      </c>
      <c r="G1841" s="2" t="s">
        <v>141</v>
      </c>
      <c r="H1841" s="2">
        <v>5</v>
      </c>
      <c r="I1841" s="2"/>
      <c r="J1841" s="2">
        <v>0.05</v>
      </c>
      <c r="K1841" s="2" t="s">
        <v>66</v>
      </c>
      <c r="L1841" s="2" t="s">
        <v>35</v>
      </c>
    </row>
    <row r="1842" spans="1:12" x14ac:dyDescent="0.2">
      <c r="A1842" s="2">
        <v>100086</v>
      </c>
      <c r="B1842" s="18">
        <v>45489</v>
      </c>
      <c r="C1842" s="2" t="s">
        <v>198</v>
      </c>
      <c r="D1842" s="2" t="s">
        <v>89</v>
      </c>
      <c r="E1842" s="2" t="s">
        <v>54</v>
      </c>
      <c r="F1842" s="2" t="s">
        <v>106</v>
      </c>
      <c r="G1842" s="2" t="s">
        <v>137</v>
      </c>
      <c r="H1842" s="2">
        <v>7</v>
      </c>
      <c r="I1842" s="2">
        <v>2223.71</v>
      </c>
      <c r="J1842" s="2">
        <v>0.05</v>
      </c>
      <c r="K1842" s="2" t="s">
        <v>29</v>
      </c>
      <c r="L1842" s="2" t="s">
        <v>87</v>
      </c>
    </row>
    <row r="1843" spans="1:12" x14ac:dyDescent="0.2">
      <c r="A1843" s="2">
        <v>100470</v>
      </c>
      <c r="B1843" s="18">
        <v>45390</v>
      </c>
      <c r="C1843" s="2" t="s">
        <v>240</v>
      </c>
      <c r="D1843" s="2" t="s">
        <v>160</v>
      </c>
      <c r="E1843" s="2" t="s">
        <v>79</v>
      </c>
      <c r="F1843" s="2" t="s">
        <v>45</v>
      </c>
      <c r="G1843" s="2" t="s">
        <v>46</v>
      </c>
      <c r="H1843" s="2">
        <v>12</v>
      </c>
      <c r="I1843" s="2">
        <v>35887.19</v>
      </c>
      <c r="J1843" s="2">
        <v>20</v>
      </c>
      <c r="K1843" s="2" t="s">
        <v>66</v>
      </c>
      <c r="L1843" s="2" t="s">
        <v>25</v>
      </c>
    </row>
    <row r="1844" spans="1:12" x14ac:dyDescent="0.2">
      <c r="A1844" s="2">
        <v>100226</v>
      </c>
      <c r="B1844" s="17">
        <v>45645</v>
      </c>
      <c r="C1844" s="2" t="s">
        <v>1030</v>
      </c>
      <c r="D1844" s="2" t="s">
        <v>73</v>
      </c>
      <c r="E1844" s="2" t="s">
        <v>79</v>
      </c>
      <c r="F1844" s="2" t="s">
        <v>28</v>
      </c>
      <c r="G1844" s="2" t="s">
        <v>116</v>
      </c>
      <c r="H1844" s="2">
        <v>2</v>
      </c>
      <c r="I1844" s="2">
        <v>9463.81</v>
      </c>
      <c r="J1844" s="2">
        <v>0</v>
      </c>
      <c r="K1844" s="2" t="s">
        <v>17</v>
      </c>
      <c r="L1844" s="2" t="s">
        <v>121</v>
      </c>
    </row>
    <row r="1845" spans="1:12" x14ac:dyDescent="0.2">
      <c r="A1845" s="2">
        <v>100775</v>
      </c>
      <c r="B1845" s="17">
        <v>45293</v>
      </c>
      <c r="C1845" s="2" t="s">
        <v>1042</v>
      </c>
      <c r="D1845" s="2" t="s">
        <v>31</v>
      </c>
      <c r="E1845" s="2" t="s">
        <v>54</v>
      </c>
      <c r="F1845" s="2" t="s">
        <v>39</v>
      </c>
      <c r="G1845" s="2" t="s">
        <v>114</v>
      </c>
      <c r="H1845" s="2">
        <v>7</v>
      </c>
      <c r="I1845" s="2">
        <v>392.26</v>
      </c>
      <c r="J1845" s="2">
        <v>0</v>
      </c>
      <c r="K1845" s="2" t="s">
        <v>17</v>
      </c>
      <c r="L1845" s="2" t="s">
        <v>42</v>
      </c>
    </row>
    <row r="1846" spans="1:12" x14ac:dyDescent="0.2">
      <c r="A1846" s="2">
        <v>100332</v>
      </c>
      <c r="B1846" s="17">
        <v>45412</v>
      </c>
      <c r="C1846" s="2" t="s">
        <v>490</v>
      </c>
      <c r="D1846" s="2" t="s">
        <v>140</v>
      </c>
      <c r="E1846" s="2" t="s">
        <v>49</v>
      </c>
      <c r="F1846" s="2" t="s">
        <v>191</v>
      </c>
      <c r="G1846" s="2" t="s">
        <v>116</v>
      </c>
      <c r="H1846" s="2">
        <v>12</v>
      </c>
      <c r="I1846" s="2">
        <v>17797.61</v>
      </c>
      <c r="J1846" s="2"/>
      <c r="K1846" s="2" t="s">
        <v>66</v>
      </c>
      <c r="L1846" s="2" t="s">
        <v>143</v>
      </c>
    </row>
    <row r="1847" spans="1:12" x14ac:dyDescent="0.2">
      <c r="A1847" s="2">
        <v>100234</v>
      </c>
      <c r="B1847" s="2" t="s">
        <v>848</v>
      </c>
      <c r="C1847" s="2" t="s">
        <v>219</v>
      </c>
      <c r="D1847" s="2" t="s">
        <v>95</v>
      </c>
      <c r="E1847" s="2" t="s">
        <v>133</v>
      </c>
      <c r="F1847" s="2" t="s">
        <v>86</v>
      </c>
      <c r="G1847" s="2" t="s">
        <v>97</v>
      </c>
      <c r="H1847" s="2">
        <v>2</v>
      </c>
      <c r="I1847" s="2">
        <v>23740.31</v>
      </c>
      <c r="J1847" s="2">
        <v>0</v>
      </c>
      <c r="K1847" s="2" t="s">
        <v>24</v>
      </c>
      <c r="L1847" s="2" t="s">
        <v>42</v>
      </c>
    </row>
    <row r="1848" spans="1:12" x14ac:dyDescent="0.2">
      <c r="A1848" s="2">
        <v>100589</v>
      </c>
      <c r="B1848" s="18">
        <v>45329</v>
      </c>
      <c r="C1848" s="2" t="s">
        <v>391</v>
      </c>
      <c r="D1848" s="2" t="s">
        <v>92</v>
      </c>
      <c r="E1848" s="2" t="s">
        <v>54</v>
      </c>
      <c r="F1848" s="2" t="s">
        <v>102</v>
      </c>
      <c r="G1848" s="2" t="s">
        <v>103</v>
      </c>
      <c r="H1848" s="2">
        <v>6</v>
      </c>
      <c r="I1848" s="2" t="s">
        <v>1043</v>
      </c>
      <c r="J1848" s="2">
        <v>10</v>
      </c>
      <c r="K1848" s="2" t="s">
        <v>66</v>
      </c>
      <c r="L1848" s="2" t="s">
        <v>52</v>
      </c>
    </row>
    <row r="1849" spans="1:12" x14ac:dyDescent="0.2">
      <c r="A1849" s="2">
        <v>100476</v>
      </c>
      <c r="B1849" s="17">
        <v>45435</v>
      </c>
      <c r="C1849" s="2" t="s">
        <v>78</v>
      </c>
      <c r="D1849" s="2" t="s">
        <v>58</v>
      </c>
      <c r="E1849" s="2" t="s">
        <v>38</v>
      </c>
      <c r="F1849" s="2" t="s">
        <v>86</v>
      </c>
      <c r="G1849" s="2" t="s">
        <v>111</v>
      </c>
      <c r="H1849" s="2">
        <v>8</v>
      </c>
      <c r="I1849" s="2">
        <v>25490.12</v>
      </c>
      <c r="J1849" s="2">
        <v>5</v>
      </c>
      <c r="K1849" s="2" t="s">
        <v>17</v>
      </c>
      <c r="L1849" s="2" t="s">
        <v>42</v>
      </c>
    </row>
    <row r="1850" spans="1:12" x14ac:dyDescent="0.2">
      <c r="A1850" s="2">
        <v>101285</v>
      </c>
      <c r="B1850" s="17">
        <v>45487</v>
      </c>
      <c r="C1850" s="2" t="s">
        <v>1030</v>
      </c>
      <c r="D1850" s="2" t="s">
        <v>109</v>
      </c>
      <c r="E1850" s="2" t="s">
        <v>133</v>
      </c>
      <c r="F1850" s="2" t="s">
        <v>22</v>
      </c>
      <c r="G1850" s="2" t="s">
        <v>23</v>
      </c>
      <c r="H1850" s="2">
        <v>12</v>
      </c>
      <c r="I1850" s="2">
        <v>1692.63</v>
      </c>
      <c r="J1850" s="2">
        <v>0</v>
      </c>
      <c r="K1850" s="2" t="s">
        <v>29</v>
      </c>
      <c r="L1850" s="2" t="s">
        <v>121</v>
      </c>
    </row>
    <row r="1851" spans="1:12" x14ac:dyDescent="0.2">
      <c r="A1851" s="2">
        <v>101891</v>
      </c>
      <c r="B1851" s="18">
        <v>45458</v>
      </c>
      <c r="C1851" s="2" t="s">
        <v>698</v>
      </c>
      <c r="D1851" s="2" t="s">
        <v>89</v>
      </c>
      <c r="E1851" s="2" t="s">
        <v>32</v>
      </c>
      <c r="F1851" s="2" t="s">
        <v>15</v>
      </c>
      <c r="G1851" s="2" t="s">
        <v>205</v>
      </c>
      <c r="H1851" s="2">
        <v>2</v>
      </c>
      <c r="I1851" s="2">
        <v>21732.41</v>
      </c>
      <c r="J1851" s="2">
        <v>15</v>
      </c>
      <c r="K1851" s="2" t="s">
        <v>24</v>
      </c>
      <c r="L1851" s="2" t="s">
        <v>42</v>
      </c>
    </row>
    <row r="1852" spans="1:12" x14ac:dyDescent="0.2">
      <c r="A1852" s="2">
        <v>100600</v>
      </c>
      <c r="B1852" s="17">
        <v>45618</v>
      </c>
      <c r="C1852" s="2" t="s">
        <v>190</v>
      </c>
      <c r="D1852" s="2" t="s">
        <v>27</v>
      </c>
      <c r="E1852" s="2" t="s">
        <v>21</v>
      </c>
      <c r="F1852" s="2" t="s">
        <v>22</v>
      </c>
      <c r="G1852" s="2" t="s">
        <v>23</v>
      </c>
      <c r="H1852" s="2">
        <v>8</v>
      </c>
      <c r="I1852" s="2" t="s">
        <v>1044</v>
      </c>
      <c r="J1852" s="2">
        <v>25</v>
      </c>
      <c r="K1852" s="2" t="s">
        <v>17</v>
      </c>
      <c r="L1852" s="2" t="s">
        <v>18</v>
      </c>
    </row>
    <row r="1853" spans="1:12" x14ac:dyDescent="0.2">
      <c r="A1853" s="2">
        <v>100422</v>
      </c>
      <c r="B1853" s="2" t="s">
        <v>511</v>
      </c>
      <c r="C1853" s="2" t="s">
        <v>188</v>
      </c>
      <c r="D1853" s="2" t="s">
        <v>20</v>
      </c>
      <c r="E1853" s="2" t="s">
        <v>21</v>
      </c>
      <c r="F1853" s="2" t="s">
        <v>155</v>
      </c>
      <c r="G1853" s="2" t="s">
        <v>103</v>
      </c>
      <c r="H1853" s="2">
        <v>6</v>
      </c>
      <c r="I1853" s="2">
        <v>1059.42</v>
      </c>
      <c r="J1853" s="2">
        <v>0</v>
      </c>
      <c r="K1853" s="2" t="s">
        <v>17</v>
      </c>
      <c r="L1853" s="2" t="s">
        <v>121</v>
      </c>
    </row>
    <row r="1854" spans="1:12" x14ac:dyDescent="0.2">
      <c r="A1854" s="2">
        <v>101712</v>
      </c>
      <c r="B1854" s="18">
        <v>45444</v>
      </c>
      <c r="C1854" s="2" t="s">
        <v>660</v>
      </c>
      <c r="D1854" s="2" t="s">
        <v>92</v>
      </c>
      <c r="E1854" s="2" t="s">
        <v>32</v>
      </c>
      <c r="F1854" s="2" t="s">
        <v>124</v>
      </c>
      <c r="G1854" s="2" t="s">
        <v>99</v>
      </c>
      <c r="H1854" s="2">
        <v>7</v>
      </c>
      <c r="I1854" s="2">
        <v>7982.17</v>
      </c>
      <c r="J1854" s="2">
        <v>0</v>
      </c>
      <c r="K1854" s="2" t="s">
        <v>24</v>
      </c>
      <c r="L1854" s="2" t="s">
        <v>25</v>
      </c>
    </row>
    <row r="1855" spans="1:12" x14ac:dyDescent="0.2">
      <c r="A1855" s="2">
        <v>100183</v>
      </c>
      <c r="B1855" s="18">
        <v>45298</v>
      </c>
      <c r="C1855" s="2" t="s">
        <v>258</v>
      </c>
      <c r="D1855" s="2" t="s">
        <v>95</v>
      </c>
      <c r="E1855" s="2" t="s">
        <v>133</v>
      </c>
      <c r="F1855" s="2" t="s">
        <v>33</v>
      </c>
      <c r="G1855" s="2" t="s">
        <v>81</v>
      </c>
      <c r="H1855" s="2">
        <v>12</v>
      </c>
      <c r="I1855" s="2">
        <v>350.5</v>
      </c>
      <c r="J1855" s="2">
        <v>0.1</v>
      </c>
      <c r="K1855" s="2" t="s">
        <v>41</v>
      </c>
      <c r="L1855" s="2" t="s">
        <v>42</v>
      </c>
    </row>
    <row r="1856" spans="1:12" x14ac:dyDescent="0.2">
      <c r="A1856" s="2">
        <v>100989</v>
      </c>
      <c r="B1856" s="2" t="s">
        <v>1045</v>
      </c>
      <c r="C1856" s="2" t="s">
        <v>435</v>
      </c>
      <c r="D1856" s="2" t="s">
        <v>89</v>
      </c>
      <c r="E1856" s="2" t="s">
        <v>54</v>
      </c>
      <c r="F1856" s="2" t="s">
        <v>28</v>
      </c>
      <c r="G1856" s="2" t="s">
        <v>152</v>
      </c>
      <c r="H1856" s="2">
        <v>11</v>
      </c>
      <c r="I1856" s="2">
        <v>4196.28</v>
      </c>
      <c r="J1856" s="2">
        <v>0</v>
      </c>
      <c r="K1856" s="2" t="s">
        <v>83</v>
      </c>
      <c r="L1856" s="2" t="s">
        <v>143</v>
      </c>
    </row>
    <row r="1857" spans="1:12" x14ac:dyDescent="0.2">
      <c r="A1857" s="2">
        <v>101001</v>
      </c>
      <c r="B1857" s="17">
        <v>45645</v>
      </c>
      <c r="C1857" s="2" t="s">
        <v>426</v>
      </c>
      <c r="D1857" s="2" t="s">
        <v>73</v>
      </c>
      <c r="E1857" s="2" t="s">
        <v>79</v>
      </c>
      <c r="F1857" s="2" t="s">
        <v>155</v>
      </c>
      <c r="G1857" s="2" t="s">
        <v>137</v>
      </c>
      <c r="H1857" s="2">
        <v>1</v>
      </c>
      <c r="I1857" s="2"/>
      <c r="J1857" s="2">
        <v>0.25</v>
      </c>
      <c r="K1857" s="2" t="s">
        <v>29</v>
      </c>
      <c r="L1857" s="2" t="s">
        <v>25</v>
      </c>
    </row>
    <row r="1858" spans="1:12" x14ac:dyDescent="0.2">
      <c r="A1858" s="2">
        <v>101642</v>
      </c>
      <c r="B1858" s="18">
        <v>45351</v>
      </c>
      <c r="C1858" s="2" t="s">
        <v>594</v>
      </c>
      <c r="D1858" s="2" t="s">
        <v>95</v>
      </c>
      <c r="E1858" s="2" t="s">
        <v>21</v>
      </c>
      <c r="F1858" s="2" t="s">
        <v>102</v>
      </c>
      <c r="G1858" s="2" t="s">
        <v>156</v>
      </c>
      <c r="H1858" s="2">
        <v>1</v>
      </c>
      <c r="I1858" s="2">
        <v>2958.9</v>
      </c>
      <c r="J1858" s="2">
        <v>0</v>
      </c>
      <c r="K1858" s="2" t="s">
        <v>66</v>
      </c>
      <c r="L1858" s="2" t="s">
        <v>87</v>
      </c>
    </row>
    <row r="1859" spans="1:12" x14ac:dyDescent="0.2">
      <c r="A1859" s="2">
        <v>101357</v>
      </c>
      <c r="B1859" s="18">
        <v>45359</v>
      </c>
      <c r="C1859" s="2" t="s">
        <v>258</v>
      </c>
      <c r="D1859" s="2" t="s">
        <v>48</v>
      </c>
      <c r="E1859" s="2" t="s">
        <v>49</v>
      </c>
      <c r="F1859" s="2" t="s">
        <v>28</v>
      </c>
      <c r="G1859" s="2" t="s">
        <v>116</v>
      </c>
      <c r="H1859" s="2">
        <v>6</v>
      </c>
      <c r="I1859" s="2">
        <v>5617.5</v>
      </c>
      <c r="J1859" s="2">
        <v>0</v>
      </c>
      <c r="K1859" s="2" t="s">
        <v>83</v>
      </c>
      <c r="L1859" s="2" t="s">
        <v>18</v>
      </c>
    </row>
    <row r="1860" spans="1:12" x14ac:dyDescent="0.2">
      <c r="A1860" s="2">
        <v>101463</v>
      </c>
      <c r="B1860" s="18">
        <v>45622</v>
      </c>
      <c r="C1860" s="2" t="s">
        <v>284</v>
      </c>
      <c r="D1860" s="2" t="s">
        <v>13</v>
      </c>
      <c r="E1860" s="2" t="s">
        <v>14</v>
      </c>
      <c r="F1860" s="2" t="s">
        <v>28</v>
      </c>
      <c r="G1860" s="2" t="s">
        <v>59</v>
      </c>
      <c r="H1860" s="2">
        <v>3</v>
      </c>
      <c r="I1860" s="2">
        <v>5012.57</v>
      </c>
      <c r="J1860" s="2">
        <v>0.25</v>
      </c>
      <c r="K1860" s="2" t="s">
        <v>41</v>
      </c>
      <c r="L1860" s="2" t="s">
        <v>121</v>
      </c>
    </row>
    <row r="1861" spans="1:12" x14ac:dyDescent="0.2">
      <c r="A1861" s="2">
        <v>100050</v>
      </c>
      <c r="B1861" s="17">
        <v>45332</v>
      </c>
      <c r="C1861" s="2" t="s">
        <v>638</v>
      </c>
      <c r="D1861" s="2" t="s">
        <v>13</v>
      </c>
      <c r="E1861" s="2" t="s">
        <v>119</v>
      </c>
      <c r="F1861" s="2" t="s">
        <v>80</v>
      </c>
      <c r="G1861" s="2" t="s">
        <v>81</v>
      </c>
      <c r="H1861" s="2">
        <v>1</v>
      </c>
      <c r="I1861" s="2"/>
      <c r="J1861" s="2">
        <v>0</v>
      </c>
      <c r="K1861" s="2" t="s">
        <v>29</v>
      </c>
      <c r="L1861" s="2" t="s">
        <v>25</v>
      </c>
    </row>
    <row r="1862" spans="1:12" x14ac:dyDescent="0.2">
      <c r="A1862" s="2">
        <v>101898</v>
      </c>
      <c r="B1862" s="17">
        <v>45478</v>
      </c>
      <c r="C1862" s="2" t="s">
        <v>533</v>
      </c>
      <c r="D1862" s="2" t="s">
        <v>160</v>
      </c>
      <c r="E1862" s="2" t="s">
        <v>79</v>
      </c>
      <c r="F1862" s="2" t="s">
        <v>64</v>
      </c>
      <c r="G1862" s="2" t="s">
        <v>242</v>
      </c>
      <c r="H1862" s="2">
        <v>11</v>
      </c>
      <c r="I1862" s="2"/>
      <c r="J1862" s="2">
        <v>0.25</v>
      </c>
      <c r="K1862" s="2" t="s">
        <v>17</v>
      </c>
      <c r="L1862" s="2" t="s">
        <v>25</v>
      </c>
    </row>
    <row r="1863" spans="1:12" x14ac:dyDescent="0.2">
      <c r="A1863" s="2">
        <v>101030</v>
      </c>
      <c r="B1863" s="17">
        <v>45454</v>
      </c>
      <c r="C1863" s="2" t="s">
        <v>871</v>
      </c>
      <c r="D1863" s="2" t="s">
        <v>48</v>
      </c>
      <c r="E1863" s="2" t="s">
        <v>79</v>
      </c>
      <c r="F1863" s="2" t="s">
        <v>80</v>
      </c>
      <c r="G1863" s="2" t="s">
        <v>81</v>
      </c>
      <c r="H1863" s="2">
        <v>12</v>
      </c>
      <c r="I1863" s="2">
        <v>528.5</v>
      </c>
      <c r="J1863" s="2">
        <v>0.05</v>
      </c>
      <c r="K1863" s="2" t="s">
        <v>66</v>
      </c>
      <c r="L1863" s="2" t="s">
        <v>87</v>
      </c>
    </row>
    <row r="1864" spans="1:12" x14ac:dyDescent="0.2">
      <c r="A1864" s="2">
        <v>100530</v>
      </c>
      <c r="B1864" s="17">
        <v>45453</v>
      </c>
      <c r="C1864" s="2" t="s">
        <v>762</v>
      </c>
      <c r="D1864" s="2" t="s">
        <v>129</v>
      </c>
      <c r="E1864" s="2" t="s">
        <v>79</v>
      </c>
      <c r="F1864" s="2" t="s">
        <v>33</v>
      </c>
      <c r="G1864" s="2" t="s">
        <v>34</v>
      </c>
      <c r="H1864" s="2">
        <v>11</v>
      </c>
      <c r="I1864" s="2">
        <v>216.46</v>
      </c>
      <c r="J1864" s="2">
        <v>0</v>
      </c>
      <c r="K1864" s="2" t="s">
        <v>83</v>
      </c>
      <c r="L1864" s="2" t="s">
        <v>42</v>
      </c>
    </row>
    <row r="1865" spans="1:12" x14ac:dyDescent="0.2">
      <c r="A1865" s="2">
        <v>101259</v>
      </c>
      <c r="B1865" s="18">
        <v>45477</v>
      </c>
      <c r="C1865" s="2" t="s">
        <v>312</v>
      </c>
      <c r="D1865" s="2" t="s">
        <v>20</v>
      </c>
      <c r="E1865" s="2" t="s">
        <v>21</v>
      </c>
      <c r="F1865" s="2" t="s">
        <v>191</v>
      </c>
      <c r="G1865" s="2" t="s">
        <v>205</v>
      </c>
      <c r="H1865" s="2">
        <v>9</v>
      </c>
      <c r="I1865" s="2">
        <v>12870.72</v>
      </c>
      <c r="J1865" s="2">
        <v>0.1</v>
      </c>
      <c r="K1865" s="2" t="s">
        <v>24</v>
      </c>
      <c r="L1865" s="2" t="s">
        <v>121</v>
      </c>
    </row>
    <row r="1866" spans="1:12" x14ac:dyDescent="0.2">
      <c r="A1866" s="2">
        <v>100487</v>
      </c>
      <c r="B1866" s="18">
        <v>45382</v>
      </c>
      <c r="C1866" s="2" t="s">
        <v>343</v>
      </c>
      <c r="D1866" s="2" t="s">
        <v>58</v>
      </c>
      <c r="E1866" s="2" t="s">
        <v>38</v>
      </c>
      <c r="F1866" s="2" t="s">
        <v>191</v>
      </c>
      <c r="G1866" s="2" t="s">
        <v>16</v>
      </c>
      <c r="H1866" s="2">
        <v>6</v>
      </c>
      <c r="I1866" s="2">
        <v>11909.51</v>
      </c>
      <c r="J1866" s="2">
        <v>20</v>
      </c>
      <c r="K1866" s="2" t="s">
        <v>41</v>
      </c>
      <c r="L1866" s="2" t="s">
        <v>143</v>
      </c>
    </row>
    <row r="1867" spans="1:12" x14ac:dyDescent="0.2">
      <c r="A1867" s="2">
        <v>101974</v>
      </c>
      <c r="B1867" s="18">
        <v>45459</v>
      </c>
      <c r="C1867" s="2"/>
      <c r="D1867" s="2" t="s">
        <v>58</v>
      </c>
      <c r="E1867" s="2" t="s">
        <v>38</v>
      </c>
      <c r="F1867" s="2" t="s">
        <v>45</v>
      </c>
      <c r="G1867" s="2" t="s">
        <v>149</v>
      </c>
      <c r="H1867" s="2">
        <v>6</v>
      </c>
      <c r="I1867" s="2">
        <v>43123.16</v>
      </c>
      <c r="J1867" s="2">
        <v>0</v>
      </c>
      <c r="K1867" s="2" t="s">
        <v>24</v>
      </c>
      <c r="L1867" s="2" t="s">
        <v>25</v>
      </c>
    </row>
    <row r="1868" spans="1:12" x14ac:dyDescent="0.2">
      <c r="A1868" s="2">
        <v>100498</v>
      </c>
      <c r="B1868" s="18">
        <v>45341</v>
      </c>
      <c r="C1868" s="2" t="s">
        <v>529</v>
      </c>
      <c r="D1868" s="2" t="s">
        <v>160</v>
      </c>
      <c r="E1868" s="2" t="s">
        <v>79</v>
      </c>
      <c r="F1868" s="2" t="s">
        <v>39</v>
      </c>
      <c r="G1868" s="2" t="s">
        <v>114</v>
      </c>
      <c r="H1868" s="2">
        <v>1</v>
      </c>
      <c r="I1868" s="2">
        <v>443.39</v>
      </c>
      <c r="J1868" s="2">
        <v>0</v>
      </c>
      <c r="K1868" s="2" t="s">
        <v>41</v>
      </c>
      <c r="L1868" s="2" t="s">
        <v>143</v>
      </c>
    </row>
    <row r="1869" spans="1:12" x14ac:dyDescent="0.2">
      <c r="A1869" s="2">
        <v>101647</v>
      </c>
      <c r="B1869" s="18">
        <v>45441</v>
      </c>
      <c r="C1869" s="2"/>
      <c r="D1869" s="2" t="s">
        <v>61</v>
      </c>
      <c r="E1869" s="2" t="s">
        <v>14</v>
      </c>
      <c r="F1869" s="2" t="s">
        <v>45</v>
      </c>
      <c r="G1869" s="2" t="s">
        <v>111</v>
      </c>
      <c r="H1869" s="2">
        <v>2</v>
      </c>
      <c r="I1869" s="2">
        <v>44372.35</v>
      </c>
      <c r="J1869" s="2">
        <v>10</v>
      </c>
      <c r="K1869" s="2" t="s">
        <v>66</v>
      </c>
      <c r="L1869" s="2" t="s">
        <v>25</v>
      </c>
    </row>
    <row r="1870" spans="1:12" x14ac:dyDescent="0.2">
      <c r="A1870" s="2">
        <v>100107</v>
      </c>
      <c r="B1870" s="17">
        <v>45543</v>
      </c>
      <c r="C1870" s="2" t="s">
        <v>765</v>
      </c>
      <c r="D1870" s="2" t="s">
        <v>175</v>
      </c>
      <c r="E1870" s="2" t="s">
        <v>38</v>
      </c>
      <c r="F1870" s="2" t="s">
        <v>22</v>
      </c>
      <c r="G1870" s="2" t="s">
        <v>75</v>
      </c>
      <c r="H1870" s="2">
        <v>11</v>
      </c>
      <c r="I1870" s="2">
        <v>2166.35</v>
      </c>
      <c r="J1870" s="2">
        <v>0.25</v>
      </c>
      <c r="K1870" s="2" t="s">
        <v>24</v>
      </c>
      <c r="L1870" s="2" t="s">
        <v>121</v>
      </c>
    </row>
    <row r="1871" spans="1:12" x14ac:dyDescent="0.2">
      <c r="A1871" s="2">
        <v>100444</v>
      </c>
      <c r="B1871" s="17">
        <v>45574</v>
      </c>
      <c r="C1871" s="2" t="s">
        <v>482</v>
      </c>
      <c r="D1871" s="2" t="s">
        <v>92</v>
      </c>
      <c r="E1871" s="2" t="s">
        <v>54</v>
      </c>
      <c r="F1871" s="2" t="s">
        <v>22</v>
      </c>
      <c r="G1871" s="2" t="s">
        <v>145</v>
      </c>
      <c r="H1871" s="2">
        <v>8</v>
      </c>
      <c r="I1871" s="2">
        <v>2352.38</v>
      </c>
      <c r="J1871" s="2">
        <v>15</v>
      </c>
      <c r="K1871" s="2" t="s">
        <v>66</v>
      </c>
      <c r="L1871" s="2" t="s">
        <v>35</v>
      </c>
    </row>
    <row r="1872" spans="1:12" x14ac:dyDescent="0.2">
      <c r="A1872" s="2">
        <v>101513</v>
      </c>
      <c r="B1872" s="17">
        <v>45450</v>
      </c>
      <c r="C1872" s="2" t="s">
        <v>1046</v>
      </c>
      <c r="D1872" s="2" t="s">
        <v>181</v>
      </c>
      <c r="E1872" s="2" t="s">
        <v>14</v>
      </c>
      <c r="F1872" s="2" t="s">
        <v>15</v>
      </c>
      <c r="G1872" s="2" t="s">
        <v>205</v>
      </c>
      <c r="H1872" s="2">
        <v>4</v>
      </c>
      <c r="I1872" s="2">
        <v>20865.7</v>
      </c>
      <c r="J1872" s="2">
        <v>0</v>
      </c>
      <c r="K1872" s="2" t="s">
        <v>83</v>
      </c>
      <c r="L1872" s="2" t="s">
        <v>143</v>
      </c>
    </row>
    <row r="1873" spans="1:12" x14ac:dyDescent="0.2">
      <c r="A1873" s="2">
        <v>100647</v>
      </c>
      <c r="B1873" s="2" t="s">
        <v>265</v>
      </c>
      <c r="C1873" s="2" t="s">
        <v>492</v>
      </c>
      <c r="D1873" s="2" t="s">
        <v>140</v>
      </c>
      <c r="E1873" s="2" t="s">
        <v>79</v>
      </c>
      <c r="F1873" s="2" t="s">
        <v>80</v>
      </c>
      <c r="G1873" s="2" t="s">
        <v>34</v>
      </c>
      <c r="H1873" s="2">
        <v>8</v>
      </c>
      <c r="I1873" s="2">
        <v>119.06</v>
      </c>
      <c r="J1873" s="2">
        <v>0</v>
      </c>
      <c r="K1873" s="2" t="s">
        <v>41</v>
      </c>
      <c r="L1873" s="2" t="s">
        <v>143</v>
      </c>
    </row>
    <row r="1874" spans="1:12" x14ac:dyDescent="0.2">
      <c r="A1874" s="2">
        <v>101037</v>
      </c>
      <c r="B1874" s="17">
        <v>45315</v>
      </c>
      <c r="C1874" s="2" t="s">
        <v>531</v>
      </c>
      <c r="D1874" s="2" t="s">
        <v>48</v>
      </c>
      <c r="E1874" s="2" t="s">
        <v>79</v>
      </c>
      <c r="F1874" s="2" t="s">
        <v>191</v>
      </c>
      <c r="G1874" s="2" t="s">
        <v>205</v>
      </c>
      <c r="H1874" s="2">
        <v>8</v>
      </c>
      <c r="I1874" s="2">
        <v>14391.1</v>
      </c>
      <c r="J1874" s="2"/>
      <c r="K1874" s="2" t="s">
        <v>41</v>
      </c>
      <c r="L1874" s="2" t="s">
        <v>18</v>
      </c>
    </row>
    <row r="1875" spans="1:12" x14ac:dyDescent="0.2">
      <c r="A1875" s="2">
        <v>101763</v>
      </c>
      <c r="B1875" s="17">
        <v>45445</v>
      </c>
      <c r="C1875" s="2" t="s">
        <v>342</v>
      </c>
      <c r="D1875" s="2" t="s">
        <v>89</v>
      </c>
      <c r="E1875" s="2" t="s">
        <v>54</v>
      </c>
      <c r="F1875" s="2" t="s">
        <v>96</v>
      </c>
      <c r="G1875" s="2" t="s">
        <v>71</v>
      </c>
      <c r="H1875" s="2">
        <v>-3</v>
      </c>
      <c r="I1875" s="2">
        <v>42138.66</v>
      </c>
      <c r="J1875" s="2">
        <v>15</v>
      </c>
      <c r="K1875" s="2" t="s">
        <v>17</v>
      </c>
      <c r="L1875" s="2" t="s">
        <v>121</v>
      </c>
    </row>
    <row r="1876" spans="1:12" x14ac:dyDescent="0.2">
      <c r="A1876" s="2">
        <v>100727</v>
      </c>
      <c r="B1876" s="18">
        <v>45419</v>
      </c>
      <c r="C1876" s="2" t="s">
        <v>1047</v>
      </c>
      <c r="D1876" s="2" t="s">
        <v>92</v>
      </c>
      <c r="E1876" s="2" t="s">
        <v>32</v>
      </c>
      <c r="F1876" s="2" t="s">
        <v>64</v>
      </c>
      <c r="G1876" s="2" t="s">
        <v>292</v>
      </c>
      <c r="H1876" s="2">
        <v>6</v>
      </c>
      <c r="I1876" s="2">
        <v>616.85</v>
      </c>
      <c r="J1876" s="2">
        <v>0.2</v>
      </c>
      <c r="K1876" s="2" t="s">
        <v>66</v>
      </c>
      <c r="L1876" s="2" t="s">
        <v>35</v>
      </c>
    </row>
    <row r="1877" spans="1:12" x14ac:dyDescent="0.2">
      <c r="A1877" s="2">
        <v>100191</v>
      </c>
      <c r="B1877" s="17">
        <v>45307</v>
      </c>
      <c r="C1877" s="2" t="s">
        <v>479</v>
      </c>
      <c r="D1877" s="2" t="s">
        <v>61</v>
      </c>
      <c r="E1877" s="2" t="s">
        <v>119</v>
      </c>
      <c r="F1877" s="2" t="s">
        <v>33</v>
      </c>
      <c r="G1877" s="2" t="s">
        <v>81</v>
      </c>
      <c r="H1877" s="2">
        <v>5</v>
      </c>
      <c r="I1877" s="2">
        <v>558.99</v>
      </c>
      <c r="J1877" s="2">
        <v>0.25</v>
      </c>
      <c r="K1877" s="2" t="s">
        <v>66</v>
      </c>
      <c r="L1877" s="2" t="s">
        <v>52</v>
      </c>
    </row>
    <row r="1878" spans="1:12" x14ac:dyDescent="0.2">
      <c r="A1878" s="2">
        <v>101789</v>
      </c>
      <c r="B1878" s="18">
        <v>45557</v>
      </c>
      <c r="C1878" s="2" t="s">
        <v>974</v>
      </c>
      <c r="D1878" s="2" t="s">
        <v>44</v>
      </c>
      <c r="E1878" s="2" t="s">
        <v>54</v>
      </c>
      <c r="F1878" s="2" t="s">
        <v>86</v>
      </c>
      <c r="G1878" s="2" t="s">
        <v>153</v>
      </c>
      <c r="H1878" s="2">
        <v>8</v>
      </c>
      <c r="I1878" s="2">
        <v>11456.26</v>
      </c>
      <c r="J1878" s="2">
        <v>0.1</v>
      </c>
      <c r="K1878" s="2" t="s">
        <v>66</v>
      </c>
      <c r="L1878" s="2" t="s">
        <v>143</v>
      </c>
    </row>
    <row r="1879" spans="1:12" x14ac:dyDescent="0.2">
      <c r="A1879" s="2">
        <v>101857</v>
      </c>
      <c r="B1879" s="17">
        <v>45338</v>
      </c>
      <c r="C1879" s="2" t="s">
        <v>620</v>
      </c>
      <c r="D1879" s="2" t="s">
        <v>61</v>
      </c>
      <c r="E1879" s="2" t="s">
        <v>14</v>
      </c>
      <c r="F1879" s="2" t="s">
        <v>223</v>
      </c>
      <c r="G1879" s="2" t="s">
        <v>62</v>
      </c>
      <c r="H1879" s="2">
        <v>8</v>
      </c>
      <c r="I1879" s="2">
        <v>5262.71</v>
      </c>
      <c r="J1879" s="2">
        <v>0</v>
      </c>
      <c r="K1879" s="2" t="s">
        <v>24</v>
      </c>
      <c r="L1879" s="2" t="s">
        <v>25</v>
      </c>
    </row>
    <row r="1880" spans="1:12" x14ac:dyDescent="0.2">
      <c r="A1880" s="2">
        <v>100283</v>
      </c>
      <c r="B1880" s="18">
        <v>45586</v>
      </c>
      <c r="C1880" s="2" t="s">
        <v>974</v>
      </c>
      <c r="D1880" s="2" t="s">
        <v>13</v>
      </c>
      <c r="E1880" s="2" t="s">
        <v>119</v>
      </c>
      <c r="F1880" s="2" t="s">
        <v>50</v>
      </c>
      <c r="G1880" s="2" t="s">
        <v>207</v>
      </c>
      <c r="H1880" s="2">
        <v>4</v>
      </c>
      <c r="I1880" s="2">
        <v>6418.29</v>
      </c>
      <c r="J1880" s="2">
        <v>0.2</v>
      </c>
      <c r="K1880" s="2" t="s">
        <v>41</v>
      </c>
      <c r="L1880" s="2" t="s">
        <v>121</v>
      </c>
    </row>
    <row r="1881" spans="1:12" x14ac:dyDescent="0.2">
      <c r="A1881" s="2">
        <v>100030</v>
      </c>
      <c r="B1881" s="17">
        <v>45539</v>
      </c>
      <c r="C1881" s="2" t="s">
        <v>122</v>
      </c>
      <c r="D1881" s="2" t="s">
        <v>160</v>
      </c>
      <c r="E1881" s="2" t="s">
        <v>49</v>
      </c>
      <c r="F1881" s="2" t="s">
        <v>70</v>
      </c>
      <c r="G1881" s="2" t="s">
        <v>153</v>
      </c>
      <c r="H1881" s="2">
        <v>7</v>
      </c>
      <c r="I1881" s="2">
        <v>29147.95</v>
      </c>
      <c r="J1881" s="2">
        <v>0.1</v>
      </c>
      <c r="K1881" s="2" t="s">
        <v>41</v>
      </c>
      <c r="L1881" s="2" t="s">
        <v>52</v>
      </c>
    </row>
    <row r="1882" spans="1:12" x14ac:dyDescent="0.2">
      <c r="A1882" s="2">
        <v>100170</v>
      </c>
      <c r="B1882" s="18">
        <v>45360</v>
      </c>
      <c r="C1882" s="2" t="s">
        <v>406</v>
      </c>
      <c r="D1882" s="2" t="s">
        <v>101</v>
      </c>
      <c r="E1882" s="2" t="s">
        <v>38</v>
      </c>
      <c r="F1882" s="2" t="s">
        <v>70</v>
      </c>
      <c r="G1882" s="2" t="s">
        <v>97</v>
      </c>
      <c r="H1882" s="2">
        <v>5</v>
      </c>
      <c r="I1882" s="2">
        <v>27107.17</v>
      </c>
      <c r="J1882" s="2">
        <v>0.15</v>
      </c>
      <c r="K1882" s="2" t="s">
        <v>24</v>
      </c>
      <c r="L1882" s="2" t="s">
        <v>143</v>
      </c>
    </row>
    <row r="1883" spans="1:12" x14ac:dyDescent="0.2">
      <c r="A1883" s="2">
        <v>101002</v>
      </c>
      <c r="B1883" s="17">
        <v>45478</v>
      </c>
      <c r="C1883" s="2" t="s">
        <v>273</v>
      </c>
      <c r="D1883" s="2" t="s">
        <v>140</v>
      </c>
      <c r="E1883" s="2" t="s">
        <v>49</v>
      </c>
      <c r="F1883" s="2" t="s">
        <v>191</v>
      </c>
      <c r="G1883" s="2" t="s">
        <v>16</v>
      </c>
      <c r="H1883" s="2">
        <v>5</v>
      </c>
      <c r="I1883" s="2">
        <v>24488.69</v>
      </c>
      <c r="J1883" s="2">
        <v>0.25</v>
      </c>
      <c r="K1883" s="2" t="s">
        <v>83</v>
      </c>
      <c r="L1883" s="2" t="s">
        <v>42</v>
      </c>
    </row>
    <row r="1884" spans="1:12" x14ac:dyDescent="0.2">
      <c r="A1884" s="2">
        <v>101205</v>
      </c>
      <c r="B1884" s="18">
        <v>45450</v>
      </c>
      <c r="C1884" s="2" t="s">
        <v>383</v>
      </c>
      <c r="D1884" s="2" t="s">
        <v>140</v>
      </c>
      <c r="E1884" s="2" t="s">
        <v>79</v>
      </c>
      <c r="F1884" s="2" t="s">
        <v>33</v>
      </c>
      <c r="G1884" s="2" t="s">
        <v>34</v>
      </c>
      <c r="H1884" s="2">
        <v>9</v>
      </c>
      <c r="I1884" s="2">
        <v>330</v>
      </c>
      <c r="J1884" s="2">
        <v>0</v>
      </c>
      <c r="K1884" s="2" t="s">
        <v>17</v>
      </c>
      <c r="L1884" s="2" t="s">
        <v>18</v>
      </c>
    </row>
    <row r="1885" spans="1:12" x14ac:dyDescent="0.2">
      <c r="A1885" s="2">
        <v>100101</v>
      </c>
      <c r="B1885" s="17">
        <v>45536</v>
      </c>
      <c r="C1885" s="2" t="s">
        <v>492</v>
      </c>
      <c r="D1885" s="2" t="s">
        <v>181</v>
      </c>
      <c r="E1885" s="2" t="s">
        <v>14</v>
      </c>
      <c r="F1885" s="2" t="s">
        <v>124</v>
      </c>
      <c r="G1885" s="2" t="s">
        <v>56</v>
      </c>
      <c r="H1885" s="2">
        <v>12</v>
      </c>
      <c r="I1885" s="2">
        <v>6012.94</v>
      </c>
      <c r="J1885" s="2">
        <v>0.2</v>
      </c>
      <c r="K1885" s="2" t="s">
        <v>66</v>
      </c>
      <c r="L1885" s="2" t="s">
        <v>143</v>
      </c>
    </row>
    <row r="1886" spans="1:12" x14ac:dyDescent="0.2">
      <c r="A1886" s="2">
        <v>100198</v>
      </c>
      <c r="B1886" s="18">
        <v>45485</v>
      </c>
      <c r="C1886" s="2" t="s">
        <v>743</v>
      </c>
      <c r="D1886" s="2" t="s">
        <v>89</v>
      </c>
      <c r="E1886" s="2" t="s">
        <v>54</v>
      </c>
      <c r="F1886" s="2" t="s">
        <v>45</v>
      </c>
      <c r="G1886" s="2" t="s">
        <v>111</v>
      </c>
      <c r="H1886" s="2">
        <v>5</v>
      </c>
      <c r="I1886" s="2">
        <v>15597.09</v>
      </c>
      <c r="J1886" s="2">
        <v>0</v>
      </c>
      <c r="K1886" s="2" t="s">
        <v>17</v>
      </c>
      <c r="L1886" s="2" t="s">
        <v>25</v>
      </c>
    </row>
    <row r="1887" spans="1:12" x14ac:dyDescent="0.2">
      <c r="A1887" s="2">
        <v>100496</v>
      </c>
      <c r="B1887" s="17">
        <v>45453</v>
      </c>
      <c r="C1887" s="2" t="s">
        <v>126</v>
      </c>
      <c r="D1887" s="2" t="s">
        <v>131</v>
      </c>
      <c r="E1887" s="2" t="s">
        <v>133</v>
      </c>
      <c r="F1887" s="2" t="s">
        <v>80</v>
      </c>
      <c r="G1887" s="2" t="s">
        <v>158</v>
      </c>
      <c r="H1887" s="2">
        <v>9</v>
      </c>
      <c r="I1887" s="2">
        <v>419.49</v>
      </c>
      <c r="J1887" s="2">
        <v>0.1</v>
      </c>
      <c r="K1887" s="2" t="s">
        <v>29</v>
      </c>
      <c r="L1887" s="2" t="s">
        <v>18</v>
      </c>
    </row>
    <row r="1888" spans="1:12" x14ac:dyDescent="0.2">
      <c r="A1888" s="2">
        <v>101746</v>
      </c>
      <c r="B1888" s="18">
        <v>45505</v>
      </c>
      <c r="C1888" s="2" t="s">
        <v>537</v>
      </c>
      <c r="D1888" s="2" t="s">
        <v>58</v>
      </c>
      <c r="E1888" s="2" t="s">
        <v>69</v>
      </c>
      <c r="F1888" s="2" t="s">
        <v>191</v>
      </c>
      <c r="G1888" s="2" t="s">
        <v>205</v>
      </c>
      <c r="H1888" s="2">
        <v>8</v>
      </c>
      <c r="I1888" s="2">
        <v>20425.37</v>
      </c>
      <c r="J1888" s="2">
        <v>15</v>
      </c>
      <c r="K1888" s="2" t="s">
        <v>83</v>
      </c>
      <c r="L1888" s="2" t="s">
        <v>18</v>
      </c>
    </row>
    <row r="1889" spans="1:12" x14ac:dyDescent="0.2">
      <c r="A1889" s="2">
        <v>100648</v>
      </c>
      <c r="B1889" s="18">
        <v>45638</v>
      </c>
      <c r="C1889" s="2" t="s">
        <v>450</v>
      </c>
      <c r="D1889" s="2" t="s">
        <v>92</v>
      </c>
      <c r="E1889" s="2" t="s">
        <v>32</v>
      </c>
      <c r="F1889" s="2" t="s">
        <v>45</v>
      </c>
      <c r="G1889" s="2" t="s">
        <v>71</v>
      </c>
      <c r="H1889" s="2">
        <v>4</v>
      </c>
      <c r="I1889" s="2">
        <v>15437.62</v>
      </c>
      <c r="J1889" s="2">
        <v>0</v>
      </c>
      <c r="K1889" s="2" t="s">
        <v>41</v>
      </c>
      <c r="L1889" s="2" t="s">
        <v>121</v>
      </c>
    </row>
    <row r="1890" spans="1:12" x14ac:dyDescent="0.2">
      <c r="A1890" s="2">
        <v>100988</v>
      </c>
      <c r="B1890" s="18">
        <v>45520</v>
      </c>
      <c r="C1890" s="2" t="s">
        <v>387</v>
      </c>
      <c r="D1890" s="2" t="s">
        <v>101</v>
      </c>
      <c r="E1890" s="2" t="s">
        <v>38</v>
      </c>
      <c r="F1890" s="2" t="s">
        <v>223</v>
      </c>
      <c r="G1890" s="2" t="s">
        <v>56</v>
      </c>
      <c r="H1890" s="2">
        <v>-2</v>
      </c>
      <c r="I1890" s="2">
        <v>11697.84</v>
      </c>
      <c r="J1890" s="2">
        <v>5</v>
      </c>
      <c r="K1890" s="2" t="s">
        <v>66</v>
      </c>
      <c r="L1890" s="2" t="s">
        <v>52</v>
      </c>
    </row>
    <row r="1891" spans="1:12" x14ac:dyDescent="0.2">
      <c r="A1891" s="2">
        <v>100045</v>
      </c>
      <c r="B1891" s="2" t="s">
        <v>848</v>
      </c>
      <c r="C1891" s="2" t="s">
        <v>123</v>
      </c>
      <c r="D1891" s="2" t="s">
        <v>37</v>
      </c>
      <c r="E1891" s="2" t="s">
        <v>69</v>
      </c>
      <c r="F1891" s="2" t="s">
        <v>74</v>
      </c>
      <c r="G1891" s="2" t="s">
        <v>75</v>
      </c>
      <c r="H1891" s="2">
        <v>3</v>
      </c>
      <c r="I1891" s="2">
        <v>851.27</v>
      </c>
      <c r="J1891" s="2">
        <v>0.2</v>
      </c>
      <c r="K1891" s="2" t="s">
        <v>29</v>
      </c>
      <c r="L1891" s="2" t="s">
        <v>143</v>
      </c>
    </row>
    <row r="1892" spans="1:12" x14ac:dyDescent="0.2">
      <c r="A1892" s="2">
        <v>101958</v>
      </c>
      <c r="B1892" s="17">
        <v>45491</v>
      </c>
      <c r="C1892" s="2" t="s">
        <v>337</v>
      </c>
      <c r="D1892" s="2" t="s">
        <v>44</v>
      </c>
      <c r="E1892" s="2" t="s">
        <v>32</v>
      </c>
      <c r="F1892" s="2" t="s">
        <v>74</v>
      </c>
      <c r="G1892" s="2" t="s">
        <v>232</v>
      </c>
      <c r="H1892" s="2">
        <v>12</v>
      </c>
      <c r="I1892" s="2">
        <v>1920.9</v>
      </c>
      <c r="J1892" s="2">
        <v>0.15</v>
      </c>
      <c r="K1892" s="2" t="s">
        <v>17</v>
      </c>
      <c r="L1892" s="2" t="s">
        <v>143</v>
      </c>
    </row>
    <row r="1893" spans="1:12" x14ac:dyDescent="0.2">
      <c r="A1893" s="2">
        <v>100711</v>
      </c>
      <c r="B1893" s="18">
        <v>45621</v>
      </c>
      <c r="C1893" s="2" t="s">
        <v>1019</v>
      </c>
      <c r="D1893" s="2" t="s">
        <v>48</v>
      </c>
      <c r="E1893" s="2" t="s">
        <v>79</v>
      </c>
      <c r="F1893" s="2" t="s">
        <v>15</v>
      </c>
      <c r="G1893" s="2" t="s">
        <v>116</v>
      </c>
      <c r="H1893" s="2">
        <v>6</v>
      </c>
      <c r="I1893" s="2">
        <v>4900.5200000000004</v>
      </c>
      <c r="J1893" s="2">
        <v>0.25</v>
      </c>
      <c r="K1893" s="2" t="s">
        <v>24</v>
      </c>
      <c r="L1893" s="2" t="s">
        <v>143</v>
      </c>
    </row>
    <row r="1894" spans="1:12" x14ac:dyDescent="0.2">
      <c r="A1894" s="2">
        <v>100374</v>
      </c>
      <c r="B1894" s="17">
        <v>45609</v>
      </c>
      <c r="C1894" s="2" t="s">
        <v>1048</v>
      </c>
      <c r="D1894" s="2" t="s">
        <v>85</v>
      </c>
      <c r="E1894" s="2" t="s">
        <v>119</v>
      </c>
      <c r="F1894" s="2" t="s">
        <v>45</v>
      </c>
      <c r="G1894" s="2" t="s">
        <v>149</v>
      </c>
      <c r="H1894" s="2">
        <v>4</v>
      </c>
      <c r="I1894" s="2" t="s">
        <v>1049</v>
      </c>
      <c r="J1894" s="2">
        <v>0.1</v>
      </c>
      <c r="K1894" s="2" t="s">
        <v>17</v>
      </c>
      <c r="L1894" s="2" t="s">
        <v>52</v>
      </c>
    </row>
    <row r="1895" spans="1:12" x14ac:dyDescent="0.2">
      <c r="A1895" s="2">
        <v>100679</v>
      </c>
      <c r="B1895" s="17">
        <v>45374</v>
      </c>
      <c r="C1895" s="2" t="s">
        <v>304</v>
      </c>
      <c r="D1895" s="2" t="s">
        <v>181</v>
      </c>
      <c r="E1895" s="2" t="s">
        <v>119</v>
      </c>
      <c r="F1895" s="2" t="s">
        <v>45</v>
      </c>
      <c r="G1895" s="2" t="s">
        <v>153</v>
      </c>
      <c r="H1895" s="2">
        <v>9</v>
      </c>
      <c r="I1895" s="2">
        <v>39683.47</v>
      </c>
      <c r="J1895" s="2">
        <v>0</v>
      </c>
      <c r="K1895" s="2" t="s">
        <v>66</v>
      </c>
      <c r="L1895" s="2" t="s">
        <v>18</v>
      </c>
    </row>
    <row r="1896" spans="1:12" x14ac:dyDescent="0.2">
      <c r="A1896" s="2">
        <v>100567</v>
      </c>
      <c r="B1896" s="17">
        <v>45431</v>
      </c>
      <c r="C1896" s="2"/>
      <c r="D1896" s="2" t="s">
        <v>58</v>
      </c>
      <c r="E1896" s="2" t="s">
        <v>38</v>
      </c>
      <c r="F1896" s="2" t="s">
        <v>55</v>
      </c>
      <c r="G1896" s="2" t="s">
        <v>99</v>
      </c>
      <c r="H1896" s="2">
        <v>11</v>
      </c>
      <c r="I1896" s="2">
        <v>9190.25</v>
      </c>
      <c r="J1896" s="2">
        <v>0</v>
      </c>
      <c r="K1896" s="2" t="s">
        <v>17</v>
      </c>
      <c r="L1896" s="2" t="s">
        <v>52</v>
      </c>
    </row>
    <row r="1897" spans="1:12" x14ac:dyDescent="0.2">
      <c r="A1897" s="2">
        <v>101673</v>
      </c>
      <c r="B1897" s="17">
        <v>45636</v>
      </c>
      <c r="C1897" s="2" t="s">
        <v>463</v>
      </c>
      <c r="D1897" s="2" t="s">
        <v>20</v>
      </c>
      <c r="E1897" s="2" t="s">
        <v>21</v>
      </c>
      <c r="F1897" s="2" t="s">
        <v>223</v>
      </c>
      <c r="G1897" s="2" t="s">
        <v>207</v>
      </c>
      <c r="H1897" s="2">
        <v>7</v>
      </c>
      <c r="I1897" s="2">
        <v>5625.77</v>
      </c>
      <c r="J1897" s="2">
        <v>0.25</v>
      </c>
      <c r="K1897" s="2" t="s">
        <v>29</v>
      </c>
      <c r="L1897" s="2" t="s">
        <v>18</v>
      </c>
    </row>
    <row r="1898" spans="1:12" x14ac:dyDescent="0.2">
      <c r="A1898" s="2">
        <v>101822</v>
      </c>
      <c r="B1898" s="17">
        <v>45485</v>
      </c>
      <c r="C1898" s="2" t="s">
        <v>410</v>
      </c>
      <c r="D1898" s="2" t="s">
        <v>37</v>
      </c>
      <c r="E1898" s="2" t="s">
        <v>69</v>
      </c>
      <c r="F1898" s="2" t="s">
        <v>33</v>
      </c>
      <c r="G1898" s="2" t="s">
        <v>93</v>
      </c>
      <c r="H1898" s="2">
        <v>5</v>
      </c>
      <c r="I1898" s="2">
        <v>262.48</v>
      </c>
      <c r="J1898" s="2">
        <v>0.25</v>
      </c>
      <c r="K1898" s="2" t="s">
        <v>29</v>
      </c>
      <c r="L1898" s="2" t="s">
        <v>18</v>
      </c>
    </row>
    <row r="1899" spans="1:12" x14ac:dyDescent="0.2">
      <c r="A1899" s="2">
        <v>100848</v>
      </c>
      <c r="B1899" s="2" t="s">
        <v>1050</v>
      </c>
      <c r="C1899" s="2" t="s">
        <v>560</v>
      </c>
      <c r="D1899" s="2" t="s">
        <v>13</v>
      </c>
      <c r="E1899" s="2" t="s">
        <v>14</v>
      </c>
      <c r="F1899" s="2" t="s">
        <v>39</v>
      </c>
      <c r="G1899" s="2" t="s">
        <v>242</v>
      </c>
      <c r="H1899" s="2">
        <v>10</v>
      </c>
      <c r="I1899" s="2">
        <v>300.07</v>
      </c>
      <c r="J1899" s="2">
        <v>0.2</v>
      </c>
      <c r="K1899" s="2" t="s">
        <v>29</v>
      </c>
      <c r="L1899" s="2" t="s">
        <v>87</v>
      </c>
    </row>
    <row r="1900" spans="1:12" x14ac:dyDescent="0.2">
      <c r="A1900" s="2">
        <v>100461</v>
      </c>
      <c r="B1900" s="18">
        <v>45417</v>
      </c>
      <c r="C1900" s="2" t="s">
        <v>656</v>
      </c>
      <c r="D1900" s="2" t="s">
        <v>44</v>
      </c>
      <c r="E1900" s="2" t="s">
        <v>54</v>
      </c>
      <c r="F1900" s="2" t="s">
        <v>22</v>
      </c>
      <c r="G1900" s="2" t="s">
        <v>75</v>
      </c>
      <c r="H1900" s="2">
        <v>11</v>
      </c>
      <c r="I1900" s="2">
        <v>1968.42</v>
      </c>
      <c r="J1900" s="2">
        <v>0</v>
      </c>
      <c r="K1900" s="2" t="s">
        <v>17</v>
      </c>
      <c r="L1900" s="2" t="s">
        <v>25</v>
      </c>
    </row>
    <row r="1901" spans="1:12" x14ac:dyDescent="0.2">
      <c r="A1901" s="2">
        <v>101438</v>
      </c>
      <c r="B1901" s="17">
        <v>45436</v>
      </c>
      <c r="C1901" s="2" t="s">
        <v>208</v>
      </c>
      <c r="D1901" s="2" t="s">
        <v>181</v>
      </c>
      <c r="E1901" s="2" t="s">
        <v>14</v>
      </c>
      <c r="F1901" s="2" t="s">
        <v>102</v>
      </c>
      <c r="G1901" s="2" t="s">
        <v>103</v>
      </c>
      <c r="H1901" s="2">
        <v>6</v>
      </c>
      <c r="I1901" s="2">
        <v>3492.66</v>
      </c>
      <c r="J1901" s="2">
        <v>0.1</v>
      </c>
      <c r="K1901" s="2" t="s">
        <v>17</v>
      </c>
      <c r="L1901" s="2" t="s">
        <v>35</v>
      </c>
    </row>
    <row r="1902" spans="1:12" x14ac:dyDescent="0.2">
      <c r="A1902" s="2">
        <v>101156</v>
      </c>
      <c r="B1902" s="17">
        <v>45475</v>
      </c>
      <c r="C1902" s="2" t="s">
        <v>262</v>
      </c>
      <c r="D1902" s="2" t="s">
        <v>37</v>
      </c>
      <c r="E1902" s="2" t="s">
        <v>38</v>
      </c>
      <c r="F1902" s="2" t="s">
        <v>28</v>
      </c>
      <c r="G1902" s="2" t="s">
        <v>59</v>
      </c>
      <c r="H1902" s="2">
        <v>12</v>
      </c>
      <c r="I1902" s="2">
        <v>8508.9</v>
      </c>
      <c r="J1902" s="2">
        <v>0.1</v>
      </c>
      <c r="K1902" s="2" t="s">
        <v>66</v>
      </c>
      <c r="L1902" s="2" t="s">
        <v>42</v>
      </c>
    </row>
    <row r="1903" spans="1:12" x14ac:dyDescent="0.2">
      <c r="A1903" s="2">
        <v>100040</v>
      </c>
      <c r="B1903" s="18">
        <v>45299</v>
      </c>
      <c r="C1903" s="2" t="s">
        <v>911</v>
      </c>
      <c r="D1903" s="2" t="s">
        <v>181</v>
      </c>
      <c r="E1903" s="2" t="s">
        <v>14</v>
      </c>
      <c r="F1903" s="2" t="s">
        <v>50</v>
      </c>
      <c r="G1903" s="2" t="s">
        <v>56</v>
      </c>
      <c r="H1903" s="2">
        <v>12</v>
      </c>
      <c r="I1903" s="2">
        <v>3864.32</v>
      </c>
      <c r="J1903" s="2">
        <v>0.05</v>
      </c>
      <c r="K1903" s="2" t="s">
        <v>41</v>
      </c>
      <c r="L1903" s="2" t="s">
        <v>35</v>
      </c>
    </row>
    <row r="1904" spans="1:12" x14ac:dyDescent="0.2">
      <c r="A1904" s="2">
        <v>100435</v>
      </c>
      <c r="B1904" s="18">
        <v>45311</v>
      </c>
      <c r="C1904" s="2" t="s">
        <v>322</v>
      </c>
      <c r="D1904" s="2" t="s">
        <v>109</v>
      </c>
      <c r="E1904" s="2" t="s">
        <v>21</v>
      </c>
      <c r="F1904" s="2" t="s">
        <v>39</v>
      </c>
      <c r="G1904" s="2" t="s">
        <v>114</v>
      </c>
      <c r="H1904" s="2">
        <v>10</v>
      </c>
      <c r="I1904" s="2">
        <v>645.97</v>
      </c>
      <c r="J1904" s="2">
        <v>0</v>
      </c>
      <c r="K1904" s="2" t="s">
        <v>41</v>
      </c>
      <c r="L1904" s="2" t="s">
        <v>143</v>
      </c>
    </row>
    <row r="1905" spans="1:12" x14ac:dyDescent="0.2">
      <c r="A1905" s="2">
        <v>100974</v>
      </c>
      <c r="B1905" s="18">
        <v>45487</v>
      </c>
      <c r="C1905" s="2" t="s">
        <v>762</v>
      </c>
      <c r="D1905" s="2" t="s">
        <v>95</v>
      </c>
      <c r="E1905" s="2" t="s">
        <v>133</v>
      </c>
      <c r="F1905" s="2" t="s">
        <v>86</v>
      </c>
      <c r="G1905" s="2" t="s">
        <v>111</v>
      </c>
      <c r="H1905" s="2">
        <v>2</v>
      </c>
      <c r="I1905" s="2">
        <v>29587.35</v>
      </c>
      <c r="J1905" s="2">
        <v>0</v>
      </c>
      <c r="K1905" s="2" t="s">
        <v>24</v>
      </c>
      <c r="L1905" s="2" t="s">
        <v>143</v>
      </c>
    </row>
    <row r="1906" spans="1:12" x14ac:dyDescent="0.2">
      <c r="A1906" s="2">
        <v>101240</v>
      </c>
      <c r="B1906" s="2" t="s">
        <v>912</v>
      </c>
      <c r="C1906" s="2" t="s">
        <v>321</v>
      </c>
      <c r="D1906" s="2" t="s">
        <v>37</v>
      </c>
      <c r="E1906" s="2" t="s">
        <v>38</v>
      </c>
      <c r="F1906" s="2" t="s">
        <v>33</v>
      </c>
      <c r="G1906" s="2" t="s">
        <v>158</v>
      </c>
      <c r="H1906" s="2">
        <v>5</v>
      </c>
      <c r="I1906" s="2">
        <v>421.81</v>
      </c>
      <c r="J1906" s="2">
        <v>10</v>
      </c>
      <c r="K1906" s="2" t="s">
        <v>83</v>
      </c>
      <c r="L1906" s="2" t="s">
        <v>87</v>
      </c>
    </row>
    <row r="1907" spans="1:12" x14ac:dyDescent="0.2">
      <c r="A1907" s="2">
        <v>101008</v>
      </c>
      <c r="B1907" s="17">
        <v>45328</v>
      </c>
      <c r="C1907" s="2" t="s">
        <v>462</v>
      </c>
      <c r="D1907" s="2" t="s">
        <v>61</v>
      </c>
      <c r="E1907" s="2" t="s">
        <v>119</v>
      </c>
      <c r="F1907" s="2" t="s">
        <v>45</v>
      </c>
      <c r="G1907" s="2" t="s">
        <v>153</v>
      </c>
      <c r="H1907" s="2">
        <v>2</v>
      </c>
      <c r="I1907" s="2">
        <v>41210.050000000003</v>
      </c>
      <c r="J1907" s="2">
        <v>5</v>
      </c>
      <c r="K1907" s="2" t="s">
        <v>24</v>
      </c>
      <c r="L1907" s="2" t="s">
        <v>52</v>
      </c>
    </row>
    <row r="1908" spans="1:12" x14ac:dyDescent="0.2">
      <c r="A1908" s="2">
        <v>101580</v>
      </c>
      <c r="B1908" s="18">
        <v>45324</v>
      </c>
      <c r="C1908" s="2" t="s">
        <v>579</v>
      </c>
      <c r="D1908" s="2" t="s">
        <v>95</v>
      </c>
      <c r="E1908" s="2" t="s">
        <v>133</v>
      </c>
      <c r="F1908" s="2" t="s">
        <v>191</v>
      </c>
      <c r="G1908" s="2" t="s">
        <v>16</v>
      </c>
      <c r="H1908" s="2">
        <v>4</v>
      </c>
      <c r="I1908" s="2">
        <v>2978.99</v>
      </c>
      <c r="J1908" s="2">
        <v>0</v>
      </c>
      <c r="K1908" s="2" t="s">
        <v>24</v>
      </c>
      <c r="L1908" s="2" t="s">
        <v>87</v>
      </c>
    </row>
    <row r="1909" spans="1:12" x14ac:dyDescent="0.2">
      <c r="A1909" s="2">
        <v>101591</v>
      </c>
      <c r="B1909" s="18">
        <v>45349</v>
      </c>
      <c r="C1909" s="2" t="s">
        <v>287</v>
      </c>
      <c r="D1909" s="2" t="s">
        <v>58</v>
      </c>
      <c r="E1909" s="2" t="s">
        <v>69</v>
      </c>
      <c r="F1909" s="2" t="s">
        <v>155</v>
      </c>
      <c r="G1909" s="2" t="s">
        <v>135</v>
      </c>
      <c r="H1909" s="2">
        <v>3</v>
      </c>
      <c r="I1909" s="2" t="s">
        <v>1051</v>
      </c>
      <c r="J1909" s="2">
        <v>0.15</v>
      </c>
      <c r="K1909" s="2" t="s">
        <v>17</v>
      </c>
      <c r="L1909" s="2" t="s">
        <v>143</v>
      </c>
    </row>
    <row r="1910" spans="1:12" x14ac:dyDescent="0.2">
      <c r="A1910" s="2">
        <v>101787</v>
      </c>
      <c r="B1910" s="18">
        <v>45519</v>
      </c>
      <c r="C1910" s="2" t="s">
        <v>429</v>
      </c>
      <c r="D1910" s="2" t="s">
        <v>89</v>
      </c>
      <c r="E1910" s="2" t="s">
        <v>54</v>
      </c>
      <c r="F1910" s="2" t="s">
        <v>96</v>
      </c>
      <c r="G1910" s="2" t="s">
        <v>111</v>
      </c>
      <c r="H1910" s="2">
        <v>10</v>
      </c>
      <c r="I1910" s="2">
        <v>35527.22</v>
      </c>
      <c r="J1910" s="2">
        <v>5</v>
      </c>
      <c r="K1910" s="2" t="s">
        <v>66</v>
      </c>
      <c r="L1910" s="2" t="s">
        <v>121</v>
      </c>
    </row>
    <row r="1911" spans="1:12" x14ac:dyDescent="0.2">
      <c r="A1911" s="2">
        <v>101499</v>
      </c>
      <c r="B1911" s="18">
        <v>45591</v>
      </c>
      <c r="C1911" s="2" t="s">
        <v>502</v>
      </c>
      <c r="D1911" s="2" t="s">
        <v>95</v>
      </c>
      <c r="E1911" s="2" t="s">
        <v>133</v>
      </c>
      <c r="F1911" s="2" t="s">
        <v>124</v>
      </c>
      <c r="G1911" s="2" t="s">
        <v>207</v>
      </c>
      <c r="H1911" s="2">
        <v>12</v>
      </c>
      <c r="I1911" s="2">
        <v>1292.33</v>
      </c>
      <c r="J1911" s="2">
        <v>0</v>
      </c>
      <c r="K1911" s="2" t="s">
        <v>17</v>
      </c>
      <c r="L1911" s="2" t="s">
        <v>35</v>
      </c>
    </row>
    <row r="1912" spans="1:12" x14ac:dyDescent="0.2">
      <c r="A1912" s="2">
        <v>100457</v>
      </c>
      <c r="B1912" s="17">
        <v>45487</v>
      </c>
      <c r="C1912" s="2" t="s">
        <v>214</v>
      </c>
      <c r="D1912" s="2" t="s">
        <v>92</v>
      </c>
      <c r="E1912" s="2" t="s">
        <v>54</v>
      </c>
      <c r="F1912" s="2" t="s">
        <v>55</v>
      </c>
      <c r="G1912" s="2" t="s">
        <v>99</v>
      </c>
      <c r="H1912" s="2">
        <v>7</v>
      </c>
      <c r="I1912" s="2">
        <v>11709.74</v>
      </c>
      <c r="J1912" s="2"/>
      <c r="K1912" s="2" t="s">
        <v>24</v>
      </c>
      <c r="L1912" s="2" t="s">
        <v>87</v>
      </c>
    </row>
    <row r="1913" spans="1:12" x14ac:dyDescent="0.2">
      <c r="A1913" s="2">
        <v>101836</v>
      </c>
      <c r="B1913" s="2" t="s">
        <v>1052</v>
      </c>
      <c r="C1913" s="2" t="s">
        <v>540</v>
      </c>
      <c r="D1913" s="2" t="s">
        <v>129</v>
      </c>
      <c r="E1913" s="2" t="s">
        <v>79</v>
      </c>
      <c r="F1913" s="2" t="s">
        <v>102</v>
      </c>
      <c r="G1913" s="2" t="s">
        <v>137</v>
      </c>
      <c r="H1913" s="2">
        <v>12</v>
      </c>
      <c r="I1913" s="2">
        <v>3279.51</v>
      </c>
      <c r="J1913" s="2">
        <v>0.2</v>
      </c>
      <c r="K1913" s="2" t="s">
        <v>29</v>
      </c>
      <c r="L1913" s="2" t="s">
        <v>25</v>
      </c>
    </row>
    <row r="1914" spans="1:12" x14ac:dyDescent="0.2">
      <c r="A1914" s="2">
        <v>100261</v>
      </c>
      <c r="B1914" s="17">
        <v>45306</v>
      </c>
      <c r="C1914" s="2" t="s">
        <v>100</v>
      </c>
      <c r="D1914" s="2" t="s">
        <v>131</v>
      </c>
      <c r="E1914" s="2" t="s">
        <v>133</v>
      </c>
      <c r="F1914" s="2" t="s">
        <v>155</v>
      </c>
      <c r="G1914" s="2" t="s">
        <v>135</v>
      </c>
      <c r="H1914" s="2">
        <v>4</v>
      </c>
      <c r="I1914" s="2">
        <v>1066.23</v>
      </c>
      <c r="J1914" s="2"/>
      <c r="K1914" s="2" t="s">
        <v>24</v>
      </c>
      <c r="L1914" s="2" t="s">
        <v>25</v>
      </c>
    </row>
    <row r="1915" spans="1:12" x14ac:dyDescent="0.2">
      <c r="A1915" s="2">
        <v>101841</v>
      </c>
      <c r="B1915" s="2" t="s">
        <v>209</v>
      </c>
      <c r="C1915" s="2" t="s">
        <v>410</v>
      </c>
      <c r="D1915" s="2" t="s">
        <v>101</v>
      </c>
      <c r="E1915" s="2" t="s">
        <v>69</v>
      </c>
      <c r="F1915" s="2" t="s">
        <v>45</v>
      </c>
      <c r="G1915" s="2" t="s">
        <v>111</v>
      </c>
      <c r="H1915" s="2">
        <v>5</v>
      </c>
      <c r="I1915" s="2">
        <v>15546.67</v>
      </c>
      <c r="J1915" s="2">
        <v>0.05</v>
      </c>
      <c r="K1915" s="2" t="s">
        <v>66</v>
      </c>
      <c r="L1915" s="2" t="s">
        <v>87</v>
      </c>
    </row>
    <row r="1916" spans="1:12" x14ac:dyDescent="0.2">
      <c r="A1916" s="2">
        <v>100036</v>
      </c>
      <c r="B1916" s="18">
        <v>45427</v>
      </c>
      <c r="C1916" s="2" t="s">
        <v>784</v>
      </c>
      <c r="D1916" s="2" t="s">
        <v>61</v>
      </c>
      <c r="E1916" s="2" t="s">
        <v>119</v>
      </c>
      <c r="F1916" s="2" t="s">
        <v>70</v>
      </c>
      <c r="G1916" s="2" t="s">
        <v>71</v>
      </c>
      <c r="H1916" s="2">
        <v>5</v>
      </c>
      <c r="I1916" s="2"/>
      <c r="J1916" s="2">
        <v>25</v>
      </c>
      <c r="K1916" s="2" t="s">
        <v>29</v>
      </c>
      <c r="L1916" s="2" t="s">
        <v>121</v>
      </c>
    </row>
    <row r="1917" spans="1:12" x14ac:dyDescent="0.2">
      <c r="A1917" s="2">
        <v>100828</v>
      </c>
      <c r="B1917" s="17">
        <v>45576</v>
      </c>
      <c r="C1917" s="2" t="s">
        <v>398</v>
      </c>
      <c r="D1917" s="2" t="s">
        <v>181</v>
      </c>
      <c r="E1917" s="2" t="s">
        <v>14</v>
      </c>
      <c r="F1917" s="2" t="s">
        <v>155</v>
      </c>
      <c r="G1917" s="2" t="s">
        <v>135</v>
      </c>
      <c r="H1917" s="2">
        <v>10</v>
      </c>
      <c r="I1917" s="2">
        <v>3254.76</v>
      </c>
      <c r="J1917" s="2">
        <v>0</v>
      </c>
      <c r="K1917" s="2" t="s">
        <v>29</v>
      </c>
      <c r="L1917" s="2" t="s">
        <v>35</v>
      </c>
    </row>
    <row r="1918" spans="1:12" x14ac:dyDescent="0.2">
      <c r="A1918" s="2">
        <v>100310</v>
      </c>
      <c r="B1918" s="17">
        <v>45452</v>
      </c>
      <c r="C1918" s="2" t="s">
        <v>854</v>
      </c>
      <c r="D1918" s="2" t="s">
        <v>73</v>
      </c>
      <c r="E1918" s="2" t="s">
        <v>49</v>
      </c>
      <c r="F1918" s="2" t="s">
        <v>120</v>
      </c>
      <c r="G1918" s="2" t="s">
        <v>145</v>
      </c>
      <c r="H1918" s="2">
        <v>6</v>
      </c>
      <c r="I1918" s="2">
        <v>973.89</v>
      </c>
      <c r="J1918" s="2">
        <v>0.05</v>
      </c>
      <c r="K1918" s="2" t="s">
        <v>83</v>
      </c>
      <c r="L1918" s="2" t="s">
        <v>52</v>
      </c>
    </row>
    <row r="1919" spans="1:12" x14ac:dyDescent="0.2">
      <c r="A1919" s="2">
        <v>100277</v>
      </c>
      <c r="B1919" s="17">
        <v>45433</v>
      </c>
      <c r="C1919" s="2" t="s">
        <v>1053</v>
      </c>
      <c r="D1919" s="2" t="s">
        <v>73</v>
      </c>
      <c r="E1919" s="2" t="s">
        <v>49</v>
      </c>
      <c r="F1919" s="2" t="s">
        <v>74</v>
      </c>
      <c r="G1919" s="2" t="s">
        <v>23</v>
      </c>
      <c r="H1919" s="2">
        <v>7</v>
      </c>
      <c r="I1919" s="2">
        <v>2380.2199999999998</v>
      </c>
      <c r="J1919" s="2">
        <v>15</v>
      </c>
      <c r="K1919" s="2" t="s">
        <v>83</v>
      </c>
      <c r="L1919" s="2" t="s">
        <v>121</v>
      </c>
    </row>
    <row r="1920" spans="1:12" x14ac:dyDescent="0.2">
      <c r="A1920" s="2">
        <v>100637</v>
      </c>
      <c r="B1920" s="18">
        <v>45608</v>
      </c>
      <c r="C1920" s="2" t="s">
        <v>475</v>
      </c>
      <c r="D1920" s="2" t="s">
        <v>89</v>
      </c>
      <c r="E1920" s="2" t="s">
        <v>54</v>
      </c>
      <c r="F1920" s="2" t="s">
        <v>74</v>
      </c>
      <c r="G1920" s="2" t="s">
        <v>141</v>
      </c>
      <c r="H1920" s="2">
        <v>4</v>
      </c>
      <c r="I1920" s="2">
        <v>2462.66</v>
      </c>
      <c r="J1920" s="2">
        <v>0.05</v>
      </c>
      <c r="K1920" s="2" t="s">
        <v>24</v>
      </c>
      <c r="L1920" s="2" t="s">
        <v>18</v>
      </c>
    </row>
    <row r="1921" spans="1:12" x14ac:dyDescent="0.2">
      <c r="A1921" s="2">
        <v>100655</v>
      </c>
      <c r="B1921" s="18">
        <v>45587</v>
      </c>
      <c r="C1921" s="2" t="s">
        <v>797</v>
      </c>
      <c r="D1921" s="2" t="s">
        <v>58</v>
      </c>
      <c r="E1921" s="2" t="s">
        <v>38</v>
      </c>
      <c r="F1921" s="2" t="s">
        <v>70</v>
      </c>
      <c r="G1921" s="2" t="s">
        <v>153</v>
      </c>
      <c r="H1921" s="2">
        <v>4</v>
      </c>
      <c r="I1921" s="2">
        <v>19639.53</v>
      </c>
      <c r="J1921" s="2">
        <v>0.25</v>
      </c>
      <c r="K1921" s="2" t="s">
        <v>29</v>
      </c>
      <c r="L1921" s="2" t="s">
        <v>42</v>
      </c>
    </row>
    <row r="1922" spans="1:12" x14ac:dyDescent="0.2">
      <c r="A1922" s="2">
        <v>100623</v>
      </c>
      <c r="B1922" s="2" t="s">
        <v>942</v>
      </c>
      <c r="C1922" s="2" t="s">
        <v>396</v>
      </c>
      <c r="D1922" s="2" t="s">
        <v>129</v>
      </c>
      <c r="E1922" s="2" t="s">
        <v>49</v>
      </c>
      <c r="F1922" s="2" t="s">
        <v>22</v>
      </c>
      <c r="G1922" s="2" t="s">
        <v>145</v>
      </c>
      <c r="H1922" s="2">
        <v>4</v>
      </c>
      <c r="I1922" s="2">
        <v>2146.4299999999998</v>
      </c>
      <c r="J1922" s="2"/>
      <c r="K1922" s="2" t="s">
        <v>29</v>
      </c>
      <c r="L1922" s="2" t="s">
        <v>121</v>
      </c>
    </row>
    <row r="1923" spans="1:12" x14ac:dyDescent="0.2">
      <c r="A1923" s="2">
        <v>101860</v>
      </c>
      <c r="B1923" s="17">
        <v>45403</v>
      </c>
      <c r="C1923" s="2" t="s">
        <v>508</v>
      </c>
      <c r="D1923" s="2" t="s">
        <v>27</v>
      </c>
      <c r="E1923" s="2" t="s">
        <v>133</v>
      </c>
      <c r="F1923" s="2" t="s">
        <v>191</v>
      </c>
      <c r="G1923" s="2" t="s">
        <v>59</v>
      </c>
      <c r="H1923" s="2">
        <v>1</v>
      </c>
      <c r="I1923" s="2">
        <v>11072.64</v>
      </c>
      <c r="J1923" s="2">
        <v>0.15</v>
      </c>
      <c r="K1923" s="2" t="s">
        <v>41</v>
      </c>
      <c r="L1923" s="2" t="s">
        <v>143</v>
      </c>
    </row>
    <row r="1924" spans="1:12" x14ac:dyDescent="0.2">
      <c r="A1924" s="2">
        <v>100845</v>
      </c>
      <c r="B1924" s="17">
        <v>45450</v>
      </c>
      <c r="C1924" s="2" t="s">
        <v>774</v>
      </c>
      <c r="D1924" s="2" t="s">
        <v>73</v>
      </c>
      <c r="E1924" s="2" t="s">
        <v>49</v>
      </c>
      <c r="F1924" s="2" t="s">
        <v>120</v>
      </c>
      <c r="G1924" s="2" t="s">
        <v>232</v>
      </c>
      <c r="H1924" s="2">
        <v>1</v>
      </c>
      <c r="I1924" s="2">
        <v>2387.58</v>
      </c>
      <c r="J1924" s="2">
        <v>0</v>
      </c>
      <c r="K1924" s="2" t="s">
        <v>41</v>
      </c>
      <c r="L1924" s="2" t="s">
        <v>143</v>
      </c>
    </row>
    <row r="1925" spans="1:12" x14ac:dyDescent="0.2">
      <c r="A1925" s="2">
        <v>100394</v>
      </c>
      <c r="B1925" s="2" t="s">
        <v>996</v>
      </c>
      <c r="C1925" s="2"/>
      <c r="D1925" s="2" t="s">
        <v>95</v>
      </c>
      <c r="E1925" s="2" t="s">
        <v>133</v>
      </c>
      <c r="F1925" s="2" t="s">
        <v>15</v>
      </c>
      <c r="G1925" s="2" t="s">
        <v>152</v>
      </c>
      <c r="H1925" s="2">
        <v>1</v>
      </c>
      <c r="I1925" s="2" t="s">
        <v>1054</v>
      </c>
      <c r="J1925" s="2">
        <v>0</v>
      </c>
      <c r="K1925" s="2" t="s">
        <v>83</v>
      </c>
      <c r="L1925" s="2" t="s">
        <v>18</v>
      </c>
    </row>
    <row r="1926" spans="1:12" x14ac:dyDescent="0.2">
      <c r="A1926" s="2">
        <v>101770</v>
      </c>
      <c r="B1926" s="18">
        <v>45459</v>
      </c>
      <c r="C1926" s="2" t="s">
        <v>543</v>
      </c>
      <c r="D1926" s="2" t="s">
        <v>89</v>
      </c>
      <c r="E1926" s="2" t="s">
        <v>54</v>
      </c>
      <c r="F1926" s="2" t="s">
        <v>64</v>
      </c>
      <c r="G1926" s="2" t="s">
        <v>40</v>
      </c>
      <c r="H1926" s="2">
        <v>3</v>
      </c>
      <c r="I1926" s="2">
        <v>603.29</v>
      </c>
      <c r="J1926" s="2">
        <v>0</v>
      </c>
      <c r="K1926" s="2" t="s">
        <v>29</v>
      </c>
      <c r="L1926" s="2" t="s">
        <v>35</v>
      </c>
    </row>
    <row r="1927" spans="1:12" x14ac:dyDescent="0.2">
      <c r="A1927" s="2">
        <v>100108</v>
      </c>
      <c r="B1927" s="18">
        <v>45608</v>
      </c>
      <c r="C1927" s="2" t="s">
        <v>1055</v>
      </c>
      <c r="D1927" s="2" t="s">
        <v>61</v>
      </c>
      <c r="E1927" s="2" t="s">
        <v>119</v>
      </c>
      <c r="F1927" s="2" t="s">
        <v>50</v>
      </c>
      <c r="G1927" s="2" t="s">
        <v>207</v>
      </c>
      <c r="H1927" s="2">
        <v>4</v>
      </c>
      <c r="I1927" s="2">
        <v>9384.16</v>
      </c>
      <c r="J1927" s="2">
        <v>0.05</v>
      </c>
      <c r="K1927" s="2" t="s">
        <v>66</v>
      </c>
      <c r="L1927" s="2" t="s">
        <v>25</v>
      </c>
    </row>
    <row r="1928" spans="1:12" x14ac:dyDescent="0.2">
      <c r="A1928" s="2">
        <v>100350</v>
      </c>
      <c r="B1928" s="18">
        <v>45534</v>
      </c>
      <c r="C1928" s="2" t="s">
        <v>844</v>
      </c>
      <c r="D1928" s="2" t="s">
        <v>58</v>
      </c>
      <c r="E1928" s="2" t="s">
        <v>69</v>
      </c>
      <c r="F1928" s="2" t="s">
        <v>33</v>
      </c>
      <c r="G1928" s="2" t="s">
        <v>158</v>
      </c>
      <c r="H1928" s="2">
        <v>4</v>
      </c>
      <c r="I1928" s="2">
        <v>398.84</v>
      </c>
      <c r="J1928" s="2">
        <v>0</v>
      </c>
      <c r="K1928" s="2" t="s">
        <v>29</v>
      </c>
      <c r="L1928" s="2" t="s">
        <v>25</v>
      </c>
    </row>
    <row r="1929" spans="1:12" x14ac:dyDescent="0.2">
      <c r="A1929" s="2">
        <v>100525</v>
      </c>
      <c r="B1929" s="18">
        <v>45464</v>
      </c>
      <c r="C1929" s="2" t="s">
        <v>390</v>
      </c>
      <c r="D1929" s="2" t="s">
        <v>27</v>
      </c>
      <c r="E1929" s="2" t="s">
        <v>133</v>
      </c>
      <c r="F1929" s="2" t="s">
        <v>96</v>
      </c>
      <c r="G1929" s="2" t="s">
        <v>149</v>
      </c>
      <c r="H1929" s="2">
        <v>7</v>
      </c>
      <c r="I1929" s="2">
        <v>7258.43</v>
      </c>
      <c r="J1929" s="2">
        <v>0.05</v>
      </c>
      <c r="K1929" s="2" t="s">
        <v>41</v>
      </c>
      <c r="L1929" s="2" t="s">
        <v>18</v>
      </c>
    </row>
    <row r="1930" spans="1:12" x14ac:dyDescent="0.2">
      <c r="A1930" s="2">
        <v>100785</v>
      </c>
      <c r="B1930" s="2" t="s">
        <v>548</v>
      </c>
      <c r="C1930" s="2" t="s">
        <v>255</v>
      </c>
      <c r="D1930" s="2" t="s">
        <v>27</v>
      </c>
      <c r="E1930" s="2" t="s">
        <v>21</v>
      </c>
      <c r="F1930" s="2" t="s">
        <v>102</v>
      </c>
      <c r="G1930" s="2" t="s">
        <v>135</v>
      </c>
      <c r="H1930" s="2">
        <v>6</v>
      </c>
      <c r="I1930" s="2"/>
      <c r="J1930" s="2">
        <v>15</v>
      </c>
      <c r="K1930" s="2" t="s">
        <v>17</v>
      </c>
      <c r="L1930" s="2" t="s">
        <v>25</v>
      </c>
    </row>
    <row r="1931" spans="1:12" x14ac:dyDescent="0.2">
      <c r="A1931" s="2">
        <v>100048</v>
      </c>
      <c r="B1931" s="18">
        <v>45376</v>
      </c>
      <c r="C1931" s="2" t="s">
        <v>940</v>
      </c>
      <c r="D1931" s="2" t="s">
        <v>48</v>
      </c>
      <c r="E1931" s="2" t="s">
        <v>49</v>
      </c>
      <c r="F1931" s="2" t="s">
        <v>33</v>
      </c>
      <c r="G1931" s="2" t="s">
        <v>34</v>
      </c>
      <c r="H1931" s="2">
        <v>4</v>
      </c>
      <c r="I1931" s="2">
        <v>548.49</v>
      </c>
      <c r="J1931" s="2">
        <v>0.15</v>
      </c>
      <c r="K1931" s="2" t="s">
        <v>83</v>
      </c>
      <c r="L1931" s="2" t="s">
        <v>87</v>
      </c>
    </row>
    <row r="1932" spans="1:12" x14ac:dyDescent="0.2">
      <c r="A1932" s="2">
        <v>100204</v>
      </c>
      <c r="B1932" s="17">
        <v>45566</v>
      </c>
      <c r="C1932" s="2" t="s">
        <v>326</v>
      </c>
      <c r="D1932" s="2" t="s">
        <v>175</v>
      </c>
      <c r="E1932" s="2" t="s">
        <v>38</v>
      </c>
      <c r="F1932" s="2" t="s">
        <v>33</v>
      </c>
      <c r="G1932" s="2" t="s">
        <v>34</v>
      </c>
      <c r="H1932" s="2">
        <v>6</v>
      </c>
      <c r="I1932" s="2">
        <v>326.26</v>
      </c>
      <c r="J1932" s="2">
        <v>0.2</v>
      </c>
      <c r="K1932" s="2" t="s">
        <v>24</v>
      </c>
      <c r="L1932" s="2" t="s">
        <v>42</v>
      </c>
    </row>
    <row r="1933" spans="1:12" x14ac:dyDescent="0.2">
      <c r="A1933" s="2"/>
      <c r="B1933" s="2"/>
      <c r="C1933" s="2"/>
      <c r="D1933" s="2"/>
      <c r="E1933" s="2"/>
      <c r="F1933" s="2"/>
      <c r="G1933" s="2"/>
      <c r="H1933" s="2"/>
      <c r="I1933" s="2"/>
      <c r="J1933" s="2"/>
      <c r="K1933" s="2"/>
      <c r="L1933" s="2"/>
    </row>
    <row r="1934" spans="1:12" x14ac:dyDescent="0.2">
      <c r="A1934" s="2">
        <v>101656</v>
      </c>
      <c r="B1934" s="2" t="s">
        <v>1023</v>
      </c>
      <c r="C1934" s="2" t="s">
        <v>1056</v>
      </c>
      <c r="D1934" s="2" t="s">
        <v>131</v>
      </c>
      <c r="E1934" s="2" t="s">
        <v>21</v>
      </c>
      <c r="F1934" s="2" t="s">
        <v>22</v>
      </c>
      <c r="G1934" s="2" t="s">
        <v>75</v>
      </c>
      <c r="H1934" s="2">
        <v>9</v>
      </c>
      <c r="I1934" s="2">
        <v>1380.07</v>
      </c>
      <c r="J1934" s="2">
        <v>0.25</v>
      </c>
      <c r="K1934" s="2" t="s">
        <v>24</v>
      </c>
      <c r="L1934" s="2" t="s">
        <v>35</v>
      </c>
    </row>
    <row r="1935" spans="1:12" x14ac:dyDescent="0.2">
      <c r="A1935" s="2">
        <v>100022</v>
      </c>
      <c r="B1935" s="17">
        <v>45600</v>
      </c>
      <c r="C1935" s="2" t="s">
        <v>779</v>
      </c>
      <c r="D1935" s="2" t="s">
        <v>89</v>
      </c>
      <c r="E1935" s="2" t="s">
        <v>32</v>
      </c>
      <c r="F1935" s="2" t="s">
        <v>155</v>
      </c>
      <c r="G1935" s="2" t="s">
        <v>156</v>
      </c>
      <c r="H1935" s="2">
        <v>10</v>
      </c>
      <c r="I1935" s="2">
        <v>3135.4</v>
      </c>
      <c r="J1935" s="2">
        <v>0.05</v>
      </c>
      <c r="K1935" s="2" t="s">
        <v>41</v>
      </c>
      <c r="L1935" s="2" t="s">
        <v>35</v>
      </c>
    </row>
    <row r="1936" spans="1:12" x14ac:dyDescent="0.2">
      <c r="A1936" s="2">
        <v>100403</v>
      </c>
      <c r="B1936" s="2" t="s">
        <v>580</v>
      </c>
      <c r="C1936" s="2" t="s">
        <v>352</v>
      </c>
      <c r="D1936" s="2" t="s">
        <v>181</v>
      </c>
      <c r="E1936" s="2" t="s">
        <v>14</v>
      </c>
      <c r="F1936" s="2" t="s">
        <v>33</v>
      </c>
      <c r="G1936" s="2" t="s">
        <v>93</v>
      </c>
      <c r="H1936" s="2">
        <v>1</v>
      </c>
      <c r="I1936" s="2">
        <v>558.12</v>
      </c>
      <c r="J1936" s="2">
        <v>0</v>
      </c>
      <c r="K1936" s="2" t="s">
        <v>83</v>
      </c>
      <c r="L1936" s="2" t="s">
        <v>42</v>
      </c>
    </row>
    <row r="1937" spans="1:12" x14ac:dyDescent="0.2">
      <c r="A1937" s="2">
        <v>101108</v>
      </c>
      <c r="B1937" s="18">
        <v>45350</v>
      </c>
      <c r="C1937" s="2" t="s">
        <v>403</v>
      </c>
      <c r="D1937" s="2" t="s">
        <v>61</v>
      </c>
      <c r="E1937" s="2" t="s">
        <v>14</v>
      </c>
      <c r="F1937" s="2" t="s">
        <v>191</v>
      </c>
      <c r="G1937" s="2" t="s">
        <v>205</v>
      </c>
      <c r="H1937" s="2">
        <v>11</v>
      </c>
      <c r="I1937" s="2">
        <v>2939.99</v>
      </c>
      <c r="J1937" s="2">
        <v>0.2</v>
      </c>
      <c r="K1937" s="2" t="s">
        <v>29</v>
      </c>
      <c r="L1937" s="2" t="s">
        <v>121</v>
      </c>
    </row>
    <row r="1938" spans="1:12" x14ac:dyDescent="0.2">
      <c r="A1938" s="2">
        <v>101155</v>
      </c>
      <c r="B1938" s="18">
        <v>45500</v>
      </c>
      <c r="C1938" s="2" t="s">
        <v>184</v>
      </c>
      <c r="D1938" s="2" t="s">
        <v>129</v>
      </c>
      <c r="E1938" s="2" t="s">
        <v>49</v>
      </c>
      <c r="F1938" s="2" t="s">
        <v>45</v>
      </c>
      <c r="G1938" s="2" t="s">
        <v>111</v>
      </c>
      <c r="H1938" s="2">
        <v>1</v>
      </c>
      <c r="I1938" s="2">
        <v>11829.88</v>
      </c>
      <c r="J1938" s="2">
        <v>0</v>
      </c>
      <c r="K1938" s="2" t="s">
        <v>17</v>
      </c>
      <c r="L1938" s="2" t="s">
        <v>35</v>
      </c>
    </row>
    <row r="1939" spans="1:12" x14ac:dyDescent="0.2">
      <c r="A1939" s="2">
        <v>101440</v>
      </c>
      <c r="B1939" s="18">
        <v>45593</v>
      </c>
      <c r="C1939" s="2"/>
      <c r="D1939" s="2" t="s">
        <v>85</v>
      </c>
      <c r="E1939" s="2" t="s">
        <v>14</v>
      </c>
      <c r="F1939" s="2" t="s">
        <v>64</v>
      </c>
      <c r="G1939" s="2" t="s">
        <v>40</v>
      </c>
      <c r="H1939" s="2">
        <v>9</v>
      </c>
      <c r="I1939" s="2">
        <v>306</v>
      </c>
      <c r="J1939" s="2">
        <v>0</v>
      </c>
      <c r="K1939" s="2" t="s">
        <v>83</v>
      </c>
      <c r="L1939" s="2" t="s">
        <v>25</v>
      </c>
    </row>
    <row r="1940" spans="1:12" x14ac:dyDescent="0.2">
      <c r="A1940" s="2">
        <v>101150</v>
      </c>
      <c r="B1940" s="17">
        <v>45579</v>
      </c>
      <c r="C1940" s="2" t="s">
        <v>333</v>
      </c>
      <c r="D1940" s="2" t="s">
        <v>160</v>
      </c>
      <c r="E1940" s="2" t="s">
        <v>79</v>
      </c>
      <c r="F1940" s="2" t="s">
        <v>120</v>
      </c>
      <c r="G1940" s="2" t="s">
        <v>145</v>
      </c>
      <c r="H1940" s="2">
        <v>5</v>
      </c>
      <c r="I1940" s="2"/>
      <c r="J1940" s="2">
        <v>0</v>
      </c>
      <c r="K1940" s="2" t="s">
        <v>66</v>
      </c>
      <c r="L1940" s="2" t="s">
        <v>143</v>
      </c>
    </row>
    <row r="1941" spans="1:12" x14ac:dyDescent="0.2">
      <c r="A1941" s="2">
        <v>100990</v>
      </c>
      <c r="B1941" s="17">
        <v>45510</v>
      </c>
      <c r="C1941" s="2" t="s">
        <v>835</v>
      </c>
      <c r="D1941" s="2" t="s">
        <v>109</v>
      </c>
      <c r="E1941" s="2" t="s">
        <v>21</v>
      </c>
      <c r="F1941" s="2" t="s">
        <v>86</v>
      </c>
      <c r="G1941" s="2" t="s">
        <v>97</v>
      </c>
      <c r="H1941" s="2">
        <v>3</v>
      </c>
      <c r="I1941" s="2">
        <v>40095.050000000003</v>
      </c>
      <c r="J1941" s="2">
        <v>0.15</v>
      </c>
      <c r="K1941" s="2" t="s">
        <v>41</v>
      </c>
      <c r="L1941" s="2" t="s">
        <v>52</v>
      </c>
    </row>
    <row r="1942" spans="1:12" x14ac:dyDescent="0.2">
      <c r="A1942" s="2">
        <v>101866</v>
      </c>
      <c r="B1942" s="18">
        <v>45502</v>
      </c>
      <c r="C1942" s="2" t="s">
        <v>927</v>
      </c>
      <c r="D1942" s="2" t="s">
        <v>13</v>
      </c>
      <c r="E1942" s="2" t="s">
        <v>119</v>
      </c>
      <c r="F1942" s="2" t="s">
        <v>22</v>
      </c>
      <c r="G1942" s="2" t="s">
        <v>145</v>
      </c>
      <c r="H1942" s="2">
        <v>6</v>
      </c>
      <c r="I1942" s="2">
        <v>3046.97</v>
      </c>
      <c r="J1942" s="2">
        <v>0.2</v>
      </c>
      <c r="K1942" s="2" t="s">
        <v>24</v>
      </c>
      <c r="L1942" s="2" t="s">
        <v>52</v>
      </c>
    </row>
    <row r="1943" spans="1:12" x14ac:dyDescent="0.2">
      <c r="A1943" s="2">
        <v>100742</v>
      </c>
      <c r="B1943" s="17">
        <v>45611</v>
      </c>
      <c r="C1943" s="2" t="s">
        <v>411</v>
      </c>
      <c r="D1943" s="2" t="s">
        <v>37</v>
      </c>
      <c r="E1943" s="2" t="s">
        <v>69</v>
      </c>
      <c r="F1943" s="2" t="s">
        <v>74</v>
      </c>
      <c r="G1943" s="2" t="s">
        <v>145</v>
      </c>
      <c r="H1943" s="2">
        <v>4</v>
      </c>
      <c r="I1943" s="2">
        <v>822.16</v>
      </c>
      <c r="J1943" s="2">
        <v>0</v>
      </c>
      <c r="K1943" s="2" t="s">
        <v>29</v>
      </c>
      <c r="L1943" s="2" t="s">
        <v>18</v>
      </c>
    </row>
    <row r="1944" spans="1:12" x14ac:dyDescent="0.2">
      <c r="A1944" s="2">
        <v>101722</v>
      </c>
      <c r="B1944" s="17">
        <v>45393</v>
      </c>
      <c r="C1944" s="2" t="s">
        <v>703</v>
      </c>
      <c r="D1944" s="2" t="s">
        <v>92</v>
      </c>
      <c r="E1944" s="2" t="s">
        <v>32</v>
      </c>
      <c r="F1944" s="2" t="s">
        <v>15</v>
      </c>
      <c r="G1944" s="2" t="s">
        <v>152</v>
      </c>
      <c r="H1944" s="2">
        <v>6</v>
      </c>
      <c r="I1944" s="2">
        <v>16140.21</v>
      </c>
      <c r="J1944" s="2"/>
      <c r="K1944" s="2" t="s">
        <v>29</v>
      </c>
      <c r="L1944" s="2" t="s">
        <v>18</v>
      </c>
    </row>
    <row r="1945" spans="1:12" x14ac:dyDescent="0.2">
      <c r="A1945" s="2">
        <v>101311</v>
      </c>
      <c r="B1945" s="18">
        <v>45527</v>
      </c>
      <c r="C1945" s="2" t="s">
        <v>790</v>
      </c>
      <c r="D1945" s="2" t="s">
        <v>48</v>
      </c>
      <c r="E1945" s="2" t="s">
        <v>79</v>
      </c>
      <c r="F1945" s="2" t="s">
        <v>113</v>
      </c>
      <c r="G1945" s="2" t="s">
        <v>165</v>
      </c>
      <c r="H1945" s="2">
        <v>1</v>
      </c>
      <c r="I1945" s="2">
        <v>656.8</v>
      </c>
      <c r="J1945" s="2"/>
      <c r="K1945" s="2" t="s">
        <v>41</v>
      </c>
      <c r="L1945" s="2" t="s">
        <v>35</v>
      </c>
    </row>
    <row r="1946" spans="1:12" x14ac:dyDescent="0.2">
      <c r="A1946" s="2">
        <v>101148</v>
      </c>
      <c r="B1946" s="17">
        <v>45598</v>
      </c>
      <c r="C1946" s="2" t="s">
        <v>319</v>
      </c>
      <c r="D1946" s="2" t="s">
        <v>140</v>
      </c>
      <c r="E1946" s="2" t="s">
        <v>49</v>
      </c>
      <c r="F1946" s="2" t="s">
        <v>96</v>
      </c>
      <c r="G1946" s="2" t="s">
        <v>153</v>
      </c>
      <c r="H1946" s="2">
        <v>12</v>
      </c>
      <c r="I1946" s="2">
        <v>35659.120000000003</v>
      </c>
      <c r="J1946" s="2">
        <v>0</v>
      </c>
      <c r="K1946" s="2" t="s">
        <v>24</v>
      </c>
      <c r="L1946" s="2" t="s">
        <v>25</v>
      </c>
    </row>
    <row r="1947" spans="1:12" x14ac:dyDescent="0.2">
      <c r="A1947" s="2">
        <v>100034</v>
      </c>
      <c r="B1947" s="17">
        <v>45497</v>
      </c>
      <c r="C1947" s="2" t="s">
        <v>705</v>
      </c>
      <c r="D1947" s="2" t="s">
        <v>109</v>
      </c>
      <c r="E1947" s="2" t="s">
        <v>21</v>
      </c>
      <c r="F1947" s="2" t="s">
        <v>50</v>
      </c>
      <c r="G1947" s="2" t="s">
        <v>51</v>
      </c>
      <c r="H1947" s="2">
        <v>1</v>
      </c>
      <c r="I1947" s="2">
        <v>4056.17</v>
      </c>
      <c r="J1947" s="2">
        <v>0</v>
      </c>
      <c r="K1947" s="2" t="s">
        <v>17</v>
      </c>
      <c r="L1947" s="2" t="s">
        <v>52</v>
      </c>
    </row>
    <row r="1948" spans="1:12" x14ac:dyDescent="0.2">
      <c r="A1948" s="2">
        <v>100788</v>
      </c>
      <c r="B1948" s="18">
        <v>45478</v>
      </c>
      <c r="C1948" s="2" t="s">
        <v>468</v>
      </c>
      <c r="D1948" s="2" t="s">
        <v>89</v>
      </c>
      <c r="E1948" s="2" t="s">
        <v>54</v>
      </c>
      <c r="F1948" s="2" t="s">
        <v>22</v>
      </c>
      <c r="G1948" s="2" t="s">
        <v>232</v>
      </c>
      <c r="H1948" s="2">
        <v>12</v>
      </c>
      <c r="I1948" s="2">
        <v>1927.41</v>
      </c>
      <c r="J1948" s="2">
        <v>0.15</v>
      </c>
      <c r="K1948" s="2" t="s">
        <v>83</v>
      </c>
      <c r="L1948" s="2" t="s">
        <v>87</v>
      </c>
    </row>
    <row r="1949" spans="1:12" x14ac:dyDescent="0.2">
      <c r="A1949" s="2">
        <v>101541</v>
      </c>
      <c r="B1949" s="17">
        <v>45533</v>
      </c>
      <c r="C1949" s="2" t="s">
        <v>627</v>
      </c>
      <c r="D1949" s="2" t="s">
        <v>37</v>
      </c>
      <c r="E1949" s="2" t="s">
        <v>69</v>
      </c>
      <c r="F1949" s="2" t="s">
        <v>86</v>
      </c>
      <c r="G1949" s="2" t="s">
        <v>71</v>
      </c>
      <c r="H1949" s="2">
        <v>12</v>
      </c>
      <c r="I1949" s="2">
        <v>10493.17</v>
      </c>
      <c r="J1949" s="2">
        <v>0.2</v>
      </c>
      <c r="K1949" s="2" t="s">
        <v>24</v>
      </c>
      <c r="L1949" s="2" t="s">
        <v>25</v>
      </c>
    </row>
    <row r="1950" spans="1:12" x14ac:dyDescent="0.2">
      <c r="A1950" s="2">
        <v>100924</v>
      </c>
      <c r="B1950" s="17">
        <v>45508</v>
      </c>
      <c r="C1950" s="2" t="s">
        <v>865</v>
      </c>
      <c r="D1950" s="2" t="s">
        <v>95</v>
      </c>
      <c r="E1950" s="2" t="s">
        <v>133</v>
      </c>
      <c r="F1950" s="2" t="s">
        <v>15</v>
      </c>
      <c r="G1950" s="2" t="s">
        <v>152</v>
      </c>
      <c r="H1950" s="2">
        <v>7</v>
      </c>
      <c r="I1950" s="2">
        <v>10296.48</v>
      </c>
      <c r="J1950" s="2">
        <v>0.1</v>
      </c>
      <c r="K1950" s="2" t="s">
        <v>17</v>
      </c>
      <c r="L1950" s="2" t="s">
        <v>52</v>
      </c>
    </row>
    <row r="1951" spans="1:12" x14ac:dyDescent="0.2">
      <c r="A1951" s="2">
        <v>101044</v>
      </c>
      <c r="B1951" s="17">
        <v>45494</v>
      </c>
      <c r="C1951" s="2" t="s">
        <v>711</v>
      </c>
      <c r="D1951" s="2" t="s">
        <v>31</v>
      </c>
      <c r="E1951" s="2" t="s">
        <v>54</v>
      </c>
      <c r="F1951" s="2" t="s">
        <v>80</v>
      </c>
      <c r="G1951" s="2" t="s">
        <v>34</v>
      </c>
      <c r="H1951" s="2">
        <v>12</v>
      </c>
      <c r="I1951" s="2">
        <v>203.69</v>
      </c>
      <c r="J1951" s="2">
        <v>10</v>
      </c>
      <c r="K1951" s="2" t="s">
        <v>83</v>
      </c>
      <c r="L1951" s="2" t="s">
        <v>25</v>
      </c>
    </row>
    <row r="1952" spans="1:12" x14ac:dyDescent="0.2">
      <c r="A1952" s="2">
        <v>101955</v>
      </c>
      <c r="B1952" s="17">
        <v>45540</v>
      </c>
      <c r="C1952" s="2" t="s">
        <v>210</v>
      </c>
      <c r="D1952" s="2" t="s">
        <v>89</v>
      </c>
      <c r="E1952" s="2" t="s">
        <v>54</v>
      </c>
      <c r="F1952" s="2" t="s">
        <v>113</v>
      </c>
      <c r="G1952" s="2" t="s">
        <v>40</v>
      </c>
      <c r="H1952" s="2">
        <v>2</v>
      </c>
      <c r="I1952" s="2">
        <v>690.52</v>
      </c>
      <c r="J1952" s="2">
        <v>0</v>
      </c>
      <c r="K1952" s="2" t="s">
        <v>41</v>
      </c>
      <c r="L1952" s="2" t="s">
        <v>35</v>
      </c>
    </row>
    <row r="1953" spans="1:12" x14ac:dyDescent="0.2">
      <c r="A1953" s="2">
        <v>101244</v>
      </c>
      <c r="B1953" s="18">
        <v>45558</v>
      </c>
      <c r="C1953" s="2" t="s">
        <v>401</v>
      </c>
      <c r="D1953" s="2" t="s">
        <v>13</v>
      </c>
      <c r="E1953" s="2" t="s">
        <v>119</v>
      </c>
      <c r="F1953" s="2" t="s">
        <v>45</v>
      </c>
      <c r="G1953" s="2" t="s">
        <v>71</v>
      </c>
      <c r="H1953" s="2">
        <v>11</v>
      </c>
      <c r="I1953" s="2">
        <v>31798.76</v>
      </c>
      <c r="J1953" s="2">
        <v>0.15</v>
      </c>
      <c r="K1953" s="2" t="s">
        <v>66</v>
      </c>
      <c r="L1953" s="2" t="s">
        <v>35</v>
      </c>
    </row>
    <row r="1954" spans="1:12" x14ac:dyDescent="0.2">
      <c r="A1954" s="2">
        <v>101916</v>
      </c>
      <c r="B1954" s="18">
        <v>45641</v>
      </c>
      <c r="C1954" s="2" t="s">
        <v>1057</v>
      </c>
      <c r="D1954" s="2" t="s">
        <v>58</v>
      </c>
      <c r="E1954" s="2" t="s">
        <v>69</v>
      </c>
      <c r="F1954" s="2" t="s">
        <v>113</v>
      </c>
      <c r="G1954" s="2" t="s">
        <v>114</v>
      </c>
      <c r="H1954" s="2">
        <v>2</v>
      </c>
      <c r="I1954" s="2">
        <v>614.65</v>
      </c>
      <c r="J1954" s="2">
        <v>0</v>
      </c>
      <c r="K1954" s="2" t="s">
        <v>29</v>
      </c>
      <c r="L1954" s="2" t="s">
        <v>18</v>
      </c>
    </row>
    <row r="1955" spans="1:12" x14ac:dyDescent="0.2">
      <c r="A1955" s="2">
        <v>100580</v>
      </c>
      <c r="B1955" s="17">
        <v>45325</v>
      </c>
      <c r="C1955" s="2" t="s">
        <v>413</v>
      </c>
      <c r="D1955" s="2" t="s">
        <v>181</v>
      </c>
      <c r="E1955" s="2" t="s">
        <v>119</v>
      </c>
      <c r="F1955" s="2" t="s">
        <v>113</v>
      </c>
      <c r="G1955" s="2" t="s">
        <v>114</v>
      </c>
      <c r="H1955" s="2">
        <v>4</v>
      </c>
      <c r="I1955" s="2" t="s">
        <v>1058</v>
      </c>
      <c r="J1955" s="2">
        <v>0.1</v>
      </c>
      <c r="K1955" s="2" t="s">
        <v>41</v>
      </c>
      <c r="L1955" s="2" t="s">
        <v>42</v>
      </c>
    </row>
    <row r="1956" spans="1:12" x14ac:dyDescent="0.2">
      <c r="A1956" s="2">
        <v>100482</v>
      </c>
      <c r="B1956" s="17">
        <v>45294</v>
      </c>
      <c r="C1956" s="2" t="s">
        <v>616</v>
      </c>
      <c r="D1956" s="2" t="s">
        <v>27</v>
      </c>
      <c r="E1956" s="2" t="s">
        <v>21</v>
      </c>
      <c r="F1956" s="2" t="s">
        <v>15</v>
      </c>
      <c r="G1956" s="2" t="s">
        <v>59</v>
      </c>
      <c r="H1956" s="2">
        <v>2</v>
      </c>
      <c r="I1956" s="2">
        <v>21811.94</v>
      </c>
      <c r="J1956" s="2">
        <v>0.15</v>
      </c>
      <c r="K1956" s="2" t="s">
        <v>41</v>
      </c>
      <c r="L1956" s="2" t="s">
        <v>52</v>
      </c>
    </row>
    <row r="1957" spans="1:12" x14ac:dyDescent="0.2">
      <c r="A1957" s="2">
        <v>100932</v>
      </c>
      <c r="B1957" s="18">
        <v>45349</v>
      </c>
      <c r="C1957" s="2" t="s">
        <v>692</v>
      </c>
      <c r="D1957" s="2" t="s">
        <v>27</v>
      </c>
      <c r="E1957" s="2" t="s">
        <v>21</v>
      </c>
      <c r="F1957" s="2" t="s">
        <v>80</v>
      </c>
      <c r="G1957" s="2" t="s">
        <v>158</v>
      </c>
      <c r="H1957" s="2">
        <v>12</v>
      </c>
      <c r="I1957" s="2"/>
      <c r="J1957" s="2">
        <v>0.1</v>
      </c>
      <c r="K1957" s="2" t="s">
        <v>66</v>
      </c>
      <c r="L1957" s="2" t="s">
        <v>87</v>
      </c>
    </row>
    <row r="1958" spans="1:12" x14ac:dyDescent="0.2">
      <c r="A1958" s="2">
        <v>100357</v>
      </c>
      <c r="B1958" s="17">
        <v>45440</v>
      </c>
      <c r="C1958" s="2" t="s">
        <v>874</v>
      </c>
      <c r="D1958" s="2" t="s">
        <v>131</v>
      </c>
      <c r="E1958" s="2" t="s">
        <v>21</v>
      </c>
      <c r="F1958" s="2" t="s">
        <v>33</v>
      </c>
      <c r="G1958" s="2" t="s">
        <v>93</v>
      </c>
      <c r="H1958" s="2">
        <v>6</v>
      </c>
      <c r="I1958" s="2">
        <v>299.81</v>
      </c>
      <c r="J1958" s="2">
        <v>20</v>
      </c>
      <c r="K1958" s="2" t="s">
        <v>83</v>
      </c>
      <c r="L1958" s="2" t="s">
        <v>52</v>
      </c>
    </row>
    <row r="1959" spans="1:12" x14ac:dyDescent="0.2">
      <c r="A1959" s="2">
        <v>101686</v>
      </c>
      <c r="B1959" s="17">
        <v>45566</v>
      </c>
      <c r="C1959" s="2" t="s">
        <v>174</v>
      </c>
      <c r="D1959" s="2" t="s">
        <v>101</v>
      </c>
      <c r="E1959" s="2" t="s">
        <v>69</v>
      </c>
      <c r="F1959" s="2" t="s">
        <v>15</v>
      </c>
      <c r="G1959" s="2" t="s">
        <v>152</v>
      </c>
      <c r="H1959" s="2">
        <v>12</v>
      </c>
      <c r="I1959" s="2">
        <v>11915.87</v>
      </c>
      <c r="J1959" s="2">
        <v>0</v>
      </c>
      <c r="K1959" s="2" t="s">
        <v>29</v>
      </c>
      <c r="L1959" s="2" t="s">
        <v>52</v>
      </c>
    </row>
    <row r="1960" spans="1:12" x14ac:dyDescent="0.2">
      <c r="A1960" s="2">
        <v>101249</v>
      </c>
      <c r="B1960" s="18">
        <v>45456</v>
      </c>
      <c r="C1960" s="2" t="s">
        <v>296</v>
      </c>
      <c r="D1960" s="2" t="s">
        <v>13</v>
      </c>
      <c r="E1960" s="2" t="s">
        <v>14</v>
      </c>
      <c r="F1960" s="2" t="s">
        <v>80</v>
      </c>
      <c r="G1960" s="2" t="s">
        <v>158</v>
      </c>
      <c r="H1960" s="2">
        <v>2</v>
      </c>
      <c r="I1960" s="2">
        <v>417.65</v>
      </c>
      <c r="J1960" s="2">
        <v>0.05</v>
      </c>
      <c r="K1960" s="2" t="s">
        <v>66</v>
      </c>
      <c r="L1960" s="2" t="s">
        <v>121</v>
      </c>
    </row>
    <row r="1961" spans="1:12" x14ac:dyDescent="0.2">
      <c r="A1961" s="2">
        <v>100760</v>
      </c>
      <c r="B1961" s="18">
        <v>45633</v>
      </c>
      <c r="C1961" s="2" t="s">
        <v>695</v>
      </c>
      <c r="D1961" s="2" t="s">
        <v>101</v>
      </c>
      <c r="E1961" s="2" t="s">
        <v>38</v>
      </c>
      <c r="F1961" s="2" t="s">
        <v>39</v>
      </c>
      <c r="G1961" s="2" t="s">
        <v>292</v>
      </c>
      <c r="H1961" s="2">
        <v>4</v>
      </c>
      <c r="I1961" s="2">
        <v>676.16</v>
      </c>
      <c r="J1961" s="2"/>
      <c r="K1961" s="2" t="s">
        <v>83</v>
      </c>
      <c r="L1961" s="2" t="s">
        <v>87</v>
      </c>
    </row>
    <row r="1962" spans="1:12" x14ac:dyDescent="0.2">
      <c r="A1962" s="2">
        <v>100093</v>
      </c>
      <c r="B1962" s="18">
        <v>45337</v>
      </c>
      <c r="C1962" s="2" t="s">
        <v>233</v>
      </c>
      <c r="D1962" s="2" t="s">
        <v>73</v>
      </c>
      <c r="E1962" s="2" t="s">
        <v>79</v>
      </c>
      <c r="F1962" s="2" t="s">
        <v>106</v>
      </c>
      <c r="G1962" s="2" t="s">
        <v>103</v>
      </c>
      <c r="H1962" s="2">
        <v>11</v>
      </c>
      <c r="I1962" s="2">
        <v>3111.57</v>
      </c>
      <c r="J1962" s="2"/>
      <c r="K1962" s="2" t="s">
        <v>41</v>
      </c>
      <c r="L1962" s="2" t="s">
        <v>121</v>
      </c>
    </row>
    <row r="1963" spans="1:12" x14ac:dyDescent="0.2">
      <c r="A1963" s="2">
        <v>101176</v>
      </c>
      <c r="B1963" s="17">
        <v>45417</v>
      </c>
      <c r="C1963" s="2" t="s">
        <v>286</v>
      </c>
      <c r="D1963" s="2" t="s">
        <v>31</v>
      </c>
      <c r="E1963" s="2" t="s">
        <v>32</v>
      </c>
      <c r="F1963" s="2" t="s">
        <v>96</v>
      </c>
      <c r="G1963" s="2" t="s">
        <v>97</v>
      </c>
      <c r="H1963" s="2">
        <v>9</v>
      </c>
      <c r="I1963" s="2">
        <v>5264.51</v>
      </c>
      <c r="J1963" s="2">
        <v>0</v>
      </c>
      <c r="K1963" s="2" t="s">
        <v>29</v>
      </c>
      <c r="L1963" s="2" t="s">
        <v>35</v>
      </c>
    </row>
    <row r="1964" spans="1:12" x14ac:dyDescent="0.2">
      <c r="A1964" s="2">
        <v>101416</v>
      </c>
      <c r="B1964" s="18">
        <v>45523</v>
      </c>
      <c r="C1964" s="2" t="s">
        <v>934</v>
      </c>
      <c r="D1964" s="2" t="s">
        <v>101</v>
      </c>
      <c r="E1964" s="2" t="s">
        <v>38</v>
      </c>
      <c r="F1964" s="2" t="s">
        <v>50</v>
      </c>
      <c r="G1964" s="2" t="s">
        <v>62</v>
      </c>
      <c r="H1964" s="2">
        <v>7</v>
      </c>
      <c r="I1964" s="2">
        <v>5373.21</v>
      </c>
      <c r="J1964" s="2">
        <v>15</v>
      </c>
      <c r="K1964" s="2" t="s">
        <v>29</v>
      </c>
      <c r="L1964" s="2" t="s">
        <v>52</v>
      </c>
    </row>
    <row r="1965" spans="1:12" x14ac:dyDescent="0.2">
      <c r="A1965" s="2">
        <v>101342</v>
      </c>
      <c r="B1965" s="18">
        <v>45441</v>
      </c>
      <c r="C1965" s="2" t="s">
        <v>115</v>
      </c>
      <c r="D1965" s="2" t="s">
        <v>140</v>
      </c>
      <c r="E1965" s="2" t="s">
        <v>49</v>
      </c>
      <c r="F1965" s="2" t="s">
        <v>191</v>
      </c>
      <c r="G1965" s="2" t="s">
        <v>16</v>
      </c>
      <c r="H1965" s="2">
        <v>4</v>
      </c>
      <c r="I1965" s="2">
        <v>12288.28</v>
      </c>
      <c r="J1965" s="2">
        <v>0.25</v>
      </c>
      <c r="K1965" s="2" t="s">
        <v>83</v>
      </c>
      <c r="L1965" s="2" t="s">
        <v>35</v>
      </c>
    </row>
    <row r="1966" spans="1:12" x14ac:dyDescent="0.2">
      <c r="A1966" s="2">
        <v>101473</v>
      </c>
      <c r="B1966" s="18">
        <v>45298</v>
      </c>
      <c r="C1966" s="2" t="s">
        <v>390</v>
      </c>
      <c r="D1966" s="2" t="s">
        <v>140</v>
      </c>
      <c r="E1966" s="2" t="s">
        <v>49</v>
      </c>
      <c r="F1966" s="2" t="s">
        <v>55</v>
      </c>
      <c r="G1966" s="2" t="s">
        <v>207</v>
      </c>
      <c r="H1966" s="2">
        <v>7</v>
      </c>
      <c r="I1966" s="2">
        <v>11490.58</v>
      </c>
      <c r="J1966" s="2">
        <v>0.2</v>
      </c>
      <c r="K1966" s="2" t="s">
        <v>24</v>
      </c>
      <c r="L1966" s="2" t="s">
        <v>25</v>
      </c>
    </row>
    <row r="1967" spans="1:12" x14ac:dyDescent="0.2">
      <c r="A1967" s="2">
        <v>100804</v>
      </c>
      <c r="B1967" s="17">
        <v>45471</v>
      </c>
      <c r="C1967" s="2" t="s">
        <v>677</v>
      </c>
      <c r="D1967" s="2" t="s">
        <v>13</v>
      </c>
      <c r="E1967" s="2" t="s">
        <v>14</v>
      </c>
      <c r="F1967" s="2" t="s">
        <v>50</v>
      </c>
      <c r="G1967" s="2" t="s">
        <v>51</v>
      </c>
      <c r="H1967" s="2"/>
      <c r="I1967" s="2">
        <v>8280.65</v>
      </c>
      <c r="J1967" s="2">
        <v>0.05</v>
      </c>
      <c r="K1967" s="2" t="s">
        <v>41</v>
      </c>
      <c r="L1967" s="2" t="s">
        <v>42</v>
      </c>
    </row>
    <row r="1968" spans="1:12" x14ac:dyDescent="0.2">
      <c r="A1968" s="2">
        <v>100746</v>
      </c>
      <c r="B1968" s="17">
        <v>45312</v>
      </c>
      <c r="C1968" s="2" t="s">
        <v>339</v>
      </c>
      <c r="D1968" s="2" t="s">
        <v>31</v>
      </c>
      <c r="E1968" s="2" t="s">
        <v>32</v>
      </c>
      <c r="F1968" s="2" t="s">
        <v>64</v>
      </c>
      <c r="G1968" s="2" t="s">
        <v>165</v>
      </c>
      <c r="H1968" s="2">
        <v>1</v>
      </c>
      <c r="I1968" s="2">
        <v>484.93</v>
      </c>
      <c r="J1968" s="2">
        <v>0.2</v>
      </c>
      <c r="K1968" s="2" t="s">
        <v>66</v>
      </c>
      <c r="L1968" s="2" t="s">
        <v>35</v>
      </c>
    </row>
    <row r="1969" spans="1:12" x14ac:dyDescent="0.2">
      <c r="A1969" s="2">
        <v>101547</v>
      </c>
      <c r="B1969" s="18">
        <v>45626</v>
      </c>
      <c r="C1969" s="2" t="s">
        <v>882</v>
      </c>
      <c r="D1969" s="2" t="s">
        <v>58</v>
      </c>
      <c r="E1969" s="2" t="s">
        <v>38</v>
      </c>
      <c r="F1969" s="2" t="s">
        <v>191</v>
      </c>
      <c r="G1969" s="2" t="s">
        <v>152</v>
      </c>
      <c r="H1969" s="2">
        <v>6</v>
      </c>
      <c r="I1969" s="2">
        <v>13167.1</v>
      </c>
      <c r="J1969" s="2">
        <v>0</v>
      </c>
      <c r="K1969" s="2" t="s">
        <v>17</v>
      </c>
      <c r="L1969" s="2" t="s">
        <v>42</v>
      </c>
    </row>
    <row r="1970" spans="1:12" x14ac:dyDescent="0.2">
      <c r="A1970" s="2">
        <v>100280</v>
      </c>
      <c r="B1970" s="2" t="s">
        <v>643</v>
      </c>
      <c r="C1970" s="2" t="s">
        <v>853</v>
      </c>
      <c r="D1970" s="2" t="s">
        <v>58</v>
      </c>
      <c r="E1970" s="2" t="s">
        <v>38</v>
      </c>
      <c r="F1970" s="2" t="s">
        <v>33</v>
      </c>
      <c r="G1970" s="2" t="s">
        <v>81</v>
      </c>
      <c r="H1970" s="2">
        <v>8</v>
      </c>
      <c r="I1970" s="2">
        <v>334.74</v>
      </c>
      <c r="J1970" s="2"/>
      <c r="K1970" s="2" t="s">
        <v>83</v>
      </c>
      <c r="L1970" s="2" t="s">
        <v>35</v>
      </c>
    </row>
    <row r="1971" spans="1:12" x14ac:dyDescent="0.2">
      <c r="A1971" s="2">
        <v>101608</v>
      </c>
      <c r="B1971" s="17">
        <v>45546</v>
      </c>
      <c r="C1971" s="2" t="s">
        <v>508</v>
      </c>
      <c r="D1971" s="2" t="s">
        <v>85</v>
      </c>
      <c r="E1971" s="2" t="s">
        <v>119</v>
      </c>
      <c r="F1971" s="2" t="s">
        <v>106</v>
      </c>
      <c r="G1971" s="2" t="s">
        <v>135</v>
      </c>
      <c r="H1971" s="2">
        <v>2</v>
      </c>
      <c r="I1971" s="2">
        <v>2046.51</v>
      </c>
      <c r="J1971" s="2">
        <v>0</v>
      </c>
      <c r="K1971" s="2" t="s">
        <v>66</v>
      </c>
      <c r="L1971" s="2" t="s">
        <v>87</v>
      </c>
    </row>
    <row r="1972" spans="1:12" x14ac:dyDescent="0.2">
      <c r="A1972" s="2">
        <v>100765</v>
      </c>
      <c r="B1972" s="17">
        <v>45614</v>
      </c>
      <c r="C1972" s="2"/>
      <c r="D1972" s="2" t="s">
        <v>181</v>
      </c>
      <c r="E1972" s="2" t="s">
        <v>14</v>
      </c>
      <c r="F1972" s="2" t="s">
        <v>96</v>
      </c>
      <c r="G1972" s="2" t="s">
        <v>71</v>
      </c>
      <c r="H1972" s="2">
        <v>7</v>
      </c>
      <c r="I1972" s="2">
        <v>27187.279999999999</v>
      </c>
      <c r="J1972" s="2">
        <v>0.2</v>
      </c>
      <c r="K1972" s="2" t="s">
        <v>24</v>
      </c>
      <c r="L1972" s="2" t="s">
        <v>87</v>
      </c>
    </row>
    <row r="1973" spans="1:12" x14ac:dyDescent="0.2">
      <c r="A1973" s="2">
        <v>100605</v>
      </c>
      <c r="B1973" s="18">
        <v>45477</v>
      </c>
      <c r="C1973" s="2" t="s">
        <v>1059</v>
      </c>
      <c r="D1973" s="2" t="s">
        <v>92</v>
      </c>
      <c r="E1973" s="2" t="s">
        <v>32</v>
      </c>
      <c r="F1973" s="2" t="s">
        <v>124</v>
      </c>
      <c r="G1973" s="2" t="s">
        <v>207</v>
      </c>
      <c r="H1973" s="2">
        <v>3</v>
      </c>
      <c r="I1973" s="2">
        <v>3105.32</v>
      </c>
      <c r="J1973" s="2">
        <v>0</v>
      </c>
      <c r="K1973" s="2" t="s">
        <v>29</v>
      </c>
      <c r="L1973" s="2" t="s">
        <v>121</v>
      </c>
    </row>
    <row r="1974" spans="1:12" x14ac:dyDescent="0.2">
      <c r="A1974" s="2">
        <v>101469</v>
      </c>
      <c r="B1974" s="17">
        <v>45585</v>
      </c>
      <c r="C1974" s="2" t="s">
        <v>307</v>
      </c>
      <c r="D1974" s="2" t="s">
        <v>61</v>
      </c>
      <c r="E1974" s="2" t="s">
        <v>119</v>
      </c>
      <c r="F1974" s="2" t="s">
        <v>102</v>
      </c>
      <c r="G1974" s="2" t="s">
        <v>137</v>
      </c>
      <c r="H1974" s="2">
        <v>10</v>
      </c>
      <c r="I1974" s="2">
        <v>2724.23</v>
      </c>
      <c r="J1974" s="2">
        <v>15</v>
      </c>
      <c r="K1974" s="2" t="s">
        <v>17</v>
      </c>
      <c r="L1974" s="2" t="s">
        <v>87</v>
      </c>
    </row>
    <row r="1975" spans="1:12" x14ac:dyDescent="0.2">
      <c r="A1975" s="2">
        <v>101374</v>
      </c>
      <c r="B1975" s="18">
        <v>45424</v>
      </c>
      <c r="C1975" s="2" t="s">
        <v>256</v>
      </c>
      <c r="D1975" s="2" t="s">
        <v>109</v>
      </c>
      <c r="E1975" s="2" t="s">
        <v>21</v>
      </c>
      <c r="F1975" s="2" t="s">
        <v>22</v>
      </c>
      <c r="G1975" s="2" t="s">
        <v>75</v>
      </c>
      <c r="H1975" s="2">
        <v>5</v>
      </c>
      <c r="I1975" s="2">
        <v>1611.81</v>
      </c>
      <c r="J1975" s="2">
        <v>0</v>
      </c>
      <c r="K1975" s="2" t="s">
        <v>17</v>
      </c>
      <c r="L1975" s="2" t="s">
        <v>87</v>
      </c>
    </row>
    <row r="1976" spans="1:12" x14ac:dyDescent="0.2">
      <c r="A1976" s="2">
        <v>101952</v>
      </c>
      <c r="B1976" s="2" t="s">
        <v>904</v>
      </c>
      <c r="C1976" s="2" t="s">
        <v>513</v>
      </c>
      <c r="D1976" s="2" t="s">
        <v>131</v>
      </c>
      <c r="E1976" s="2" t="s">
        <v>21</v>
      </c>
      <c r="F1976" s="2" t="s">
        <v>50</v>
      </c>
      <c r="G1976" s="2" t="s">
        <v>56</v>
      </c>
      <c r="H1976" s="2">
        <v>12</v>
      </c>
      <c r="I1976" s="2">
        <v>10489.81</v>
      </c>
      <c r="J1976" s="2">
        <v>0.25</v>
      </c>
      <c r="K1976" s="2" t="s">
        <v>66</v>
      </c>
      <c r="L1976" s="2" t="s">
        <v>87</v>
      </c>
    </row>
    <row r="1977" spans="1:12" x14ac:dyDescent="0.2">
      <c r="A1977" s="2">
        <v>101399</v>
      </c>
      <c r="B1977" s="17">
        <v>45420</v>
      </c>
      <c r="C1977" s="2" t="s">
        <v>253</v>
      </c>
      <c r="D1977" s="2" t="s">
        <v>48</v>
      </c>
      <c r="E1977" s="2" t="s">
        <v>79</v>
      </c>
      <c r="F1977" s="2" t="s">
        <v>120</v>
      </c>
      <c r="G1977" s="2" t="s">
        <v>75</v>
      </c>
      <c r="H1977" s="2">
        <v>11</v>
      </c>
      <c r="I1977" s="2">
        <v>1235.24</v>
      </c>
      <c r="J1977" s="2">
        <v>25</v>
      </c>
      <c r="K1977" s="2" t="s">
        <v>24</v>
      </c>
      <c r="L1977" s="2" t="s">
        <v>87</v>
      </c>
    </row>
    <row r="1978" spans="1:12" x14ac:dyDescent="0.2">
      <c r="A1978" s="2">
        <v>100401</v>
      </c>
      <c r="B1978" s="2" t="s">
        <v>1060</v>
      </c>
      <c r="C1978" s="2" t="s">
        <v>139</v>
      </c>
      <c r="D1978" s="2" t="s">
        <v>89</v>
      </c>
      <c r="E1978" s="2" t="s">
        <v>32</v>
      </c>
      <c r="F1978" s="2" t="s">
        <v>223</v>
      </c>
      <c r="G1978" s="2" t="s">
        <v>51</v>
      </c>
      <c r="H1978" s="2">
        <v>7</v>
      </c>
      <c r="I1978" s="2">
        <v>6862.89</v>
      </c>
      <c r="J1978" s="2">
        <v>0.2</v>
      </c>
      <c r="K1978" s="2" t="s">
        <v>41</v>
      </c>
      <c r="L1978" s="2" t="s">
        <v>143</v>
      </c>
    </row>
    <row r="1979" spans="1:12" x14ac:dyDescent="0.2">
      <c r="A1979" s="2">
        <v>101729</v>
      </c>
      <c r="B1979" s="17">
        <v>45334</v>
      </c>
      <c r="C1979" s="2" t="s">
        <v>213</v>
      </c>
      <c r="D1979" s="2" t="s">
        <v>31</v>
      </c>
      <c r="E1979" s="2" t="s">
        <v>32</v>
      </c>
      <c r="F1979" s="2" t="s">
        <v>28</v>
      </c>
      <c r="G1979" s="2" t="s">
        <v>205</v>
      </c>
      <c r="H1979" s="2">
        <v>4</v>
      </c>
      <c r="I1979" s="2">
        <v>14767.73</v>
      </c>
      <c r="J1979" s="2">
        <v>0</v>
      </c>
      <c r="K1979" s="2" t="s">
        <v>83</v>
      </c>
      <c r="L1979" s="2" t="s">
        <v>121</v>
      </c>
    </row>
    <row r="1980" spans="1:12" x14ac:dyDescent="0.2">
      <c r="A1980" s="2">
        <v>100258</v>
      </c>
      <c r="B1980" s="17">
        <v>45483</v>
      </c>
      <c r="C1980" s="2" t="s">
        <v>176</v>
      </c>
      <c r="D1980" s="2" t="s">
        <v>61</v>
      </c>
      <c r="E1980" s="2" t="s">
        <v>14</v>
      </c>
      <c r="F1980" s="2" t="s">
        <v>80</v>
      </c>
      <c r="G1980" s="2" t="s">
        <v>34</v>
      </c>
      <c r="H1980" s="2">
        <v>6</v>
      </c>
      <c r="I1980" s="2">
        <v>184.75</v>
      </c>
      <c r="J1980" s="2">
        <v>0.05</v>
      </c>
      <c r="K1980" s="2" t="s">
        <v>41</v>
      </c>
      <c r="L1980" s="2" t="s">
        <v>35</v>
      </c>
    </row>
    <row r="1981" spans="1:12" x14ac:dyDescent="0.2">
      <c r="A1981" s="2">
        <v>100945</v>
      </c>
      <c r="B1981" s="17">
        <v>45475</v>
      </c>
      <c r="C1981" s="2" t="s">
        <v>331</v>
      </c>
      <c r="D1981" s="2" t="s">
        <v>37</v>
      </c>
      <c r="E1981" s="2" t="s">
        <v>38</v>
      </c>
      <c r="F1981" s="2" t="s">
        <v>96</v>
      </c>
      <c r="G1981" s="2" t="s">
        <v>149</v>
      </c>
      <c r="H1981" s="2">
        <v>7</v>
      </c>
      <c r="I1981" s="2">
        <v>31065.08</v>
      </c>
      <c r="J1981" s="2"/>
      <c r="K1981" s="2" t="s">
        <v>17</v>
      </c>
      <c r="L1981" s="2" t="s">
        <v>35</v>
      </c>
    </row>
    <row r="1982" spans="1:12" x14ac:dyDescent="0.2">
      <c r="A1982" s="2">
        <v>101876</v>
      </c>
      <c r="B1982" s="17">
        <v>45387</v>
      </c>
      <c r="C1982" s="2" t="s">
        <v>716</v>
      </c>
      <c r="D1982" s="2" t="s">
        <v>175</v>
      </c>
      <c r="E1982" s="2" t="s">
        <v>38</v>
      </c>
      <c r="F1982" s="2" t="s">
        <v>22</v>
      </c>
      <c r="G1982" s="2" t="s">
        <v>141</v>
      </c>
      <c r="H1982" s="2">
        <v>10</v>
      </c>
      <c r="I1982" s="2">
        <v>2298.85</v>
      </c>
      <c r="J1982" s="2">
        <v>0.2</v>
      </c>
      <c r="K1982" s="2" t="s">
        <v>66</v>
      </c>
      <c r="L1982" s="2" t="s">
        <v>35</v>
      </c>
    </row>
    <row r="1983" spans="1:12" x14ac:dyDescent="0.2">
      <c r="A1983" s="2">
        <v>101097</v>
      </c>
      <c r="B1983" s="18">
        <v>45405</v>
      </c>
      <c r="C1983" s="2" t="s">
        <v>732</v>
      </c>
      <c r="D1983" s="2" t="s">
        <v>48</v>
      </c>
      <c r="E1983" s="2" t="s">
        <v>49</v>
      </c>
      <c r="F1983" s="2" t="s">
        <v>223</v>
      </c>
      <c r="G1983" s="2" t="s">
        <v>207</v>
      </c>
      <c r="H1983" s="2">
        <v>4</v>
      </c>
      <c r="I1983" s="2">
        <v>10521.21</v>
      </c>
      <c r="J1983" s="2">
        <v>20</v>
      </c>
      <c r="K1983" s="2" t="s">
        <v>29</v>
      </c>
      <c r="L1983" s="2" t="s">
        <v>87</v>
      </c>
    </row>
    <row r="1984" spans="1:12" x14ac:dyDescent="0.2">
      <c r="A1984" s="2">
        <v>101220</v>
      </c>
      <c r="B1984" s="17">
        <v>45482</v>
      </c>
      <c r="C1984" s="2" t="s">
        <v>774</v>
      </c>
      <c r="D1984" s="2" t="s">
        <v>85</v>
      </c>
      <c r="E1984" s="2" t="s">
        <v>14</v>
      </c>
      <c r="F1984" s="2" t="s">
        <v>64</v>
      </c>
      <c r="G1984" s="2" t="s">
        <v>114</v>
      </c>
      <c r="H1984" s="2">
        <v>10</v>
      </c>
      <c r="I1984" s="2">
        <v>93.47</v>
      </c>
      <c r="J1984" s="2">
        <v>0.25</v>
      </c>
      <c r="K1984" s="2" t="s">
        <v>83</v>
      </c>
      <c r="L1984" s="2" t="s">
        <v>143</v>
      </c>
    </row>
    <row r="1985" spans="1:12" x14ac:dyDescent="0.2">
      <c r="A1985" s="2">
        <v>101508</v>
      </c>
      <c r="B1985" s="2" t="s">
        <v>923</v>
      </c>
      <c r="C1985" s="2" t="s">
        <v>229</v>
      </c>
      <c r="D1985" s="2" t="s">
        <v>89</v>
      </c>
      <c r="E1985" s="2" t="s">
        <v>32</v>
      </c>
      <c r="F1985" s="2" t="s">
        <v>50</v>
      </c>
      <c r="G1985" s="2" t="s">
        <v>51</v>
      </c>
      <c r="H1985" s="2">
        <v>9</v>
      </c>
      <c r="I1985" s="2">
        <v>2274.65</v>
      </c>
      <c r="J1985" s="2">
        <v>0</v>
      </c>
      <c r="K1985" s="2" t="s">
        <v>66</v>
      </c>
      <c r="L1985" s="2" t="s">
        <v>42</v>
      </c>
    </row>
    <row r="1986" spans="1:12" x14ac:dyDescent="0.2">
      <c r="A1986" s="2">
        <v>101880</v>
      </c>
      <c r="B1986" s="17">
        <v>45419</v>
      </c>
      <c r="C1986" s="2" t="s">
        <v>660</v>
      </c>
      <c r="D1986" s="2" t="s">
        <v>20</v>
      </c>
      <c r="E1986" s="2" t="s">
        <v>133</v>
      </c>
      <c r="F1986" s="2" t="s">
        <v>106</v>
      </c>
      <c r="G1986" s="2" t="s">
        <v>103</v>
      </c>
      <c r="H1986" s="2">
        <v>-2</v>
      </c>
      <c r="I1986" s="2">
        <v>3182.38</v>
      </c>
      <c r="J1986" s="2">
        <v>0.05</v>
      </c>
      <c r="K1986" s="2" t="s">
        <v>17</v>
      </c>
      <c r="L1986" s="2" t="s">
        <v>25</v>
      </c>
    </row>
    <row r="1987" spans="1:12" x14ac:dyDescent="0.2">
      <c r="A1987" s="2">
        <v>101162</v>
      </c>
      <c r="B1987" s="17">
        <v>45445</v>
      </c>
      <c r="C1987" s="2" t="s">
        <v>948</v>
      </c>
      <c r="D1987" s="2" t="s">
        <v>37</v>
      </c>
      <c r="E1987" s="2" t="s">
        <v>69</v>
      </c>
      <c r="F1987" s="2" t="s">
        <v>39</v>
      </c>
      <c r="G1987" s="2" t="s">
        <v>114</v>
      </c>
      <c r="H1987" s="2"/>
      <c r="I1987" s="2">
        <v>558.98</v>
      </c>
      <c r="J1987" s="2"/>
      <c r="K1987" s="2" t="s">
        <v>83</v>
      </c>
      <c r="L1987" s="2" t="s">
        <v>42</v>
      </c>
    </row>
    <row r="1988" spans="1:12" x14ac:dyDescent="0.2">
      <c r="A1988" s="2">
        <v>100495</v>
      </c>
      <c r="B1988" s="17">
        <v>45489</v>
      </c>
      <c r="C1988" s="2" t="s">
        <v>150</v>
      </c>
      <c r="D1988" s="2" t="s">
        <v>101</v>
      </c>
      <c r="E1988" s="2" t="s">
        <v>38</v>
      </c>
      <c r="F1988" s="2" t="s">
        <v>86</v>
      </c>
      <c r="G1988" s="2" t="s">
        <v>46</v>
      </c>
      <c r="H1988" s="2">
        <v>2</v>
      </c>
      <c r="I1988" s="2">
        <v>44822.27</v>
      </c>
      <c r="J1988" s="2">
        <v>15</v>
      </c>
      <c r="K1988" s="2" t="s">
        <v>66</v>
      </c>
      <c r="L1988" s="2" t="s">
        <v>52</v>
      </c>
    </row>
    <row r="1989" spans="1:12" x14ac:dyDescent="0.2">
      <c r="A1989" s="2">
        <v>100773</v>
      </c>
      <c r="B1989" s="18">
        <v>45391</v>
      </c>
      <c r="C1989" s="2" t="s">
        <v>68</v>
      </c>
      <c r="D1989" s="2" t="s">
        <v>109</v>
      </c>
      <c r="E1989" s="2" t="s">
        <v>133</v>
      </c>
      <c r="F1989" s="2" t="s">
        <v>33</v>
      </c>
      <c r="G1989" s="2" t="s">
        <v>158</v>
      </c>
      <c r="H1989" s="2">
        <v>8</v>
      </c>
      <c r="I1989" s="2">
        <v>72.849999999999994</v>
      </c>
      <c r="J1989" s="2">
        <v>0</v>
      </c>
      <c r="K1989" s="2" t="s">
        <v>29</v>
      </c>
      <c r="L1989" s="2" t="s">
        <v>35</v>
      </c>
    </row>
    <row r="1990" spans="1:12" x14ac:dyDescent="0.2">
      <c r="A1990" s="2">
        <v>100551</v>
      </c>
      <c r="B1990" s="18">
        <v>45293</v>
      </c>
      <c r="C1990" s="2" t="s">
        <v>901</v>
      </c>
      <c r="D1990" s="2" t="s">
        <v>89</v>
      </c>
      <c r="E1990" s="2" t="s">
        <v>32</v>
      </c>
      <c r="F1990" s="2" t="s">
        <v>96</v>
      </c>
      <c r="G1990" s="2" t="s">
        <v>97</v>
      </c>
      <c r="H1990" s="2">
        <v>1</v>
      </c>
      <c r="I1990" s="2">
        <v>7916.86</v>
      </c>
      <c r="J1990" s="2">
        <v>20</v>
      </c>
      <c r="K1990" s="2" t="s">
        <v>66</v>
      </c>
      <c r="L1990" s="2" t="s">
        <v>87</v>
      </c>
    </row>
    <row r="1991" spans="1:12" x14ac:dyDescent="0.2">
      <c r="A1991" s="2">
        <v>101487</v>
      </c>
      <c r="B1991" s="2" t="s">
        <v>868</v>
      </c>
      <c r="C1991" s="2" t="s">
        <v>894</v>
      </c>
      <c r="D1991" s="2" t="s">
        <v>85</v>
      </c>
      <c r="E1991" s="2" t="s">
        <v>14</v>
      </c>
      <c r="F1991" s="2" t="s">
        <v>113</v>
      </c>
      <c r="G1991" s="2" t="s">
        <v>114</v>
      </c>
      <c r="H1991" s="2">
        <v>10</v>
      </c>
      <c r="I1991" s="2">
        <v>677.02</v>
      </c>
      <c r="J1991" s="2">
        <v>10</v>
      </c>
      <c r="K1991" s="2" t="s">
        <v>66</v>
      </c>
      <c r="L1991" s="2" t="s">
        <v>42</v>
      </c>
    </row>
    <row r="1992" spans="1:12" x14ac:dyDescent="0.2">
      <c r="A1992" s="2">
        <v>100202</v>
      </c>
      <c r="B1992" s="18">
        <v>45564</v>
      </c>
      <c r="C1992" s="2" t="s">
        <v>506</v>
      </c>
      <c r="D1992" s="2" t="s">
        <v>89</v>
      </c>
      <c r="E1992" s="2" t="s">
        <v>32</v>
      </c>
      <c r="F1992" s="2" t="s">
        <v>45</v>
      </c>
      <c r="G1992" s="2" t="s">
        <v>46</v>
      </c>
      <c r="H1992" s="2">
        <v>3</v>
      </c>
      <c r="I1992" s="2">
        <v>24237.94</v>
      </c>
      <c r="J1992" s="2">
        <v>0</v>
      </c>
      <c r="K1992" s="2" t="s">
        <v>66</v>
      </c>
      <c r="L1992" s="2" t="s">
        <v>143</v>
      </c>
    </row>
    <row r="1993" spans="1:12" x14ac:dyDescent="0.2">
      <c r="A1993" s="2">
        <v>100313</v>
      </c>
      <c r="B1993" s="17">
        <v>45605</v>
      </c>
      <c r="C1993" s="2"/>
      <c r="D1993" s="2" t="s">
        <v>44</v>
      </c>
      <c r="E1993" s="2" t="s">
        <v>54</v>
      </c>
      <c r="F1993" s="2" t="s">
        <v>55</v>
      </c>
      <c r="G1993" s="2" t="s">
        <v>99</v>
      </c>
      <c r="H1993" s="2">
        <v>8</v>
      </c>
      <c r="I1993" s="2">
        <v>6181.67</v>
      </c>
      <c r="J1993" s="2">
        <v>25</v>
      </c>
      <c r="K1993" s="2" t="s">
        <v>41</v>
      </c>
      <c r="L1993" s="2" t="s">
        <v>35</v>
      </c>
    </row>
    <row r="1994" spans="1:12" x14ac:dyDescent="0.2">
      <c r="A1994" s="2">
        <v>100291</v>
      </c>
      <c r="B1994" s="2" t="s">
        <v>1061</v>
      </c>
      <c r="C1994" s="2" t="s">
        <v>612</v>
      </c>
      <c r="D1994" s="2" t="s">
        <v>31</v>
      </c>
      <c r="E1994" s="2" t="s">
        <v>54</v>
      </c>
      <c r="F1994" s="2" t="s">
        <v>155</v>
      </c>
      <c r="G1994" s="2" t="s">
        <v>103</v>
      </c>
      <c r="H1994" s="2">
        <v>8</v>
      </c>
      <c r="I1994" s="2">
        <v>3738.87</v>
      </c>
      <c r="J1994" s="2">
        <v>0</v>
      </c>
      <c r="K1994" s="2" t="s">
        <v>41</v>
      </c>
      <c r="L1994" s="2" t="s">
        <v>143</v>
      </c>
    </row>
    <row r="1995" spans="1:12" x14ac:dyDescent="0.2">
      <c r="A1995" s="2">
        <v>101985</v>
      </c>
      <c r="B1995" s="17">
        <v>45515</v>
      </c>
      <c r="C1995" s="2" t="s">
        <v>201</v>
      </c>
      <c r="D1995" s="2" t="s">
        <v>92</v>
      </c>
      <c r="E1995" s="2" t="s">
        <v>54</v>
      </c>
      <c r="F1995" s="2" t="s">
        <v>96</v>
      </c>
      <c r="G1995" s="2" t="s">
        <v>153</v>
      </c>
      <c r="H1995" s="2">
        <v>10</v>
      </c>
      <c r="I1995" s="2">
        <v>41827.9</v>
      </c>
      <c r="J1995" s="2">
        <v>0.25</v>
      </c>
      <c r="K1995" s="2" t="s">
        <v>83</v>
      </c>
      <c r="L1995" s="2" t="s">
        <v>25</v>
      </c>
    </row>
    <row r="1996" spans="1:12" x14ac:dyDescent="0.2">
      <c r="A1996" s="2">
        <v>101214</v>
      </c>
      <c r="B1996" s="18">
        <v>45379</v>
      </c>
      <c r="C1996" s="2" t="s">
        <v>959</v>
      </c>
      <c r="D1996" s="2" t="s">
        <v>73</v>
      </c>
      <c r="E1996" s="2" t="s">
        <v>79</v>
      </c>
      <c r="F1996" s="2" t="s">
        <v>45</v>
      </c>
      <c r="G1996" s="2" t="s">
        <v>149</v>
      </c>
      <c r="H1996" s="2">
        <v>2</v>
      </c>
      <c r="I1996" s="2">
        <v>33302.26</v>
      </c>
      <c r="J1996" s="2">
        <v>0</v>
      </c>
      <c r="K1996" s="2" t="s">
        <v>83</v>
      </c>
      <c r="L1996" s="2" t="s">
        <v>121</v>
      </c>
    </row>
    <row r="1997" spans="1:12" x14ac:dyDescent="0.2">
      <c r="A1997" s="2">
        <v>100764</v>
      </c>
      <c r="B1997" s="17">
        <v>45437</v>
      </c>
      <c r="C1997" s="2" t="s">
        <v>249</v>
      </c>
      <c r="D1997" s="2" t="s">
        <v>13</v>
      </c>
      <c r="E1997" s="2" t="s">
        <v>119</v>
      </c>
      <c r="F1997" s="2" t="s">
        <v>120</v>
      </c>
      <c r="G1997" s="2" t="s">
        <v>145</v>
      </c>
      <c r="H1997" s="2">
        <v>9</v>
      </c>
      <c r="I1997" s="2">
        <v>3214.37</v>
      </c>
      <c r="J1997" s="2">
        <v>0</v>
      </c>
      <c r="K1997" s="2" t="s">
        <v>41</v>
      </c>
      <c r="L1997" s="2" t="s">
        <v>121</v>
      </c>
    </row>
    <row r="1998" spans="1:12" x14ac:dyDescent="0.2">
      <c r="A1998" s="2">
        <v>101137</v>
      </c>
      <c r="B1998" s="18">
        <v>45340</v>
      </c>
      <c r="C1998" s="2" t="s">
        <v>990</v>
      </c>
      <c r="D1998" s="2" t="s">
        <v>95</v>
      </c>
      <c r="E1998" s="2" t="s">
        <v>133</v>
      </c>
      <c r="F1998" s="2" t="s">
        <v>45</v>
      </c>
      <c r="G1998" s="2" t="s">
        <v>153</v>
      </c>
      <c r="H1998" s="2">
        <v>11</v>
      </c>
      <c r="I1998" s="2">
        <v>11596.66</v>
      </c>
      <c r="J1998" s="2">
        <v>0</v>
      </c>
      <c r="K1998" s="2" t="s">
        <v>17</v>
      </c>
      <c r="L1998" s="2" t="s">
        <v>52</v>
      </c>
    </row>
    <row r="1999" spans="1:12" x14ac:dyDescent="0.2">
      <c r="A1999" s="2">
        <v>100950</v>
      </c>
      <c r="B1999" s="17">
        <v>45529</v>
      </c>
      <c r="C1999" s="2" t="s">
        <v>217</v>
      </c>
      <c r="D1999" s="2" t="s">
        <v>73</v>
      </c>
      <c r="E1999" s="2" t="s">
        <v>49</v>
      </c>
      <c r="F1999" s="2" t="s">
        <v>28</v>
      </c>
      <c r="G1999" s="2" t="s">
        <v>205</v>
      </c>
      <c r="H1999" s="2">
        <v>12</v>
      </c>
      <c r="I1999" s="2">
        <v>23769.61</v>
      </c>
      <c r="J1999" s="2">
        <v>0</v>
      </c>
      <c r="K1999" s="2" t="s">
        <v>66</v>
      </c>
      <c r="L1999" s="2" t="s">
        <v>42</v>
      </c>
    </row>
    <row r="2000" spans="1:12" x14ac:dyDescent="0.2">
      <c r="A2000" s="2">
        <v>100184</v>
      </c>
      <c r="B2000" s="18">
        <v>45637</v>
      </c>
      <c r="C2000" s="2" t="s">
        <v>108</v>
      </c>
      <c r="D2000" s="2" t="s">
        <v>175</v>
      </c>
      <c r="E2000" s="2" t="s">
        <v>69</v>
      </c>
      <c r="F2000" s="2" t="s">
        <v>80</v>
      </c>
      <c r="G2000" s="2" t="s">
        <v>158</v>
      </c>
      <c r="H2000" s="2">
        <v>9</v>
      </c>
      <c r="I2000" s="2">
        <v>508.45</v>
      </c>
      <c r="J2000" s="2">
        <v>0</v>
      </c>
      <c r="K2000" s="2" t="s">
        <v>17</v>
      </c>
      <c r="L2000" s="2" t="s">
        <v>52</v>
      </c>
    </row>
    <row r="2001" spans="1:12" x14ac:dyDescent="0.2">
      <c r="A2001" s="2">
        <v>101177</v>
      </c>
      <c r="B2001" s="17">
        <v>45362</v>
      </c>
      <c r="C2001" s="2" t="s">
        <v>738</v>
      </c>
      <c r="D2001" s="2" t="s">
        <v>160</v>
      </c>
      <c r="E2001" s="2" t="s">
        <v>49</v>
      </c>
      <c r="F2001" s="2" t="s">
        <v>80</v>
      </c>
      <c r="G2001" s="2" t="s">
        <v>158</v>
      </c>
      <c r="H2001" s="2">
        <v>8</v>
      </c>
      <c r="I2001" s="2">
        <v>221.12</v>
      </c>
      <c r="J2001" s="2"/>
      <c r="K2001" s="2" t="s">
        <v>83</v>
      </c>
      <c r="L2001" s="2" t="s">
        <v>25</v>
      </c>
    </row>
    <row r="2002" spans="1:12" x14ac:dyDescent="0.2">
      <c r="A2002" s="2">
        <v>101849</v>
      </c>
      <c r="B2002" s="2" t="s">
        <v>173</v>
      </c>
      <c r="C2002" s="2" t="s">
        <v>545</v>
      </c>
      <c r="D2002" s="2" t="s">
        <v>101</v>
      </c>
      <c r="E2002" s="2" t="s">
        <v>69</v>
      </c>
      <c r="F2002" s="2" t="s">
        <v>55</v>
      </c>
      <c r="G2002" s="2" t="s">
        <v>207</v>
      </c>
      <c r="H2002" s="2">
        <v>4</v>
      </c>
      <c r="I2002" s="2">
        <v>10673.11</v>
      </c>
      <c r="J2002" s="2">
        <v>15</v>
      </c>
      <c r="K2002" s="2" t="s">
        <v>24</v>
      </c>
      <c r="L2002" s="2" t="s">
        <v>35</v>
      </c>
    </row>
    <row r="2003" spans="1:12" x14ac:dyDescent="0.2">
      <c r="A2003" s="2">
        <v>101350</v>
      </c>
      <c r="B2003" s="17">
        <v>45322</v>
      </c>
      <c r="C2003" s="2" t="s">
        <v>493</v>
      </c>
      <c r="D2003" s="2" t="s">
        <v>20</v>
      </c>
      <c r="E2003" s="2" t="s">
        <v>133</v>
      </c>
      <c r="F2003" s="2" t="s">
        <v>106</v>
      </c>
      <c r="G2003" s="2" t="s">
        <v>137</v>
      </c>
      <c r="H2003" s="2">
        <v>10</v>
      </c>
      <c r="I2003" s="2">
        <v>1383.3</v>
      </c>
      <c r="J2003" s="2">
        <v>0.1</v>
      </c>
      <c r="K2003" s="2" t="s">
        <v>29</v>
      </c>
      <c r="L2003" s="2" t="s">
        <v>87</v>
      </c>
    </row>
    <row r="2004" spans="1:12" x14ac:dyDescent="0.2">
      <c r="A2004" s="2">
        <v>101728</v>
      </c>
      <c r="B2004" s="2" t="s">
        <v>925</v>
      </c>
      <c r="C2004" s="2" t="s">
        <v>379</v>
      </c>
      <c r="D2004" s="2" t="s">
        <v>89</v>
      </c>
      <c r="E2004" s="2" t="s">
        <v>54</v>
      </c>
      <c r="F2004" s="2" t="s">
        <v>113</v>
      </c>
      <c r="G2004" s="2" t="s">
        <v>40</v>
      </c>
      <c r="H2004" s="2">
        <v>5</v>
      </c>
      <c r="I2004" s="2">
        <v>816.8</v>
      </c>
      <c r="J2004" s="2">
        <v>0</v>
      </c>
      <c r="K2004" s="2" t="s">
        <v>41</v>
      </c>
      <c r="L2004" s="2" t="s">
        <v>35</v>
      </c>
    </row>
    <row r="2005" spans="1:12" x14ac:dyDescent="0.2">
      <c r="A2005" s="2">
        <v>101069</v>
      </c>
      <c r="B2005" s="17">
        <v>45329</v>
      </c>
      <c r="C2005" s="2" t="s">
        <v>271</v>
      </c>
      <c r="D2005" s="2" t="s">
        <v>37</v>
      </c>
      <c r="E2005" s="2" t="s">
        <v>38</v>
      </c>
      <c r="F2005" s="2" t="s">
        <v>22</v>
      </c>
      <c r="G2005" s="2" t="s">
        <v>23</v>
      </c>
      <c r="H2005" s="2">
        <v>7</v>
      </c>
      <c r="I2005" s="2">
        <v>2435.61</v>
      </c>
      <c r="J2005" s="2">
        <v>0.25</v>
      </c>
      <c r="K2005" s="2" t="s">
        <v>66</v>
      </c>
      <c r="L2005" s="2" t="s">
        <v>121</v>
      </c>
    </row>
    <row r="2006" spans="1:12" x14ac:dyDescent="0.2">
      <c r="A2006" s="2">
        <v>101469</v>
      </c>
      <c r="B2006" s="17">
        <v>45585</v>
      </c>
      <c r="C2006" s="2" t="s">
        <v>307</v>
      </c>
      <c r="D2006" s="2" t="s">
        <v>61</v>
      </c>
      <c r="E2006" s="2" t="s">
        <v>119</v>
      </c>
      <c r="F2006" s="2" t="s">
        <v>102</v>
      </c>
      <c r="G2006" s="2" t="s">
        <v>137</v>
      </c>
      <c r="H2006" s="2">
        <v>10</v>
      </c>
      <c r="I2006" s="2">
        <v>2724.23</v>
      </c>
      <c r="J2006" s="2">
        <v>15</v>
      </c>
      <c r="K2006" s="2" t="s">
        <v>17</v>
      </c>
      <c r="L2006" s="2" t="s">
        <v>87</v>
      </c>
    </row>
    <row r="2007" spans="1:12" x14ac:dyDescent="0.2">
      <c r="A2007" s="2">
        <v>101812</v>
      </c>
      <c r="B2007" s="17">
        <v>45578</v>
      </c>
      <c r="C2007" s="2" t="s">
        <v>786</v>
      </c>
      <c r="D2007" s="2" t="s">
        <v>37</v>
      </c>
      <c r="E2007" s="2" t="s">
        <v>69</v>
      </c>
      <c r="F2007" s="2" t="s">
        <v>96</v>
      </c>
      <c r="G2007" s="2" t="s">
        <v>71</v>
      </c>
      <c r="H2007" s="2">
        <v>8</v>
      </c>
      <c r="I2007" s="2">
        <v>27934.97</v>
      </c>
      <c r="J2007" s="2">
        <v>0.2</v>
      </c>
      <c r="K2007" s="2" t="s">
        <v>66</v>
      </c>
      <c r="L2007" s="2" t="s">
        <v>87</v>
      </c>
    </row>
    <row r="2008" spans="1:12" x14ac:dyDescent="0.2">
      <c r="A2008" s="2">
        <v>101031</v>
      </c>
      <c r="B2008" s="18">
        <v>45339</v>
      </c>
      <c r="C2008" s="2" t="s">
        <v>1062</v>
      </c>
      <c r="D2008" s="2" t="s">
        <v>175</v>
      </c>
      <c r="E2008" s="2" t="s">
        <v>38</v>
      </c>
      <c r="F2008" s="2" t="s">
        <v>155</v>
      </c>
      <c r="G2008" s="2" t="s">
        <v>103</v>
      </c>
      <c r="H2008" s="2">
        <v>8</v>
      </c>
      <c r="I2008" s="2">
        <v>4169.3</v>
      </c>
      <c r="J2008" s="2">
        <v>0.1</v>
      </c>
      <c r="K2008" s="2" t="s">
        <v>29</v>
      </c>
      <c r="L2008" s="2" t="s">
        <v>18</v>
      </c>
    </row>
    <row r="2009" spans="1:12" x14ac:dyDescent="0.2">
      <c r="A2009" s="2">
        <v>100251</v>
      </c>
      <c r="B2009" s="17">
        <v>45544</v>
      </c>
      <c r="C2009" s="2" t="s">
        <v>342</v>
      </c>
      <c r="D2009" s="2" t="s">
        <v>27</v>
      </c>
      <c r="E2009" s="2" t="s">
        <v>21</v>
      </c>
      <c r="F2009" s="2" t="s">
        <v>15</v>
      </c>
      <c r="G2009" s="2" t="s">
        <v>16</v>
      </c>
      <c r="H2009" s="2">
        <v>8</v>
      </c>
      <c r="I2009" s="2" t="s">
        <v>1063</v>
      </c>
      <c r="J2009" s="2">
        <v>0</v>
      </c>
      <c r="K2009" s="2" t="s">
        <v>24</v>
      </c>
      <c r="L2009" s="2" t="s">
        <v>87</v>
      </c>
    </row>
    <row r="2010" spans="1:12" x14ac:dyDescent="0.2">
      <c r="A2010" s="2">
        <v>100824</v>
      </c>
      <c r="B2010" s="17">
        <v>45396</v>
      </c>
      <c r="C2010" s="2" t="s">
        <v>540</v>
      </c>
      <c r="D2010" s="2" t="s">
        <v>37</v>
      </c>
      <c r="E2010" s="2" t="s">
        <v>38</v>
      </c>
      <c r="F2010" s="2" t="s">
        <v>50</v>
      </c>
      <c r="G2010" s="2" t="s">
        <v>51</v>
      </c>
      <c r="H2010" s="2">
        <v>11</v>
      </c>
      <c r="I2010" s="2">
        <v>10846.26</v>
      </c>
      <c r="J2010" s="2">
        <v>0</v>
      </c>
      <c r="K2010" s="2" t="s">
        <v>41</v>
      </c>
      <c r="L2010" s="2" t="s">
        <v>18</v>
      </c>
    </row>
    <row r="2011" spans="1:12" x14ac:dyDescent="0.2">
      <c r="A2011" s="2">
        <v>101100</v>
      </c>
      <c r="B2011" s="17">
        <v>45582</v>
      </c>
      <c r="C2011" s="2" t="s">
        <v>1064</v>
      </c>
      <c r="D2011" s="2" t="s">
        <v>101</v>
      </c>
      <c r="E2011" s="2" t="s">
        <v>69</v>
      </c>
      <c r="F2011" s="2" t="s">
        <v>74</v>
      </c>
      <c r="G2011" s="2" t="s">
        <v>145</v>
      </c>
      <c r="H2011" s="2">
        <v>-3</v>
      </c>
      <c r="I2011" s="2">
        <v>2258.3200000000002</v>
      </c>
      <c r="J2011" s="2">
        <v>0.2</v>
      </c>
      <c r="K2011" s="2" t="s">
        <v>66</v>
      </c>
      <c r="L2011" s="2" t="s">
        <v>35</v>
      </c>
    </row>
    <row r="2012" spans="1:12" x14ac:dyDescent="0.2">
      <c r="A2012" s="2">
        <v>101537</v>
      </c>
      <c r="B2012" s="17">
        <v>45298</v>
      </c>
      <c r="C2012" s="2" t="s">
        <v>159</v>
      </c>
      <c r="D2012" s="2" t="s">
        <v>27</v>
      </c>
      <c r="E2012" s="2" t="s">
        <v>21</v>
      </c>
      <c r="F2012" s="2" t="s">
        <v>113</v>
      </c>
      <c r="G2012" s="2" t="s">
        <v>114</v>
      </c>
      <c r="H2012" s="2"/>
      <c r="I2012" s="2">
        <v>268.39</v>
      </c>
      <c r="J2012" s="2">
        <v>20</v>
      </c>
      <c r="K2012" s="2" t="s">
        <v>29</v>
      </c>
      <c r="L2012" s="2" t="s">
        <v>35</v>
      </c>
    </row>
    <row r="2013" spans="1:12" x14ac:dyDescent="0.2">
      <c r="A2013" s="2">
        <v>100941</v>
      </c>
      <c r="B2013" s="18">
        <v>45422</v>
      </c>
      <c r="C2013" s="2" t="s">
        <v>197</v>
      </c>
      <c r="D2013" s="2" t="s">
        <v>92</v>
      </c>
      <c r="E2013" s="2" t="s">
        <v>54</v>
      </c>
      <c r="F2013" s="2" t="s">
        <v>39</v>
      </c>
      <c r="G2013" s="2" t="s">
        <v>165</v>
      </c>
      <c r="H2013" s="2">
        <v>-1</v>
      </c>
      <c r="I2013" s="2">
        <v>103.49</v>
      </c>
      <c r="J2013" s="2">
        <v>0.25</v>
      </c>
      <c r="K2013" s="2" t="s">
        <v>83</v>
      </c>
      <c r="L2013" s="2" t="s">
        <v>87</v>
      </c>
    </row>
    <row r="2014" spans="1:12" x14ac:dyDescent="0.2">
      <c r="A2014" s="2">
        <v>100392</v>
      </c>
      <c r="B2014" s="2" t="s">
        <v>921</v>
      </c>
      <c r="C2014" s="2" t="s">
        <v>932</v>
      </c>
      <c r="D2014" s="2" t="s">
        <v>129</v>
      </c>
      <c r="E2014" s="2" t="s">
        <v>79</v>
      </c>
      <c r="F2014" s="2" t="s">
        <v>33</v>
      </c>
      <c r="G2014" s="2" t="s">
        <v>81</v>
      </c>
      <c r="H2014" s="2">
        <v>2</v>
      </c>
      <c r="I2014" s="2">
        <v>412.07</v>
      </c>
      <c r="J2014" s="2">
        <v>25</v>
      </c>
      <c r="K2014" s="2" t="s">
        <v>41</v>
      </c>
      <c r="L2014" s="2" t="s">
        <v>25</v>
      </c>
    </row>
    <row r="2015" spans="1:12" x14ac:dyDescent="0.2">
      <c r="A2015" s="2">
        <v>101920</v>
      </c>
      <c r="B2015" s="2" t="s">
        <v>1065</v>
      </c>
      <c r="C2015" s="2" t="s">
        <v>377</v>
      </c>
      <c r="D2015" s="2" t="s">
        <v>160</v>
      </c>
      <c r="E2015" s="2" t="s">
        <v>79</v>
      </c>
      <c r="F2015" s="2" t="s">
        <v>28</v>
      </c>
      <c r="G2015" s="2" t="s">
        <v>152</v>
      </c>
      <c r="H2015" s="2">
        <v>9</v>
      </c>
      <c r="I2015" s="2">
        <v>4607.17</v>
      </c>
      <c r="J2015" s="2">
        <v>0</v>
      </c>
      <c r="K2015" s="2" t="s">
        <v>24</v>
      </c>
      <c r="L2015" s="2" t="s">
        <v>52</v>
      </c>
    </row>
    <row r="2016" spans="1:12" x14ac:dyDescent="0.2">
      <c r="A2016" s="2">
        <v>101457</v>
      </c>
      <c r="B2016" s="17">
        <v>45496</v>
      </c>
      <c r="C2016" s="2" t="s">
        <v>1059</v>
      </c>
      <c r="D2016" s="2" t="s">
        <v>181</v>
      </c>
      <c r="E2016" s="2" t="s">
        <v>14</v>
      </c>
      <c r="F2016" s="2" t="s">
        <v>33</v>
      </c>
      <c r="G2016" s="2" t="s">
        <v>81</v>
      </c>
      <c r="H2016" s="2">
        <v>9</v>
      </c>
      <c r="I2016" s="2">
        <v>89.43</v>
      </c>
      <c r="J2016" s="2">
        <v>0.2</v>
      </c>
      <c r="K2016" s="2" t="s">
        <v>83</v>
      </c>
      <c r="L2016" s="2" t="s">
        <v>25</v>
      </c>
    </row>
    <row r="2017" spans="1:12" x14ac:dyDescent="0.2">
      <c r="A2017" s="2">
        <v>101093</v>
      </c>
      <c r="B2017" s="18">
        <v>45497</v>
      </c>
      <c r="C2017" s="2"/>
      <c r="D2017" s="2" t="s">
        <v>95</v>
      </c>
      <c r="E2017" s="2" t="s">
        <v>21</v>
      </c>
      <c r="F2017" s="2" t="s">
        <v>55</v>
      </c>
      <c r="G2017" s="2" t="s">
        <v>56</v>
      </c>
      <c r="H2017" s="2">
        <v>4</v>
      </c>
      <c r="I2017" s="2">
        <v>11041.08</v>
      </c>
      <c r="J2017" s="2">
        <v>0</v>
      </c>
      <c r="K2017" s="2" t="s">
        <v>41</v>
      </c>
      <c r="L2017" s="2" t="s">
        <v>42</v>
      </c>
    </row>
    <row r="2018" spans="1:12" x14ac:dyDescent="0.2">
      <c r="A2018" s="2">
        <v>101192</v>
      </c>
      <c r="B2018" s="18">
        <v>45508</v>
      </c>
      <c r="C2018" s="2" t="s">
        <v>353</v>
      </c>
      <c r="D2018" s="2" t="s">
        <v>109</v>
      </c>
      <c r="E2018" s="2" t="s">
        <v>21</v>
      </c>
      <c r="F2018" s="2" t="s">
        <v>64</v>
      </c>
      <c r="G2018" s="2" t="s">
        <v>165</v>
      </c>
      <c r="H2018" s="2">
        <v>4</v>
      </c>
      <c r="I2018" s="2">
        <v>785.11</v>
      </c>
      <c r="J2018" s="2">
        <v>0</v>
      </c>
      <c r="K2018" s="2" t="s">
        <v>17</v>
      </c>
      <c r="L2018" s="2" t="s">
        <v>42</v>
      </c>
    </row>
    <row r="2019" spans="1:12" x14ac:dyDescent="0.2">
      <c r="A2019" s="2">
        <v>100905</v>
      </c>
      <c r="B2019" s="17">
        <v>45632</v>
      </c>
      <c r="C2019" s="2" t="s">
        <v>760</v>
      </c>
      <c r="D2019" s="2" t="s">
        <v>44</v>
      </c>
      <c r="E2019" s="2" t="s">
        <v>54</v>
      </c>
      <c r="F2019" s="2" t="s">
        <v>102</v>
      </c>
      <c r="G2019" s="2" t="s">
        <v>103</v>
      </c>
      <c r="H2019" s="2">
        <v>-2</v>
      </c>
      <c r="I2019" s="2"/>
      <c r="J2019" s="2">
        <v>0.25</v>
      </c>
      <c r="K2019" s="2" t="s">
        <v>24</v>
      </c>
      <c r="L2019" s="2" t="s">
        <v>52</v>
      </c>
    </row>
    <row r="2020" spans="1:12" x14ac:dyDescent="0.2">
      <c r="A2020" s="2">
        <v>100731</v>
      </c>
      <c r="B2020" s="18">
        <v>45470</v>
      </c>
      <c r="C2020" s="2" t="s">
        <v>435</v>
      </c>
      <c r="D2020" s="2" t="s">
        <v>85</v>
      </c>
      <c r="E2020" s="2" t="s">
        <v>119</v>
      </c>
      <c r="F2020" s="2" t="s">
        <v>64</v>
      </c>
      <c r="G2020" s="2" t="s">
        <v>165</v>
      </c>
      <c r="H2020" s="2">
        <v>1</v>
      </c>
      <c r="I2020" s="2">
        <v>169.59</v>
      </c>
      <c r="J2020" s="2">
        <v>0</v>
      </c>
      <c r="K2020" s="2" t="s">
        <v>83</v>
      </c>
      <c r="L2020" s="2" t="s">
        <v>35</v>
      </c>
    </row>
    <row r="2021" spans="1:12" x14ac:dyDescent="0.2">
      <c r="A2021" s="2">
        <v>100555</v>
      </c>
      <c r="B2021" s="18">
        <v>45535</v>
      </c>
      <c r="C2021" s="2" t="s">
        <v>972</v>
      </c>
      <c r="D2021" s="2" t="s">
        <v>92</v>
      </c>
      <c r="E2021" s="2" t="s">
        <v>54</v>
      </c>
      <c r="F2021" s="2" t="s">
        <v>155</v>
      </c>
      <c r="G2021" s="2" t="s">
        <v>135</v>
      </c>
      <c r="H2021" s="2">
        <v>6</v>
      </c>
      <c r="I2021" s="2">
        <v>2755.08</v>
      </c>
      <c r="J2021" s="2">
        <v>0</v>
      </c>
      <c r="K2021" s="2" t="s">
        <v>17</v>
      </c>
      <c r="L2021" s="2" t="s">
        <v>35</v>
      </c>
    </row>
    <row r="2022" spans="1:12" x14ac:dyDescent="0.2">
      <c r="A2022" s="2">
        <v>100367</v>
      </c>
      <c r="B2022" s="17">
        <v>45511</v>
      </c>
      <c r="C2022" s="2" t="s">
        <v>1066</v>
      </c>
      <c r="D2022" s="2" t="s">
        <v>61</v>
      </c>
      <c r="E2022" s="2" t="s">
        <v>14</v>
      </c>
      <c r="F2022" s="2" t="s">
        <v>33</v>
      </c>
      <c r="G2022" s="2" t="s">
        <v>81</v>
      </c>
      <c r="H2022" s="2">
        <v>7</v>
      </c>
      <c r="I2022" s="2">
        <v>584.05999999999995</v>
      </c>
      <c r="J2022" s="2">
        <v>0</v>
      </c>
      <c r="K2022" s="2" t="s">
        <v>83</v>
      </c>
      <c r="L2022" s="2" t="s">
        <v>18</v>
      </c>
    </row>
    <row r="2023" spans="1:12" x14ac:dyDescent="0.2">
      <c r="A2023" s="2">
        <v>100346</v>
      </c>
      <c r="B2023" s="18">
        <v>45642</v>
      </c>
      <c r="C2023" s="2" t="s">
        <v>1057</v>
      </c>
      <c r="D2023" s="2" t="s">
        <v>31</v>
      </c>
      <c r="E2023" s="2" t="s">
        <v>54</v>
      </c>
      <c r="F2023" s="2" t="s">
        <v>102</v>
      </c>
      <c r="G2023" s="2" t="s">
        <v>135</v>
      </c>
      <c r="H2023" s="2">
        <v>12</v>
      </c>
      <c r="I2023" s="2">
        <v>2293.3000000000002</v>
      </c>
      <c r="J2023" s="2">
        <v>0.05</v>
      </c>
      <c r="K2023" s="2" t="s">
        <v>24</v>
      </c>
      <c r="L2023" s="2" t="s">
        <v>121</v>
      </c>
    </row>
    <row r="2024" spans="1:12" x14ac:dyDescent="0.2">
      <c r="A2024" s="2">
        <v>101609</v>
      </c>
      <c r="B2024" s="17">
        <v>45576</v>
      </c>
      <c r="C2024" s="2"/>
      <c r="D2024" s="2" t="s">
        <v>109</v>
      </c>
      <c r="E2024" s="2" t="s">
        <v>133</v>
      </c>
      <c r="F2024" s="2" t="s">
        <v>45</v>
      </c>
      <c r="G2024" s="2" t="s">
        <v>97</v>
      </c>
      <c r="H2024" s="2">
        <v>6</v>
      </c>
      <c r="I2024" s="2">
        <v>19779.95</v>
      </c>
      <c r="J2024" s="2">
        <v>0</v>
      </c>
      <c r="K2024" s="2" t="s">
        <v>66</v>
      </c>
      <c r="L2024" s="2" t="s">
        <v>121</v>
      </c>
    </row>
    <row r="2025" spans="1:12" x14ac:dyDescent="0.2">
      <c r="A2025" s="2">
        <v>100536</v>
      </c>
      <c r="B2025" s="17">
        <v>45419</v>
      </c>
      <c r="C2025" s="2" t="s">
        <v>127</v>
      </c>
      <c r="D2025" s="2" t="s">
        <v>48</v>
      </c>
      <c r="E2025" s="2" t="s">
        <v>79</v>
      </c>
      <c r="F2025" s="2" t="s">
        <v>120</v>
      </c>
      <c r="G2025" s="2" t="s">
        <v>232</v>
      </c>
      <c r="H2025" s="2">
        <v>12</v>
      </c>
      <c r="I2025" s="2">
        <v>3454.17</v>
      </c>
      <c r="J2025" s="2">
        <v>0.15</v>
      </c>
      <c r="K2025" s="2" t="s">
        <v>66</v>
      </c>
      <c r="L2025" s="2" t="s">
        <v>25</v>
      </c>
    </row>
    <row r="2026" spans="1:12" x14ac:dyDescent="0.2">
      <c r="A2026" s="2">
        <v>101423</v>
      </c>
      <c r="B2026" s="18">
        <v>45423</v>
      </c>
      <c r="C2026" s="2" t="s">
        <v>878</v>
      </c>
      <c r="D2026" s="2" t="s">
        <v>73</v>
      </c>
      <c r="E2026" s="2" t="s">
        <v>79</v>
      </c>
      <c r="F2026" s="2" t="s">
        <v>124</v>
      </c>
      <c r="G2026" s="2" t="s">
        <v>51</v>
      </c>
      <c r="H2026" s="2">
        <v>6</v>
      </c>
      <c r="I2026" s="2">
        <v>8105.09</v>
      </c>
      <c r="J2026" s="2"/>
      <c r="K2026" s="2" t="s">
        <v>83</v>
      </c>
      <c r="L2026" s="2" t="s">
        <v>143</v>
      </c>
    </row>
    <row r="2027" spans="1:12" x14ac:dyDescent="0.2">
      <c r="A2027" s="2">
        <v>101210</v>
      </c>
      <c r="B2027" s="18">
        <v>45494</v>
      </c>
      <c r="C2027" s="2" t="s">
        <v>900</v>
      </c>
      <c r="D2027" s="2" t="s">
        <v>89</v>
      </c>
      <c r="E2027" s="2" t="s">
        <v>32</v>
      </c>
      <c r="F2027" s="2" t="s">
        <v>106</v>
      </c>
      <c r="G2027" s="2" t="s">
        <v>156</v>
      </c>
      <c r="H2027" s="2">
        <v>12</v>
      </c>
      <c r="I2027" s="2">
        <v>2200.46</v>
      </c>
      <c r="J2027" s="2">
        <v>0.05</v>
      </c>
      <c r="K2027" s="2" t="s">
        <v>29</v>
      </c>
      <c r="L2027" s="2" t="s">
        <v>143</v>
      </c>
    </row>
    <row r="2028" spans="1:12" x14ac:dyDescent="0.2">
      <c r="A2028" s="2">
        <v>101373</v>
      </c>
      <c r="B2028" s="18">
        <v>45575</v>
      </c>
      <c r="C2028" s="2" t="s">
        <v>577</v>
      </c>
      <c r="D2028" s="2" t="s">
        <v>37</v>
      </c>
      <c r="E2028" s="2" t="s">
        <v>38</v>
      </c>
      <c r="F2028" s="2" t="s">
        <v>50</v>
      </c>
      <c r="G2028" s="2" t="s">
        <v>99</v>
      </c>
      <c r="H2028" s="2">
        <v>9</v>
      </c>
      <c r="I2028" s="2"/>
      <c r="J2028" s="2">
        <v>0.05</v>
      </c>
      <c r="K2028" s="2" t="s">
        <v>66</v>
      </c>
      <c r="L2028" s="2" t="s">
        <v>25</v>
      </c>
    </row>
    <row r="2029" spans="1:12" x14ac:dyDescent="0.2">
      <c r="A2029" s="2">
        <v>101640</v>
      </c>
      <c r="B2029" s="17">
        <v>45446</v>
      </c>
      <c r="C2029" s="2" t="s">
        <v>396</v>
      </c>
      <c r="D2029" s="2" t="s">
        <v>27</v>
      </c>
      <c r="E2029" s="2" t="s">
        <v>21</v>
      </c>
      <c r="F2029" s="2" t="s">
        <v>74</v>
      </c>
      <c r="G2029" s="2" t="s">
        <v>141</v>
      </c>
      <c r="H2029" s="2">
        <v>1</v>
      </c>
      <c r="I2029" s="2">
        <v>3376.13</v>
      </c>
      <c r="J2029" s="2">
        <v>0</v>
      </c>
      <c r="K2029" s="2" t="s">
        <v>29</v>
      </c>
      <c r="L2029" s="2" t="s">
        <v>35</v>
      </c>
    </row>
    <row r="2030" spans="1:12" x14ac:dyDescent="0.2">
      <c r="A2030" s="2">
        <v>100920</v>
      </c>
      <c r="B2030" s="17">
        <v>45317</v>
      </c>
      <c r="C2030" s="2" t="s">
        <v>478</v>
      </c>
      <c r="D2030" s="2" t="s">
        <v>44</v>
      </c>
      <c r="E2030" s="2" t="s">
        <v>54</v>
      </c>
      <c r="F2030" s="2" t="s">
        <v>33</v>
      </c>
      <c r="G2030" s="2" t="s">
        <v>93</v>
      </c>
      <c r="H2030" s="2">
        <v>5</v>
      </c>
      <c r="I2030" s="2">
        <v>396.05</v>
      </c>
      <c r="J2030" s="2">
        <v>0</v>
      </c>
      <c r="K2030" s="2" t="s">
        <v>24</v>
      </c>
      <c r="L2030" s="2" t="s">
        <v>121</v>
      </c>
    </row>
    <row r="2031" spans="1:12" x14ac:dyDescent="0.2">
      <c r="A2031" s="2">
        <v>100212</v>
      </c>
      <c r="B2031" s="17">
        <v>45357</v>
      </c>
      <c r="C2031" s="2" t="s">
        <v>68</v>
      </c>
      <c r="D2031" s="2" t="s">
        <v>61</v>
      </c>
      <c r="E2031" s="2" t="s">
        <v>14</v>
      </c>
      <c r="F2031" s="2" t="s">
        <v>120</v>
      </c>
      <c r="G2031" s="2" t="s">
        <v>141</v>
      </c>
      <c r="H2031" s="2">
        <v>5</v>
      </c>
      <c r="I2031" s="2">
        <v>1926.26</v>
      </c>
      <c r="J2031" s="2">
        <v>0.1</v>
      </c>
      <c r="K2031" s="2" t="s">
        <v>66</v>
      </c>
      <c r="L2031" s="2" t="s">
        <v>18</v>
      </c>
    </row>
    <row r="2032" spans="1:12" x14ac:dyDescent="0.2">
      <c r="A2032" s="2">
        <v>101604</v>
      </c>
      <c r="B2032" s="18">
        <v>45634</v>
      </c>
      <c r="C2032" s="2" t="s">
        <v>300</v>
      </c>
      <c r="D2032" s="2" t="s">
        <v>85</v>
      </c>
      <c r="E2032" s="2" t="s">
        <v>119</v>
      </c>
      <c r="F2032" s="2" t="s">
        <v>50</v>
      </c>
      <c r="G2032" s="2" t="s">
        <v>62</v>
      </c>
      <c r="H2032" s="2">
        <v>8</v>
      </c>
      <c r="I2032" s="2">
        <v>1443.44</v>
      </c>
      <c r="J2032" s="2">
        <v>0</v>
      </c>
      <c r="K2032" s="2" t="s">
        <v>41</v>
      </c>
      <c r="L2032" s="2" t="s">
        <v>87</v>
      </c>
    </row>
    <row r="2033" spans="1:12" x14ac:dyDescent="0.2">
      <c r="A2033" s="2">
        <v>100503</v>
      </c>
      <c r="B2033" s="17">
        <v>45622</v>
      </c>
      <c r="C2033" s="2" t="s">
        <v>884</v>
      </c>
      <c r="D2033" s="2" t="s">
        <v>58</v>
      </c>
      <c r="E2033" s="2" t="s">
        <v>38</v>
      </c>
      <c r="F2033" s="2" t="s">
        <v>28</v>
      </c>
      <c r="G2033" s="2" t="s">
        <v>205</v>
      </c>
      <c r="H2033" s="2">
        <v>12</v>
      </c>
      <c r="I2033" s="2">
        <v>10092.94</v>
      </c>
      <c r="J2033" s="2"/>
      <c r="K2033" s="2" t="s">
        <v>29</v>
      </c>
      <c r="L2033" s="2" t="s">
        <v>52</v>
      </c>
    </row>
    <row r="2034" spans="1:12" x14ac:dyDescent="0.2">
      <c r="A2034" s="2">
        <v>100538</v>
      </c>
      <c r="B2034" s="18">
        <v>45627</v>
      </c>
      <c r="C2034" s="2" t="s">
        <v>760</v>
      </c>
      <c r="D2034" s="2" t="s">
        <v>140</v>
      </c>
      <c r="E2034" s="2" t="s">
        <v>79</v>
      </c>
      <c r="F2034" s="2" t="s">
        <v>70</v>
      </c>
      <c r="G2034" s="2" t="s">
        <v>46</v>
      </c>
      <c r="H2034" s="2">
        <v>7</v>
      </c>
      <c r="I2034" s="2">
        <v>37669.019999999997</v>
      </c>
      <c r="J2034" s="2"/>
      <c r="K2034" s="2" t="s">
        <v>24</v>
      </c>
      <c r="L2034" s="2" t="s">
        <v>52</v>
      </c>
    </row>
    <row r="2035" spans="1:12" x14ac:dyDescent="0.2">
      <c r="A2035" s="2">
        <v>101221</v>
      </c>
      <c r="B2035" s="17">
        <v>45467</v>
      </c>
      <c r="C2035" s="2" t="s">
        <v>185</v>
      </c>
      <c r="D2035" s="2" t="s">
        <v>131</v>
      </c>
      <c r="E2035" s="2" t="s">
        <v>21</v>
      </c>
      <c r="F2035" s="2" t="s">
        <v>70</v>
      </c>
      <c r="G2035" s="2" t="s">
        <v>46</v>
      </c>
      <c r="H2035" s="2">
        <v>1</v>
      </c>
      <c r="I2035" s="2">
        <v>16076.09</v>
      </c>
      <c r="J2035" s="2">
        <v>0</v>
      </c>
      <c r="K2035" s="2" t="s">
        <v>17</v>
      </c>
      <c r="L2035" s="2" t="s">
        <v>18</v>
      </c>
    </row>
    <row r="2036" spans="1:12" x14ac:dyDescent="0.2">
      <c r="A2036" s="2">
        <v>100176</v>
      </c>
      <c r="B2036" s="17">
        <v>45541</v>
      </c>
      <c r="C2036" s="2" t="s">
        <v>147</v>
      </c>
      <c r="D2036" s="2" t="s">
        <v>160</v>
      </c>
      <c r="E2036" s="2" t="s">
        <v>49</v>
      </c>
      <c r="F2036" s="2" t="s">
        <v>55</v>
      </c>
      <c r="G2036" s="2" t="s">
        <v>56</v>
      </c>
      <c r="H2036" s="2">
        <v>11</v>
      </c>
      <c r="I2036" s="2">
        <v>7685.69</v>
      </c>
      <c r="J2036" s="2">
        <v>0</v>
      </c>
      <c r="K2036" s="2" t="s">
        <v>29</v>
      </c>
      <c r="L2036"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zoomScaleNormal="100" workbookViewId="0">
      <selection activeCell="B15" sqref="B15:D15"/>
    </sheetView>
  </sheetViews>
  <sheetFormatPr baseColWidth="10" defaultColWidth="8.6640625" defaultRowHeight="15" x14ac:dyDescent="0.2"/>
  <cols>
    <col min="1" max="1" width="16" customWidth="1"/>
    <col min="2" max="2" width="29.5" customWidth="1"/>
    <col min="3" max="3" width="42.5" customWidth="1"/>
    <col min="4" max="4" width="86.83203125" customWidth="1"/>
  </cols>
  <sheetData>
    <row r="1" spans="1:4" x14ac:dyDescent="0.2">
      <c r="A1" s="3" t="s">
        <v>1075</v>
      </c>
      <c r="B1" s="3" t="s">
        <v>1076</v>
      </c>
      <c r="C1" s="3" t="s">
        <v>1077</v>
      </c>
      <c r="D1" s="3" t="s">
        <v>1078</v>
      </c>
    </row>
    <row r="2" spans="1:4" ht="32" x14ac:dyDescent="0.2">
      <c r="A2" s="4" t="s">
        <v>0</v>
      </c>
      <c r="B2" s="4" t="s">
        <v>1079</v>
      </c>
      <c r="C2" s="4" t="s">
        <v>1080</v>
      </c>
      <c r="D2" s="20" t="s">
        <v>1081</v>
      </c>
    </row>
    <row r="3" spans="1:4" ht="48" x14ac:dyDescent="0.2">
      <c r="A3" s="4" t="s">
        <v>1</v>
      </c>
      <c r="B3" s="4" t="s">
        <v>1082</v>
      </c>
      <c r="C3" s="4" t="s">
        <v>1083</v>
      </c>
      <c r="D3" s="20" t="s">
        <v>1084</v>
      </c>
    </row>
    <row r="4" spans="1:4" ht="48" x14ac:dyDescent="0.2">
      <c r="A4" s="4" t="s">
        <v>2</v>
      </c>
      <c r="B4" s="4" t="s">
        <v>1085</v>
      </c>
      <c r="C4" s="4" t="s">
        <v>1086</v>
      </c>
      <c r="D4" s="21" t="s">
        <v>1087</v>
      </c>
    </row>
    <row r="5" spans="1:4" ht="32" x14ac:dyDescent="0.2">
      <c r="A5" s="4" t="s">
        <v>3</v>
      </c>
      <c r="B5" s="4" t="s">
        <v>1088</v>
      </c>
      <c r="C5" s="4" t="s">
        <v>1089</v>
      </c>
      <c r="D5" s="19" t="s">
        <v>1090</v>
      </c>
    </row>
    <row r="6" spans="1:4" x14ac:dyDescent="0.2">
      <c r="A6" s="4" t="s">
        <v>4</v>
      </c>
      <c r="B6" s="4" t="s">
        <v>1091</v>
      </c>
      <c r="C6" s="4" t="s">
        <v>1092</v>
      </c>
      <c r="D6" s="4" t="s">
        <v>1093</v>
      </c>
    </row>
    <row r="7" spans="1:4" ht="28" x14ac:dyDescent="0.2">
      <c r="A7" s="4" t="s">
        <v>5</v>
      </c>
      <c r="B7" s="4" t="s">
        <v>1094</v>
      </c>
      <c r="C7" s="4" t="s">
        <v>1095</v>
      </c>
      <c r="D7" s="4" t="s">
        <v>1096</v>
      </c>
    </row>
    <row r="8" spans="1:4" x14ac:dyDescent="0.2">
      <c r="A8" s="4" t="s">
        <v>6</v>
      </c>
      <c r="B8" s="4" t="s">
        <v>1097</v>
      </c>
      <c r="C8" s="4" t="s">
        <v>1098</v>
      </c>
      <c r="D8" s="4" t="s">
        <v>1093</v>
      </c>
    </row>
    <row r="9" spans="1:4" ht="42" x14ac:dyDescent="0.2">
      <c r="A9" s="4" t="s">
        <v>7</v>
      </c>
      <c r="B9" s="4" t="s">
        <v>1099</v>
      </c>
      <c r="C9" s="4" t="s">
        <v>1100</v>
      </c>
      <c r="D9" s="4" t="s">
        <v>1101</v>
      </c>
    </row>
    <row r="10" spans="1:4" ht="42" x14ac:dyDescent="0.2">
      <c r="A10" s="4" t="s">
        <v>8</v>
      </c>
      <c r="B10" s="4" t="s">
        <v>1102</v>
      </c>
      <c r="C10" s="4" t="s">
        <v>1103</v>
      </c>
      <c r="D10" s="4" t="s">
        <v>1104</v>
      </c>
    </row>
    <row r="11" spans="1:4" ht="42" x14ac:dyDescent="0.2">
      <c r="A11" s="4" t="s">
        <v>9</v>
      </c>
      <c r="B11" s="4" t="s">
        <v>1105</v>
      </c>
      <c r="C11" s="4" t="s">
        <v>1106</v>
      </c>
      <c r="D11" s="4" t="s">
        <v>1107</v>
      </c>
    </row>
    <row r="12" spans="1:4" x14ac:dyDescent="0.2">
      <c r="A12" s="4" t="s">
        <v>10</v>
      </c>
      <c r="B12" s="4" t="s">
        <v>1108</v>
      </c>
      <c r="C12" s="4" t="s">
        <v>1098</v>
      </c>
      <c r="D12" s="4" t="s">
        <v>1093</v>
      </c>
    </row>
    <row r="13" spans="1:4" ht="28" x14ac:dyDescent="0.2">
      <c r="A13" s="4" t="s">
        <v>11</v>
      </c>
      <c r="B13" s="4" t="s">
        <v>1109</v>
      </c>
      <c r="C13" s="4" t="s">
        <v>1098</v>
      </c>
      <c r="D13" s="4" t="s">
        <v>1093</v>
      </c>
    </row>
    <row r="14" spans="1:4" x14ac:dyDescent="0.2">
      <c r="A14" s="4"/>
      <c r="B14" s="4"/>
      <c r="C14" s="4"/>
      <c r="D14" s="4"/>
    </row>
    <row r="15" spans="1:4" ht="17.25" customHeight="1" x14ac:dyDescent="0.2">
      <c r="A15" s="22" t="s">
        <v>1110</v>
      </c>
      <c r="B15" s="23" t="s">
        <v>1111</v>
      </c>
      <c r="C15" s="23"/>
      <c r="D15" s="23"/>
    </row>
  </sheetData>
  <mergeCells count="1">
    <mergeCell ref="B15:D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21"/>
  <sheetViews>
    <sheetView zoomScaleNormal="100" workbookViewId="0">
      <pane ySplit="1" topLeftCell="A7" activePane="bottomLeft" state="frozen"/>
      <selection pane="bottomLeft" sqref="A1:A1048576"/>
    </sheetView>
  </sheetViews>
  <sheetFormatPr baseColWidth="10" defaultColWidth="8.6640625" defaultRowHeight="15" x14ac:dyDescent="0.2"/>
  <cols>
    <col min="1" max="1" width="12" style="14" customWidth="1"/>
    <col min="2" max="3" width="12.83203125" style="6" customWidth="1"/>
    <col min="4" max="4" width="19" customWidth="1"/>
    <col min="5" max="5" width="12" customWidth="1"/>
    <col min="6" max="6" width="20" customWidth="1"/>
    <col min="7" max="7" width="19" customWidth="1"/>
    <col min="8" max="8" width="23" customWidth="1"/>
    <col min="9" max="9" width="12" style="14" customWidth="1"/>
    <col min="10" max="11" width="15" style="11" customWidth="1"/>
    <col min="12" max="12" width="12" customWidth="1"/>
    <col min="13" max="13" width="17" customWidth="1"/>
    <col min="14" max="14" width="13.5" customWidth="1"/>
  </cols>
  <sheetData>
    <row r="1" spans="1:14" x14ac:dyDescent="0.2">
      <c r="A1" s="12" t="s">
        <v>0</v>
      </c>
      <c r="B1" s="7" t="s">
        <v>1</v>
      </c>
      <c r="C1" s="7" t="s">
        <v>1067</v>
      </c>
      <c r="D1" s="8" t="s">
        <v>2</v>
      </c>
      <c r="E1" s="1" t="s">
        <v>3</v>
      </c>
      <c r="F1" s="1" t="s">
        <v>4</v>
      </c>
      <c r="G1" s="1" t="s">
        <v>5</v>
      </c>
      <c r="H1" s="1" t="s">
        <v>6</v>
      </c>
      <c r="I1" s="12" t="s">
        <v>7</v>
      </c>
      <c r="J1" s="9" t="s">
        <v>8</v>
      </c>
      <c r="K1" s="9" t="s">
        <v>1068</v>
      </c>
      <c r="L1" s="8" t="s">
        <v>9</v>
      </c>
      <c r="M1" s="1" t="s">
        <v>10</v>
      </c>
      <c r="N1" s="1" t="s">
        <v>11</v>
      </c>
    </row>
    <row r="2" spans="1:14" x14ac:dyDescent="0.2">
      <c r="A2" s="13">
        <v>100197</v>
      </c>
      <c r="B2" s="5">
        <v>45452</v>
      </c>
      <c r="C2" s="5" t="str">
        <f t="shared" ref="C2:C65" si="0">TEXT(B2,"mmm")</f>
        <v>Jun</v>
      </c>
      <c r="D2" s="2" t="s">
        <v>12</v>
      </c>
      <c r="E2" s="2" t="s">
        <v>61</v>
      </c>
      <c r="F2" s="2" t="s">
        <v>14</v>
      </c>
      <c r="G2" s="2" t="s">
        <v>15</v>
      </c>
      <c r="H2" s="2" t="s">
        <v>16</v>
      </c>
      <c r="I2" s="13">
        <v>12</v>
      </c>
      <c r="J2" s="10">
        <v>23820.37</v>
      </c>
      <c r="K2" s="10">
        <f t="shared" ref="K2:K65" si="1">I2*J2</f>
        <v>285844.44</v>
      </c>
      <c r="L2" s="2">
        <v>0</v>
      </c>
      <c r="M2" s="2" t="s">
        <v>17</v>
      </c>
      <c r="N2" s="2" t="s">
        <v>18</v>
      </c>
    </row>
    <row r="3" spans="1:14" x14ac:dyDescent="0.2">
      <c r="A3" s="13">
        <v>101557</v>
      </c>
      <c r="B3" s="5">
        <v>45494</v>
      </c>
      <c r="C3" s="5" t="str">
        <f t="shared" si="0"/>
        <v>Jul</v>
      </c>
      <c r="D3" s="2" t="s">
        <v>19</v>
      </c>
      <c r="E3" s="2" t="s">
        <v>27</v>
      </c>
      <c r="F3" s="2" t="s">
        <v>21</v>
      </c>
      <c r="G3" s="2" t="s">
        <v>22</v>
      </c>
      <c r="H3" s="2" t="s">
        <v>23</v>
      </c>
      <c r="I3" s="13">
        <v>9</v>
      </c>
      <c r="J3" s="10">
        <v>2886.71</v>
      </c>
      <c r="K3" s="10">
        <f t="shared" si="1"/>
        <v>25980.39</v>
      </c>
      <c r="L3" s="2">
        <v>0.2</v>
      </c>
      <c r="M3" s="2" t="s">
        <v>24</v>
      </c>
      <c r="N3" s="2" t="s">
        <v>25</v>
      </c>
    </row>
    <row r="4" spans="1:14" x14ac:dyDescent="0.2">
      <c r="A4" s="13">
        <v>100573</v>
      </c>
      <c r="B4" s="5">
        <v>45642</v>
      </c>
      <c r="C4" s="5" t="str">
        <f t="shared" si="0"/>
        <v>Dec</v>
      </c>
      <c r="D4" s="2" t="s">
        <v>26</v>
      </c>
      <c r="E4" s="2" t="s">
        <v>27</v>
      </c>
      <c r="F4" s="2" t="s">
        <v>21</v>
      </c>
      <c r="G4" s="2" t="s">
        <v>15</v>
      </c>
      <c r="H4" s="2" t="s">
        <v>16</v>
      </c>
      <c r="I4" s="13">
        <v>7</v>
      </c>
      <c r="J4" s="10">
        <v>13577.31</v>
      </c>
      <c r="K4" s="10">
        <f t="shared" si="1"/>
        <v>95041.17</v>
      </c>
      <c r="L4" s="2">
        <v>0.05</v>
      </c>
      <c r="M4" s="2" t="s">
        <v>29</v>
      </c>
      <c r="N4" s="2" t="s">
        <v>25</v>
      </c>
    </row>
    <row r="5" spans="1:14" x14ac:dyDescent="0.2">
      <c r="A5" s="13">
        <v>101717</v>
      </c>
      <c r="B5" s="5">
        <v>45381</v>
      </c>
      <c r="C5" s="5" t="str">
        <f t="shared" si="0"/>
        <v>Mar</v>
      </c>
      <c r="D5" s="2" t="s">
        <v>30</v>
      </c>
      <c r="E5" s="2" t="s">
        <v>31</v>
      </c>
      <c r="F5" s="2" t="s">
        <v>32</v>
      </c>
      <c r="G5" s="2" t="s">
        <v>33</v>
      </c>
      <c r="H5" s="2" t="s">
        <v>34</v>
      </c>
      <c r="I5" s="13">
        <v>2</v>
      </c>
      <c r="J5" s="10">
        <v>404.01</v>
      </c>
      <c r="K5" s="10">
        <f t="shared" si="1"/>
        <v>808.02</v>
      </c>
      <c r="L5" s="2">
        <v>0.15</v>
      </c>
      <c r="M5" s="2" t="s">
        <v>17</v>
      </c>
      <c r="N5" s="2" t="s">
        <v>35</v>
      </c>
    </row>
    <row r="6" spans="1:14" x14ac:dyDescent="0.2">
      <c r="A6" s="13">
        <v>100201</v>
      </c>
      <c r="B6" s="5">
        <v>45553</v>
      </c>
      <c r="C6" s="5" t="str">
        <f t="shared" si="0"/>
        <v>Sep</v>
      </c>
      <c r="D6" s="2" t="s">
        <v>36</v>
      </c>
      <c r="E6" s="2" t="s">
        <v>37</v>
      </c>
      <c r="F6" s="2" t="s">
        <v>38</v>
      </c>
      <c r="G6" s="2" t="s">
        <v>64</v>
      </c>
      <c r="H6" s="2" t="s">
        <v>40</v>
      </c>
      <c r="I6" s="13">
        <v>10</v>
      </c>
      <c r="J6" s="10">
        <v>787.21</v>
      </c>
      <c r="K6" s="10">
        <f t="shared" si="1"/>
        <v>7872.1</v>
      </c>
      <c r="L6" s="2">
        <v>0</v>
      </c>
      <c r="M6" s="2" t="s">
        <v>41</v>
      </c>
      <c r="N6" s="2" t="s">
        <v>42</v>
      </c>
    </row>
    <row r="7" spans="1:14" x14ac:dyDescent="0.2">
      <c r="A7" s="13">
        <v>101949</v>
      </c>
      <c r="B7" s="5">
        <v>45352</v>
      </c>
      <c r="C7" s="5" t="str">
        <f t="shared" si="0"/>
        <v>Mar</v>
      </c>
      <c r="D7" s="2" t="s">
        <v>43</v>
      </c>
      <c r="E7" s="2" t="s">
        <v>31</v>
      </c>
      <c r="F7" s="2" t="s">
        <v>32</v>
      </c>
      <c r="G7" s="2" t="s">
        <v>45</v>
      </c>
      <c r="H7" s="2" t="s">
        <v>46</v>
      </c>
      <c r="I7" s="13">
        <v>6</v>
      </c>
      <c r="J7" s="10">
        <v>30540.06</v>
      </c>
      <c r="K7" s="10">
        <f t="shared" si="1"/>
        <v>183240.36000000002</v>
      </c>
      <c r="L7" s="2">
        <v>0</v>
      </c>
      <c r="M7" s="2" t="s">
        <v>41</v>
      </c>
      <c r="N7" s="2" t="s">
        <v>18</v>
      </c>
    </row>
    <row r="8" spans="1:14" x14ac:dyDescent="0.2">
      <c r="A8" s="13">
        <v>100913</v>
      </c>
      <c r="B8" s="5">
        <v>45475</v>
      </c>
      <c r="C8" s="5" t="str">
        <f t="shared" si="0"/>
        <v>Jul</v>
      </c>
      <c r="D8" s="2" t="s">
        <v>47</v>
      </c>
      <c r="E8" s="2" t="s">
        <v>140</v>
      </c>
      <c r="F8" s="2" t="s">
        <v>49</v>
      </c>
      <c r="G8" s="2" t="s">
        <v>50</v>
      </c>
      <c r="H8" s="2" t="s">
        <v>51</v>
      </c>
      <c r="I8" s="13">
        <v>6</v>
      </c>
      <c r="J8" s="10">
        <v>7665.27</v>
      </c>
      <c r="K8" s="10">
        <f t="shared" si="1"/>
        <v>45991.62</v>
      </c>
      <c r="L8" s="2">
        <v>0.15</v>
      </c>
      <c r="M8" s="2" t="s">
        <v>17</v>
      </c>
      <c r="N8" s="2" t="s">
        <v>52</v>
      </c>
    </row>
    <row r="9" spans="1:14" x14ac:dyDescent="0.2">
      <c r="A9" s="13">
        <v>100842</v>
      </c>
      <c r="B9" s="5">
        <v>45507</v>
      </c>
      <c r="C9" s="5" t="str">
        <f t="shared" si="0"/>
        <v>Aug</v>
      </c>
      <c r="D9" s="2" t="s">
        <v>53</v>
      </c>
      <c r="E9" s="2" t="s">
        <v>31</v>
      </c>
      <c r="F9" s="2" t="s">
        <v>54</v>
      </c>
      <c r="G9" s="2" t="s">
        <v>50</v>
      </c>
      <c r="H9" s="2" t="s">
        <v>56</v>
      </c>
      <c r="I9" s="13">
        <v>12</v>
      </c>
      <c r="J9" s="10">
        <v>3717.1</v>
      </c>
      <c r="K9" s="10">
        <f t="shared" si="1"/>
        <v>44605.2</v>
      </c>
      <c r="L9" s="2">
        <v>0.2</v>
      </c>
      <c r="M9" s="2" t="s">
        <v>17</v>
      </c>
      <c r="N9" s="2" t="s">
        <v>42</v>
      </c>
    </row>
    <row r="10" spans="1:14" x14ac:dyDescent="0.2">
      <c r="A10" s="13">
        <v>100475</v>
      </c>
      <c r="B10" s="5">
        <v>45403</v>
      </c>
      <c r="C10" s="5" t="str">
        <f t="shared" si="0"/>
        <v>Apr</v>
      </c>
      <c r="D10" s="2" t="s">
        <v>57</v>
      </c>
      <c r="E10" s="2" t="s">
        <v>37</v>
      </c>
      <c r="F10" s="2" t="s">
        <v>38</v>
      </c>
      <c r="G10" s="2" t="s">
        <v>15</v>
      </c>
      <c r="H10" s="2" t="s">
        <v>59</v>
      </c>
      <c r="I10" s="13">
        <v>1</v>
      </c>
      <c r="J10" s="10">
        <v>0</v>
      </c>
      <c r="K10" s="10">
        <f t="shared" si="1"/>
        <v>0</v>
      </c>
      <c r="L10" s="2">
        <v>0.05</v>
      </c>
      <c r="M10" s="2" t="s">
        <v>17</v>
      </c>
      <c r="N10" s="2" t="s">
        <v>52</v>
      </c>
    </row>
    <row r="11" spans="1:14" x14ac:dyDescent="0.2">
      <c r="A11" s="13">
        <v>100373</v>
      </c>
      <c r="B11" s="5">
        <v>45609</v>
      </c>
      <c r="C11" s="5" t="str">
        <f t="shared" si="0"/>
        <v>Nov</v>
      </c>
      <c r="D11" s="2" t="s">
        <v>60</v>
      </c>
      <c r="E11" s="2" t="s">
        <v>61</v>
      </c>
      <c r="F11" s="2" t="s">
        <v>14</v>
      </c>
      <c r="G11" s="2" t="s">
        <v>50</v>
      </c>
      <c r="H11" s="2" t="s">
        <v>62</v>
      </c>
      <c r="I11" s="13">
        <v>10</v>
      </c>
      <c r="J11" s="10">
        <v>1963.72</v>
      </c>
      <c r="K11" s="10">
        <f t="shared" si="1"/>
        <v>19637.2</v>
      </c>
      <c r="L11" s="2">
        <v>0.25</v>
      </c>
      <c r="M11" s="2" t="s">
        <v>41</v>
      </c>
      <c r="N11" s="2" t="s">
        <v>35</v>
      </c>
    </row>
    <row r="12" spans="1:14" x14ac:dyDescent="0.2">
      <c r="A12" s="13">
        <v>101445</v>
      </c>
      <c r="B12" s="5">
        <v>45511</v>
      </c>
      <c r="C12" s="5" t="str">
        <f t="shared" si="0"/>
        <v>Aug</v>
      </c>
      <c r="D12" s="2" t="s">
        <v>63</v>
      </c>
      <c r="E12" s="2" t="s">
        <v>37</v>
      </c>
      <c r="F12" s="2" t="s">
        <v>38</v>
      </c>
      <c r="G12" s="2" t="s">
        <v>64</v>
      </c>
      <c r="H12" s="2" t="s">
        <v>40</v>
      </c>
      <c r="I12" s="13">
        <v>5</v>
      </c>
      <c r="J12" s="10">
        <v>335.56</v>
      </c>
      <c r="K12" s="10">
        <f t="shared" si="1"/>
        <v>1677.8</v>
      </c>
      <c r="L12" s="2">
        <v>0</v>
      </c>
      <c r="M12" s="2" t="s">
        <v>66</v>
      </c>
      <c r="N12" s="2" t="s">
        <v>35</v>
      </c>
    </row>
    <row r="13" spans="1:14" x14ac:dyDescent="0.2">
      <c r="A13" s="13">
        <v>101103</v>
      </c>
      <c r="B13" s="5">
        <v>45395</v>
      </c>
      <c r="C13" s="5" t="str">
        <f t="shared" si="0"/>
        <v>Apr</v>
      </c>
      <c r="D13" s="2" t="s">
        <v>68</v>
      </c>
      <c r="E13" s="2" t="s">
        <v>37</v>
      </c>
      <c r="F13" s="2" t="s">
        <v>69</v>
      </c>
      <c r="G13" s="2" t="s">
        <v>45</v>
      </c>
      <c r="H13" s="2" t="s">
        <v>71</v>
      </c>
      <c r="I13" s="13">
        <v>5</v>
      </c>
      <c r="J13" s="10">
        <v>16851.16</v>
      </c>
      <c r="K13" s="10">
        <f t="shared" si="1"/>
        <v>84255.8</v>
      </c>
      <c r="L13" s="2">
        <v>0</v>
      </c>
      <c r="M13" s="2" t="s">
        <v>41</v>
      </c>
      <c r="N13" s="2" t="s">
        <v>42</v>
      </c>
    </row>
    <row r="14" spans="1:14" x14ac:dyDescent="0.2">
      <c r="A14" s="13">
        <v>100242</v>
      </c>
      <c r="B14" s="5">
        <v>45433</v>
      </c>
      <c r="C14" s="5" t="str">
        <f t="shared" si="0"/>
        <v>May</v>
      </c>
      <c r="D14" s="2" t="s">
        <v>72</v>
      </c>
      <c r="E14" s="2" t="s">
        <v>140</v>
      </c>
      <c r="F14" s="2" t="s">
        <v>49</v>
      </c>
      <c r="G14" s="2" t="s">
        <v>22</v>
      </c>
      <c r="H14" s="2" t="s">
        <v>75</v>
      </c>
      <c r="I14" s="13">
        <v>11</v>
      </c>
      <c r="J14" s="10">
        <v>2707.61</v>
      </c>
      <c r="K14" s="10">
        <f t="shared" si="1"/>
        <v>29783.710000000003</v>
      </c>
      <c r="L14" s="2">
        <v>0.05</v>
      </c>
      <c r="M14" s="2" t="s">
        <v>41</v>
      </c>
      <c r="N14" s="2" t="s">
        <v>52</v>
      </c>
    </row>
    <row r="15" spans="1:14" x14ac:dyDescent="0.2">
      <c r="A15" s="13">
        <v>100904</v>
      </c>
      <c r="B15" s="5">
        <v>45315</v>
      </c>
      <c r="C15" s="5" t="str">
        <f t="shared" si="0"/>
        <v>Jan</v>
      </c>
      <c r="D15" s="2" t="s">
        <v>78</v>
      </c>
      <c r="E15" s="2" t="s">
        <v>140</v>
      </c>
      <c r="F15" s="2" t="s">
        <v>79</v>
      </c>
      <c r="G15" s="2" t="s">
        <v>33</v>
      </c>
      <c r="H15" s="2" t="s">
        <v>81</v>
      </c>
      <c r="I15" s="13">
        <v>9</v>
      </c>
      <c r="J15" s="10">
        <v>206</v>
      </c>
      <c r="K15" s="10">
        <f t="shared" si="1"/>
        <v>1854</v>
      </c>
      <c r="L15" s="2">
        <v>0.15</v>
      </c>
      <c r="M15" s="2" t="s">
        <v>83</v>
      </c>
      <c r="N15" s="2" t="s">
        <v>35</v>
      </c>
    </row>
    <row r="16" spans="1:14" x14ac:dyDescent="0.2">
      <c r="A16" s="13">
        <v>101979</v>
      </c>
      <c r="B16" s="5">
        <v>45487</v>
      </c>
      <c r="C16" s="5" t="str">
        <f t="shared" si="0"/>
        <v>Jul</v>
      </c>
      <c r="D16" s="2" t="s">
        <v>84</v>
      </c>
      <c r="E16" s="2" t="s">
        <v>61</v>
      </c>
      <c r="F16" s="2" t="s">
        <v>14</v>
      </c>
      <c r="G16" s="2" t="s">
        <v>45</v>
      </c>
      <c r="H16" s="2" t="s">
        <v>46</v>
      </c>
      <c r="I16" s="13">
        <v>9</v>
      </c>
      <c r="J16" s="10">
        <v>12583.22</v>
      </c>
      <c r="K16" s="10">
        <f t="shared" si="1"/>
        <v>113248.98</v>
      </c>
      <c r="L16" s="2">
        <v>0</v>
      </c>
      <c r="M16" s="2" t="s">
        <v>66</v>
      </c>
      <c r="N16" s="2" t="s">
        <v>87</v>
      </c>
    </row>
    <row r="17" spans="1:14" x14ac:dyDescent="0.2">
      <c r="A17" s="13">
        <v>100207</v>
      </c>
      <c r="B17" s="5">
        <v>45358</v>
      </c>
      <c r="C17" s="5" t="str">
        <f t="shared" si="0"/>
        <v>Mar</v>
      </c>
      <c r="D17" s="2" t="s">
        <v>88</v>
      </c>
      <c r="E17" s="2" t="s">
        <v>31</v>
      </c>
      <c r="F17" s="2" t="s">
        <v>32</v>
      </c>
      <c r="G17" s="2" t="s">
        <v>15</v>
      </c>
      <c r="H17" s="2" t="s">
        <v>16</v>
      </c>
      <c r="I17" s="13">
        <v>10</v>
      </c>
      <c r="J17" s="10">
        <v>8578.15</v>
      </c>
      <c r="K17" s="10">
        <f t="shared" si="1"/>
        <v>85781.5</v>
      </c>
      <c r="L17" s="2">
        <v>0</v>
      </c>
      <c r="M17" s="2" t="s">
        <v>83</v>
      </c>
      <c r="N17" s="2" t="s">
        <v>25</v>
      </c>
    </row>
    <row r="18" spans="1:14" x14ac:dyDescent="0.2">
      <c r="A18" s="13">
        <v>100128</v>
      </c>
      <c r="B18" s="5">
        <v>45589</v>
      </c>
      <c r="C18" s="5" t="str">
        <f t="shared" si="0"/>
        <v>Oct</v>
      </c>
      <c r="D18" s="2" t="s">
        <v>91</v>
      </c>
      <c r="E18" s="2" t="s">
        <v>31</v>
      </c>
      <c r="F18" s="2" t="s">
        <v>54</v>
      </c>
      <c r="G18" s="2" t="s">
        <v>33</v>
      </c>
      <c r="H18" s="2" t="s">
        <v>93</v>
      </c>
      <c r="I18" s="13">
        <v>2</v>
      </c>
      <c r="J18" s="10">
        <v>287.64</v>
      </c>
      <c r="K18" s="10">
        <f t="shared" si="1"/>
        <v>575.28</v>
      </c>
      <c r="L18" s="2">
        <v>0.15</v>
      </c>
      <c r="M18" s="2" t="s">
        <v>29</v>
      </c>
      <c r="N18" s="2" t="s">
        <v>18</v>
      </c>
    </row>
    <row r="19" spans="1:14" x14ac:dyDescent="0.2">
      <c r="A19" s="13">
        <v>100977</v>
      </c>
      <c r="B19" s="5">
        <v>45421</v>
      </c>
      <c r="C19" s="5" t="str">
        <f t="shared" si="0"/>
        <v>May</v>
      </c>
      <c r="D19" s="2" t="s">
        <v>94</v>
      </c>
      <c r="E19" s="2" t="s">
        <v>27</v>
      </c>
      <c r="F19" s="2" t="s">
        <v>21</v>
      </c>
      <c r="G19" s="2" t="s">
        <v>45</v>
      </c>
      <c r="H19" s="2" t="s">
        <v>97</v>
      </c>
      <c r="I19" s="13">
        <v>8</v>
      </c>
      <c r="J19" s="10">
        <v>36865.370000000003</v>
      </c>
      <c r="K19" s="10">
        <f t="shared" si="1"/>
        <v>294922.96000000002</v>
      </c>
      <c r="L19" s="2">
        <v>0.25</v>
      </c>
      <c r="M19" s="2" t="s">
        <v>24</v>
      </c>
      <c r="N19" s="2" t="s">
        <v>87</v>
      </c>
    </row>
    <row r="20" spans="1:14" x14ac:dyDescent="0.2">
      <c r="A20" s="13">
        <v>101799</v>
      </c>
      <c r="B20" s="5">
        <v>45409</v>
      </c>
      <c r="C20" s="5" t="str">
        <f t="shared" si="0"/>
        <v>Apr</v>
      </c>
      <c r="D20" s="2" t="s">
        <v>98</v>
      </c>
      <c r="E20" s="2" t="s">
        <v>37</v>
      </c>
      <c r="F20" s="2" t="s">
        <v>69</v>
      </c>
      <c r="G20" s="2" t="s">
        <v>50</v>
      </c>
      <c r="H20" s="2" t="s">
        <v>99</v>
      </c>
      <c r="I20" s="13">
        <v>4</v>
      </c>
      <c r="J20" s="10">
        <v>7237.69</v>
      </c>
      <c r="K20" s="10">
        <f t="shared" si="1"/>
        <v>28950.76</v>
      </c>
      <c r="L20" s="2">
        <v>0.05</v>
      </c>
      <c r="M20" s="2" t="s">
        <v>24</v>
      </c>
      <c r="N20" s="2" t="s">
        <v>25</v>
      </c>
    </row>
    <row r="21" spans="1:14" x14ac:dyDescent="0.2">
      <c r="A21" s="13">
        <v>101166</v>
      </c>
      <c r="B21" s="5">
        <v>45482</v>
      </c>
      <c r="C21" s="5" t="str">
        <f t="shared" si="0"/>
        <v>Jul</v>
      </c>
      <c r="D21" s="2" t="s">
        <v>100</v>
      </c>
      <c r="E21" s="2" t="s">
        <v>37</v>
      </c>
      <c r="F21" s="2" t="s">
        <v>38</v>
      </c>
      <c r="G21" s="2" t="s">
        <v>106</v>
      </c>
      <c r="H21" s="2" t="s">
        <v>103</v>
      </c>
      <c r="I21" s="13">
        <v>1</v>
      </c>
      <c r="J21" s="10">
        <v>559.09</v>
      </c>
      <c r="K21" s="10">
        <f t="shared" si="1"/>
        <v>559.09</v>
      </c>
      <c r="L21" s="2">
        <v>0.05</v>
      </c>
      <c r="M21" s="2" t="s">
        <v>24</v>
      </c>
      <c r="N21" s="2" t="s">
        <v>25</v>
      </c>
    </row>
    <row r="22" spans="1:14" x14ac:dyDescent="0.2">
      <c r="A22" s="13">
        <v>101753</v>
      </c>
      <c r="B22" s="5">
        <v>45525</v>
      </c>
      <c r="C22" s="5" t="str">
        <f t="shared" si="0"/>
        <v>Aug</v>
      </c>
      <c r="D22" s="2" t="s">
        <v>105</v>
      </c>
      <c r="E22" s="2" t="s">
        <v>27</v>
      </c>
      <c r="F22" s="2" t="s">
        <v>21</v>
      </c>
      <c r="G22" s="2" t="s">
        <v>106</v>
      </c>
      <c r="H22" s="2" t="s">
        <v>103</v>
      </c>
      <c r="I22" s="13">
        <v>8</v>
      </c>
      <c r="J22" s="10">
        <v>2442.09</v>
      </c>
      <c r="K22" s="10">
        <f t="shared" si="1"/>
        <v>19536.72</v>
      </c>
      <c r="L22" s="2">
        <v>0.25</v>
      </c>
      <c r="M22" s="2" t="s">
        <v>41</v>
      </c>
      <c r="N22" s="2" t="s">
        <v>42</v>
      </c>
    </row>
    <row r="23" spans="1:14" x14ac:dyDescent="0.2">
      <c r="A23" s="13">
        <v>101178</v>
      </c>
      <c r="B23" s="5">
        <v>45648</v>
      </c>
      <c r="C23" s="5" t="str">
        <f t="shared" si="0"/>
        <v>Dec</v>
      </c>
      <c r="D23" s="2" t="s">
        <v>108</v>
      </c>
      <c r="E23" s="2" t="s">
        <v>27</v>
      </c>
      <c r="F23" s="2" t="s">
        <v>21</v>
      </c>
      <c r="G23" s="2" t="s">
        <v>45</v>
      </c>
      <c r="H23" s="2" t="s">
        <v>46</v>
      </c>
      <c r="I23" s="13">
        <v>12</v>
      </c>
      <c r="J23" s="10">
        <v>0</v>
      </c>
      <c r="K23" s="10">
        <f t="shared" si="1"/>
        <v>0</v>
      </c>
      <c r="L23" s="2">
        <v>0.05</v>
      </c>
      <c r="M23" s="2" t="s">
        <v>17</v>
      </c>
      <c r="N23" s="2" t="s">
        <v>52</v>
      </c>
    </row>
    <row r="24" spans="1:14" x14ac:dyDescent="0.2">
      <c r="A24" s="13">
        <v>100299</v>
      </c>
      <c r="B24" s="5">
        <v>45537</v>
      </c>
      <c r="C24" s="5" t="str">
        <f t="shared" si="0"/>
        <v>Sep</v>
      </c>
      <c r="D24" s="2" t="s">
        <v>649</v>
      </c>
      <c r="E24" s="2" t="s">
        <v>31</v>
      </c>
      <c r="F24" s="2" t="s">
        <v>32</v>
      </c>
      <c r="G24" s="2" t="s">
        <v>45</v>
      </c>
      <c r="H24" s="2" t="s">
        <v>111</v>
      </c>
      <c r="I24" s="13">
        <v>10</v>
      </c>
      <c r="J24" s="10">
        <v>32187.13</v>
      </c>
      <c r="K24" s="10">
        <f t="shared" si="1"/>
        <v>321871.3</v>
      </c>
      <c r="L24" s="2">
        <v>0.25</v>
      </c>
      <c r="M24" s="2" t="s">
        <v>66</v>
      </c>
      <c r="N24" s="2" t="s">
        <v>42</v>
      </c>
    </row>
    <row r="25" spans="1:14" x14ac:dyDescent="0.2">
      <c r="A25" s="13">
        <v>101361</v>
      </c>
      <c r="B25" s="5">
        <v>45520</v>
      </c>
      <c r="C25" s="5" t="str">
        <f t="shared" si="0"/>
        <v>Aug</v>
      </c>
      <c r="D25" s="2" t="s">
        <v>112</v>
      </c>
      <c r="E25" s="2" t="s">
        <v>27</v>
      </c>
      <c r="F25" s="2" t="s">
        <v>21</v>
      </c>
      <c r="G25" s="2" t="s">
        <v>64</v>
      </c>
      <c r="H25" s="2" t="s">
        <v>114</v>
      </c>
      <c r="I25" s="13">
        <v>10</v>
      </c>
      <c r="J25" s="10">
        <v>315.76</v>
      </c>
      <c r="K25" s="10">
        <f t="shared" si="1"/>
        <v>3157.6</v>
      </c>
      <c r="L25" s="2">
        <v>0.15</v>
      </c>
      <c r="M25" s="2" t="s">
        <v>29</v>
      </c>
      <c r="N25" s="2" t="s">
        <v>25</v>
      </c>
    </row>
    <row r="26" spans="1:14" x14ac:dyDescent="0.2">
      <c r="A26" s="13">
        <v>100230</v>
      </c>
      <c r="B26" s="5">
        <v>45328</v>
      </c>
      <c r="C26" s="5" t="str">
        <f t="shared" si="0"/>
        <v>Feb</v>
      </c>
      <c r="D26" s="2" t="s">
        <v>115</v>
      </c>
      <c r="E26" s="2" t="s">
        <v>27</v>
      </c>
      <c r="F26" s="2" t="s">
        <v>21</v>
      </c>
      <c r="G26" s="2" t="s">
        <v>15</v>
      </c>
      <c r="H26" s="2" t="s">
        <v>116</v>
      </c>
      <c r="I26" s="13">
        <v>11</v>
      </c>
      <c r="J26" s="10">
        <v>6407.18</v>
      </c>
      <c r="K26" s="10">
        <f t="shared" si="1"/>
        <v>70478.98000000001</v>
      </c>
      <c r="L26" s="2">
        <v>0.1</v>
      </c>
      <c r="M26" s="2" t="s">
        <v>41</v>
      </c>
      <c r="N26" s="2" t="s">
        <v>35</v>
      </c>
    </row>
    <row r="27" spans="1:14" x14ac:dyDescent="0.2">
      <c r="A27" s="13">
        <v>101486</v>
      </c>
      <c r="B27" s="5">
        <v>45641</v>
      </c>
      <c r="C27" s="5" t="str">
        <f t="shared" si="0"/>
        <v>Dec</v>
      </c>
      <c r="D27" s="2" t="s">
        <v>118</v>
      </c>
      <c r="E27" s="2" t="s">
        <v>61</v>
      </c>
      <c r="F27" s="2" t="s">
        <v>119</v>
      </c>
      <c r="G27" s="2" t="s">
        <v>22</v>
      </c>
      <c r="H27" s="2" t="s">
        <v>23</v>
      </c>
      <c r="I27" s="13">
        <v>3</v>
      </c>
      <c r="J27" s="10">
        <v>2929.96</v>
      </c>
      <c r="K27" s="10">
        <f t="shared" si="1"/>
        <v>8789.880000000001</v>
      </c>
      <c r="L27" s="2">
        <v>0.25</v>
      </c>
      <c r="M27" s="2" t="s">
        <v>41</v>
      </c>
      <c r="N27" s="2" t="s">
        <v>121</v>
      </c>
    </row>
    <row r="28" spans="1:14" x14ac:dyDescent="0.2">
      <c r="A28" s="13">
        <v>101756</v>
      </c>
      <c r="B28" s="5">
        <v>45436</v>
      </c>
      <c r="C28" s="5" t="str">
        <f t="shared" si="0"/>
        <v>May</v>
      </c>
      <c r="D28" s="2" t="s">
        <v>122</v>
      </c>
      <c r="E28" s="2" t="s">
        <v>37</v>
      </c>
      <c r="F28" s="2" t="s">
        <v>69</v>
      </c>
      <c r="G28" s="2" t="s">
        <v>15</v>
      </c>
      <c r="H28" s="2" t="s">
        <v>116</v>
      </c>
      <c r="I28" s="13">
        <v>5</v>
      </c>
      <c r="J28" s="10">
        <v>24061.23</v>
      </c>
      <c r="K28" s="10">
        <f t="shared" si="1"/>
        <v>120306.15</v>
      </c>
      <c r="L28" s="2">
        <v>0.25</v>
      </c>
      <c r="M28" s="2" t="s">
        <v>17</v>
      </c>
      <c r="N28" s="2" t="s">
        <v>18</v>
      </c>
    </row>
    <row r="29" spans="1:14" x14ac:dyDescent="0.2">
      <c r="A29" s="13">
        <v>100703</v>
      </c>
      <c r="B29" s="5">
        <v>45539</v>
      </c>
      <c r="C29" s="5" t="str">
        <f t="shared" si="0"/>
        <v>Sep</v>
      </c>
      <c r="D29" s="2" t="s">
        <v>123</v>
      </c>
      <c r="E29" s="2" t="s">
        <v>61</v>
      </c>
      <c r="F29" s="2" t="s">
        <v>14</v>
      </c>
      <c r="G29" s="2" t="s">
        <v>50</v>
      </c>
      <c r="H29" s="2" t="s">
        <v>62</v>
      </c>
      <c r="I29" s="13">
        <v>1</v>
      </c>
      <c r="J29" s="10">
        <v>6972.32</v>
      </c>
      <c r="K29" s="10">
        <f t="shared" si="1"/>
        <v>6972.32</v>
      </c>
      <c r="L29" s="2">
        <v>0</v>
      </c>
      <c r="M29" s="2" t="s">
        <v>29</v>
      </c>
      <c r="N29" s="2" t="s">
        <v>35</v>
      </c>
    </row>
    <row r="30" spans="1:14" x14ac:dyDescent="0.2">
      <c r="A30" s="13">
        <v>101199</v>
      </c>
      <c r="B30" s="5">
        <v>45526</v>
      </c>
      <c r="C30" s="5" t="str">
        <f t="shared" si="0"/>
        <v>Aug</v>
      </c>
      <c r="D30" s="2" t="s">
        <v>125</v>
      </c>
      <c r="E30" s="2" t="s">
        <v>31</v>
      </c>
      <c r="F30" s="2" t="s">
        <v>32</v>
      </c>
      <c r="G30" s="2" t="s">
        <v>50</v>
      </c>
      <c r="H30" s="2" t="s">
        <v>51</v>
      </c>
      <c r="I30" s="13">
        <v>2</v>
      </c>
      <c r="J30" s="10">
        <v>3123.23</v>
      </c>
      <c r="K30" s="10">
        <f t="shared" si="1"/>
        <v>6246.46</v>
      </c>
      <c r="L30" s="2">
        <v>0.05</v>
      </c>
      <c r="M30" s="2" t="s">
        <v>41</v>
      </c>
      <c r="N30" s="2" t="s">
        <v>87</v>
      </c>
    </row>
    <row r="31" spans="1:14" x14ac:dyDescent="0.2">
      <c r="A31" s="13">
        <v>101689</v>
      </c>
      <c r="B31" s="5">
        <v>45460</v>
      </c>
      <c r="C31" s="5" t="str">
        <f t="shared" si="0"/>
        <v>Jun</v>
      </c>
      <c r="D31" s="2" t="s">
        <v>126</v>
      </c>
      <c r="E31" s="2" t="s">
        <v>37</v>
      </c>
      <c r="F31" s="2" t="s">
        <v>69</v>
      </c>
      <c r="G31" s="2" t="s">
        <v>33</v>
      </c>
      <c r="H31" s="2" t="s">
        <v>81</v>
      </c>
      <c r="I31" s="13">
        <v>9</v>
      </c>
      <c r="J31" s="10">
        <v>71.53</v>
      </c>
      <c r="K31" s="10">
        <f t="shared" si="1"/>
        <v>643.77</v>
      </c>
      <c r="L31" s="2">
        <v>0</v>
      </c>
      <c r="M31" s="2" t="s">
        <v>17</v>
      </c>
      <c r="N31" s="2" t="s">
        <v>42</v>
      </c>
    </row>
    <row r="32" spans="1:14" x14ac:dyDescent="0.2">
      <c r="A32" s="13">
        <v>100864</v>
      </c>
      <c r="B32" s="5">
        <v>45633</v>
      </c>
      <c r="C32" s="5" t="str">
        <f t="shared" si="0"/>
        <v>Dec</v>
      </c>
      <c r="D32" s="2" t="s">
        <v>127</v>
      </c>
      <c r="E32" s="2" t="s">
        <v>37</v>
      </c>
      <c r="F32" s="2" t="s">
        <v>69</v>
      </c>
      <c r="G32" s="2" t="s">
        <v>45</v>
      </c>
      <c r="H32" s="2" t="s">
        <v>111</v>
      </c>
      <c r="I32" s="13">
        <v>1</v>
      </c>
      <c r="J32" s="10">
        <v>9819.93</v>
      </c>
      <c r="K32" s="10">
        <f t="shared" si="1"/>
        <v>9819.93</v>
      </c>
      <c r="L32" s="2">
        <v>0.15</v>
      </c>
      <c r="M32" s="2" t="s">
        <v>29</v>
      </c>
      <c r="N32" s="2" t="s">
        <v>42</v>
      </c>
    </row>
    <row r="33" spans="1:14" x14ac:dyDescent="0.2">
      <c r="A33" s="13">
        <v>100821</v>
      </c>
      <c r="B33" s="5">
        <v>45527</v>
      </c>
      <c r="C33" s="5" t="str">
        <f t="shared" si="0"/>
        <v>Aug</v>
      </c>
      <c r="D33" s="2" t="s">
        <v>128</v>
      </c>
      <c r="E33" s="2" t="s">
        <v>140</v>
      </c>
      <c r="F33" s="2" t="s">
        <v>49</v>
      </c>
      <c r="G33" s="2" t="s">
        <v>45</v>
      </c>
      <c r="H33" s="2" t="s">
        <v>97</v>
      </c>
      <c r="I33" s="13">
        <v>12</v>
      </c>
      <c r="J33" s="10">
        <v>29441.22</v>
      </c>
      <c r="K33" s="10">
        <f t="shared" si="1"/>
        <v>353294.64</v>
      </c>
      <c r="L33" s="2">
        <v>0.2</v>
      </c>
      <c r="M33" s="2" t="s">
        <v>66</v>
      </c>
      <c r="N33" s="2" t="s">
        <v>25</v>
      </c>
    </row>
    <row r="34" spans="1:14" x14ac:dyDescent="0.2">
      <c r="A34" s="13">
        <v>101751</v>
      </c>
      <c r="B34" s="5">
        <v>45605</v>
      </c>
      <c r="C34" s="5" t="str">
        <f t="shared" si="0"/>
        <v>Nov</v>
      </c>
      <c r="D34" s="2" t="s">
        <v>130</v>
      </c>
      <c r="E34" s="2" t="s">
        <v>27</v>
      </c>
      <c r="F34" s="2" t="s">
        <v>21</v>
      </c>
      <c r="G34" s="2" t="s">
        <v>33</v>
      </c>
      <c r="H34" s="2" t="s">
        <v>81</v>
      </c>
      <c r="I34" s="13">
        <v>4</v>
      </c>
      <c r="J34" s="10">
        <v>598.05999999999995</v>
      </c>
      <c r="K34" s="10">
        <f t="shared" si="1"/>
        <v>2392.2399999999998</v>
      </c>
      <c r="L34" s="2">
        <v>0</v>
      </c>
      <c r="M34" s="2" t="s">
        <v>41</v>
      </c>
      <c r="N34" s="2" t="s">
        <v>42</v>
      </c>
    </row>
    <row r="35" spans="1:14" x14ac:dyDescent="0.2">
      <c r="A35" s="13">
        <v>100111</v>
      </c>
      <c r="B35" s="5">
        <v>45365</v>
      </c>
      <c r="C35" s="5" t="str">
        <f t="shared" si="0"/>
        <v>Mar</v>
      </c>
      <c r="D35" s="2" t="s">
        <v>132</v>
      </c>
      <c r="E35" s="2" t="s">
        <v>27</v>
      </c>
      <c r="F35" s="2" t="s">
        <v>133</v>
      </c>
      <c r="G35" s="2" t="s">
        <v>22</v>
      </c>
      <c r="H35" s="2" t="s">
        <v>23</v>
      </c>
      <c r="I35" s="13">
        <v>11</v>
      </c>
      <c r="J35" s="10">
        <v>2521.73</v>
      </c>
      <c r="K35" s="10">
        <f t="shared" si="1"/>
        <v>27739.03</v>
      </c>
      <c r="L35" s="2">
        <v>0.15</v>
      </c>
      <c r="M35" s="2" t="s">
        <v>66</v>
      </c>
      <c r="N35" s="2" t="s">
        <v>25</v>
      </c>
    </row>
    <row r="36" spans="1:14" x14ac:dyDescent="0.2">
      <c r="A36" s="13">
        <v>101764</v>
      </c>
      <c r="B36" s="5">
        <v>45451</v>
      </c>
      <c r="C36" s="5" t="str">
        <f t="shared" si="0"/>
        <v>Jun</v>
      </c>
      <c r="D36" s="2" t="s">
        <v>134</v>
      </c>
      <c r="E36" s="2" t="s">
        <v>37</v>
      </c>
      <c r="F36" s="2" t="s">
        <v>38</v>
      </c>
      <c r="G36" s="2" t="s">
        <v>106</v>
      </c>
      <c r="H36" s="2" t="s">
        <v>135</v>
      </c>
      <c r="I36" s="13">
        <v>2</v>
      </c>
      <c r="J36" s="10">
        <v>2079.71</v>
      </c>
      <c r="K36" s="10">
        <f t="shared" si="1"/>
        <v>4159.42</v>
      </c>
      <c r="L36" s="2">
        <v>0.2</v>
      </c>
      <c r="M36" s="2" t="s">
        <v>66</v>
      </c>
      <c r="N36" s="2" t="s">
        <v>35</v>
      </c>
    </row>
    <row r="37" spans="1:14" x14ac:dyDescent="0.2">
      <c r="A37" s="13">
        <v>100472</v>
      </c>
      <c r="B37" s="5">
        <v>45405</v>
      </c>
      <c r="C37" s="5" t="str">
        <f t="shared" si="0"/>
        <v>Apr</v>
      </c>
      <c r="D37" s="2" t="s">
        <v>136</v>
      </c>
      <c r="E37" s="2" t="s">
        <v>61</v>
      </c>
      <c r="F37" s="2" t="s">
        <v>119</v>
      </c>
      <c r="G37" s="2" t="s">
        <v>106</v>
      </c>
      <c r="H37" s="2" t="s">
        <v>137</v>
      </c>
      <c r="I37" s="13">
        <v>12</v>
      </c>
      <c r="J37" s="10">
        <v>2787.18</v>
      </c>
      <c r="K37" s="10">
        <f t="shared" si="1"/>
        <v>33446.159999999996</v>
      </c>
      <c r="L37" s="2">
        <v>0.15</v>
      </c>
      <c r="M37" s="2" t="s">
        <v>24</v>
      </c>
      <c r="N37" s="2" t="s">
        <v>52</v>
      </c>
    </row>
    <row r="38" spans="1:14" x14ac:dyDescent="0.2">
      <c r="A38" s="13">
        <v>100279</v>
      </c>
      <c r="B38" s="5">
        <v>45293</v>
      </c>
      <c r="C38" s="5" t="str">
        <f t="shared" si="0"/>
        <v>Jan</v>
      </c>
      <c r="D38" s="2" t="s">
        <v>139</v>
      </c>
      <c r="E38" s="2" t="s">
        <v>140</v>
      </c>
      <c r="F38" s="2" t="s">
        <v>49</v>
      </c>
      <c r="G38" s="2" t="s">
        <v>22</v>
      </c>
      <c r="H38" s="2" t="s">
        <v>141</v>
      </c>
      <c r="I38" s="13">
        <v>8</v>
      </c>
      <c r="J38" s="10">
        <v>3204.31</v>
      </c>
      <c r="K38" s="10">
        <f t="shared" si="1"/>
        <v>25634.48</v>
      </c>
      <c r="L38" s="2">
        <v>0</v>
      </c>
      <c r="M38" s="2" t="s">
        <v>83</v>
      </c>
      <c r="N38" s="2" t="s">
        <v>18</v>
      </c>
    </row>
    <row r="39" spans="1:14" x14ac:dyDescent="0.2">
      <c r="A39" s="13">
        <v>101927</v>
      </c>
      <c r="B39" s="5">
        <v>45329</v>
      </c>
      <c r="C39" s="5" t="str">
        <f t="shared" si="0"/>
        <v>Feb</v>
      </c>
      <c r="D39" s="2" t="s">
        <v>142</v>
      </c>
      <c r="E39" s="2" t="s">
        <v>61</v>
      </c>
      <c r="F39" s="2" t="s">
        <v>14</v>
      </c>
      <c r="G39" s="2" t="s">
        <v>45</v>
      </c>
      <c r="H39" s="2" t="s">
        <v>111</v>
      </c>
      <c r="I39" s="13">
        <v>10</v>
      </c>
      <c r="J39" s="10">
        <v>6527.53</v>
      </c>
      <c r="K39" s="10">
        <f t="shared" si="1"/>
        <v>65275.299999999996</v>
      </c>
      <c r="L39" s="2">
        <v>0</v>
      </c>
      <c r="M39" s="2" t="s">
        <v>83</v>
      </c>
      <c r="N39" s="2" t="s">
        <v>143</v>
      </c>
    </row>
    <row r="40" spans="1:14" x14ac:dyDescent="0.2">
      <c r="A40" s="13">
        <v>100300</v>
      </c>
      <c r="B40" s="5">
        <v>45554</v>
      </c>
      <c r="C40" s="5" t="str">
        <f t="shared" si="0"/>
        <v>Sep</v>
      </c>
      <c r="D40" s="2" t="s">
        <v>144</v>
      </c>
      <c r="E40" s="2" t="s">
        <v>31</v>
      </c>
      <c r="F40" s="2" t="s">
        <v>32</v>
      </c>
      <c r="G40" s="2" t="s">
        <v>22</v>
      </c>
      <c r="H40" s="2" t="s">
        <v>145</v>
      </c>
      <c r="I40" s="13">
        <v>5</v>
      </c>
      <c r="J40" s="10">
        <v>2388.0700000000002</v>
      </c>
      <c r="K40" s="10">
        <f t="shared" si="1"/>
        <v>11940.35</v>
      </c>
      <c r="L40" s="2">
        <v>0.25</v>
      </c>
      <c r="M40" s="2" t="s">
        <v>41</v>
      </c>
      <c r="N40" s="2" t="s">
        <v>18</v>
      </c>
    </row>
    <row r="41" spans="1:14" x14ac:dyDescent="0.2">
      <c r="A41" s="13">
        <v>100962</v>
      </c>
      <c r="B41" s="5">
        <v>45585</v>
      </c>
      <c r="C41" s="5" t="str">
        <f t="shared" si="0"/>
        <v>Oct</v>
      </c>
      <c r="D41" s="2" t="s">
        <v>146</v>
      </c>
      <c r="E41" s="2" t="s">
        <v>140</v>
      </c>
      <c r="F41" s="2" t="s">
        <v>79</v>
      </c>
      <c r="G41" s="2" t="s">
        <v>15</v>
      </c>
      <c r="H41" s="2" t="s">
        <v>116</v>
      </c>
      <c r="I41" s="13">
        <v>4</v>
      </c>
      <c r="J41" s="10">
        <v>2459.4299999999998</v>
      </c>
      <c r="K41" s="10">
        <f t="shared" si="1"/>
        <v>9837.7199999999993</v>
      </c>
      <c r="L41" s="2">
        <v>0.05</v>
      </c>
      <c r="M41" s="2" t="s">
        <v>41</v>
      </c>
      <c r="N41" s="2" t="s">
        <v>42</v>
      </c>
    </row>
    <row r="42" spans="1:14" x14ac:dyDescent="0.2">
      <c r="A42" s="13">
        <v>101040</v>
      </c>
      <c r="B42" s="5">
        <v>45315</v>
      </c>
      <c r="C42" s="5" t="str">
        <f t="shared" si="0"/>
        <v>Jan</v>
      </c>
      <c r="D42" s="2" t="s">
        <v>147</v>
      </c>
      <c r="E42" s="2" t="s">
        <v>31</v>
      </c>
      <c r="F42" s="2" t="s">
        <v>54</v>
      </c>
      <c r="G42" s="2" t="s">
        <v>64</v>
      </c>
      <c r="H42" s="2" t="s">
        <v>40</v>
      </c>
      <c r="I42" s="13">
        <v>1</v>
      </c>
      <c r="J42" s="10">
        <v>494.86</v>
      </c>
      <c r="K42" s="10">
        <f t="shared" si="1"/>
        <v>494.86</v>
      </c>
      <c r="L42" s="2">
        <v>0.1</v>
      </c>
      <c r="M42" s="2" t="s">
        <v>83</v>
      </c>
      <c r="N42" s="2" t="s">
        <v>87</v>
      </c>
    </row>
    <row r="43" spans="1:14" x14ac:dyDescent="0.2">
      <c r="A43" s="13">
        <v>101946</v>
      </c>
      <c r="B43" s="5">
        <v>45445</v>
      </c>
      <c r="C43" s="5" t="str">
        <f t="shared" si="0"/>
        <v>Jun</v>
      </c>
      <c r="D43" s="2" t="s">
        <v>148</v>
      </c>
      <c r="E43" s="2" t="s">
        <v>31</v>
      </c>
      <c r="F43" s="2" t="s">
        <v>54</v>
      </c>
      <c r="G43" s="2" t="s">
        <v>45</v>
      </c>
      <c r="H43" s="2" t="s">
        <v>149</v>
      </c>
      <c r="I43" s="13">
        <v>6</v>
      </c>
      <c r="J43" s="10">
        <v>6591.38</v>
      </c>
      <c r="K43" s="10">
        <f t="shared" si="1"/>
        <v>39548.28</v>
      </c>
      <c r="L43" s="2">
        <v>0.05</v>
      </c>
      <c r="M43" s="2" t="s">
        <v>41</v>
      </c>
      <c r="N43" s="2" t="s">
        <v>18</v>
      </c>
    </row>
    <row r="44" spans="1:14" x14ac:dyDescent="0.2">
      <c r="A44" s="13">
        <v>101418</v>
      </c>
      <c r="B44" s="5">
        <v>45530</v>
      </c>
      <c r="C44" s="5" t="str">
        <f t="shared" si="0"/>
        <v>Aug</v>
      </c>
      <c r="D44" s="2" t="s">
        <v>150</v>
      </c>
      <c r="E44" s="2" t="s">
        <v>31</v>
      </c>
      <c r="F44" s="2" t="s">
        <v>54</v>
      </c>
      <c r="G44" s="2" t="s">
        <v>50</v>
      </c>
      <c r="H44" s="2" t="s">
        <v>99</v>
      </c>
      <c r="I44" s="13">
        <v>4</v>
      </c>
      <c r="J44" s="10">
        <v>8416.81</v>
      </c>
      <c r="K44" s="10">
        <f t="shared" si="1"/>
        <v>33667.24</v>
      </c>
      <c r="L44" s="2">
        <v>0</v>
      </c>
      <c r="M44" s="2" t="s">
        <v>17</v>
      </c>
      <c r="N44" s="2" t="s">
        <v>18</v>
      </c>
    </row>
    <row r="45" spans="1:14" x14ac:dyDescent="0.2">
      <c r="A45" s="13">
        <v>101028</v>
      </c>
      <c r="B45" s="5">
        <v>45342</v>
      </c>
      <c r="C45" s="5" t="str">
        <f t="shared" si="0"/>
        <v>Feb</v>
      </c>
      <c r="D45" s="2" t="s">
        <v>151</v>
      </c>
      <c r="E45" s="2" t="s">
        <v>61</v>
      </c>
      <c r="F45" s="2" t="s">
        <v>14</v>
      </c>
      <c r="G45" s="2" t="s">
        <v>15</v>
      </c>
      <c r="H45" s="2" t="s">
        <v>152</v>
      </c>
      <c r="I45" s="13">
        <v>11</v>
      </c>
      <c r="J45" s="10">
        <v>10830.41</v>
      </c>
      <c r="K45" s="10">
        <f t="shared" si="1"/>
        <v>119134.51</v>
      </c>
      <c r="L45" s="2">
        <v>0.25</v>
      </c>
      <c r="M45" s="2" t="s">
        <v>17</v>
      </c>
      <c r="N45" s="2" t="s">
        <v>87</v>
      </c>
    </row>
    <row r="46" spans="1:14" x14ac:dyDescent="0.2">
      <c r="A46" s="13">
        <v>100416</v>
      </c>
      <c r="B46" s="5">
        <v>45650</v>
      </c>
      <c r="C46" s="5" t="str">
        <f t="shared" si="0"/>
        <v>Dec</v>
      </c>
      <c r="D46" s="2" t="s">
        <v>150</v>
      </c>
      <c r="E46" s="2" t="s">
        <v>31</v>
      </c>
      <c r="F46" s="2" t="s">
        <v>32</v>
      </c>
      <c r="G46" s="2" t="s">
        <v>45</v>
      </c>
      <c r="H46" s="2" t="s">
        <v>153</v>
      </c>
      <c r="I46" s="13">
        <v>7</v>
      </c>
      <c r="J46" s="10">
        <v>19876.03</v>
      </c>
      <c r="K46" s="10">
        <f t="shared" si="1"/>
        <v>139132.21</v>
      </c>
      <c r="L46" s="2">
        <v>0.1</v>
      </c>
      <c r="M46" s="2" t="s">
        <v>66</v>
      </c>
      <c r="N46" s="2" t="s">
        <v>143</v>
      </c>
    </row>
    <row r="47" spans="1:14" x14ac:dyDescent="0.2">
      <c r="A47" s="13">
        <v>101936</v>
      </c>
      <c r="B47" s="5">
        <v>45624</v>
      </c>
      <c r="C47" s="5" t="str">
        <f t="shared" si="0"/>
        <v>Nov</v>
      </c>
      <c r="D47" s="2" t="s">
        <v>154</v>
      </c>
      <c r="E47" s="2" t="s">
        <v>31</v>
      </c>
      <c r="F47" s="2" t="s">
        <v>54</v>
      </c>
      <c r="G47" s="2" t="s">
        <v>106</v>
      </c>
      <c r="H47" s="2" t="s">
        <v>156</v>
      </c>
      <c r="I47" s="13">
        <v>2</v>
      </c>
      <c r="J47" s="10">
        <v>2418.9</v>
      </c>
      <c r="K47" s="10">
        <f t="shared" si="1"/>
        <v>4837.8</v>
      </c>
      <c r="L47" s="2">
        <v>0</v>
      </c>
      <c r="M47" s="2" t="s">
        <v>17</v>
      </c>
      <c r="N47" s="2" t="s">
        <v>35</v>
      </c>
    </row>
    <row r="48" spans="1:14" x14ac:dyDescent="0.2">
      <c r="A48" s="13">
        <v>100186</v>
      </c>
      <c r="B48" s="5">
        <v>45422</v>
      </c>
      <c r="C48" s="5" t="str">
        <f t="shared" si="0"/>
        <v>May</v>
      </c>
      <c r="D48" s="2" t="s">
        <v>157</v>
      </c>
      <c r="E48" s="2" t="s">
        <v>37</v>
      </c>
      <c r="F48" s="2" t="s">
        <v>38</v>
      </c>
      <c r="G48" s="2" t="s">
        <v>33</v>
      </c>
      <c r="H48" s="2" t="s">
        <v>158</v>
      </c>
      <c r="I48" s="13">
        <v>1</v>
      </c>
      <c r="J48" s="10">
        <v>578.61</v>
      </c>
      <c r="K48" s="10">
        <f t="shared" si="1"/>
        <v>578.61</v>
      </c>
      <c r="L48" s="2">
        <v>0</v>
      </c>
      <c r="M48" s="2" t="s">
        <v>17</v>
      </c>
      <c r="N48" s="2" t="s">
        <v>18</v>
      </c>
    </row>
    <row r="49" spans="1:14" x14ac:dyDescent="0.2">
      <c r="A49" s="13">
        <v>100611</v>
      </c>
      <c r="B49" s="5">
        <v>45414</v>
      </c>
      <c r="C49" s="5" t="str">
        <f t="shared" si="0"/>
        <v>May</v>
      </c>
      <c r="D49" s="2" t="s">
        <v>159</v>
      </c>
      <c r="E49" s="2" t="s">
        <v>140</v>
      </c>
      <c r="F49" s="2" t="s">
        <v>49</v>
      </c>
      <c r="G49" s="2" t="s">
        <v>106</v>
      </c>
      <c r="H49" s="2" t="s">
        <v>103</v>
      </c>
      <c r="I49" s="13">
        <v>11</v>
      </c>
      <c r="J49" s="10">
        <v>668.4</v>
      </c>
      <c r="K49" s="10">
        <f t="shared" si="1"/>
        <v>7352.4</v>
      </c>
      <c r="L49" s="2">
        <v>0</v>
      </c>
      <c r="M49" s="2" t="s">
        <v>29</v>
      </c>
      <c r="N49" s="2" t="s">
        <v>143</v>
      </c>
    </row>
    <row r="50" spans="1:14" x14ac:dyDescent="0.2">
      <c r="A50" s="13">
        <v>101284</v>
      </c>
      <c r="B50" s="5">
        <v>45447</v>
      </c>
      <c r="C50" s="5" t="str">
        <f t="shared" si="0"/>
        <v>Jun</v>
      </c>
      <c r="D50" s="2" t="s">
        <v>161</v>
      </c>
      <c r="E50" s="2" t="s">
        <v>140</v>
      </c>
      <c r="F50" s="2" t="s">
        <v>49</v>
      </c>
      <c r="G50" s="2" t="s">
        <v>22</v>
      </c>
      <c r="H50" s="2" t="s">
        <v>145</v>
      </c>
      <c r="I50" s="13">
        <v>7</v>
      </c>
      <c r="J50" s="10">
        <v>1339.55</v>
      </c>
      <c r="K50" s="10">
        <f t="shared" si="1"/>
        <v>9376.85</v>
      </c>
      <c r="L50" s="2">
        <v>0.05</v>
      </c>
      <c r="M50" s="2" t="s">
        <v>66</v>
      </c>
      <c r="N50" s="2" t="s">
        <v>87</v>
      </c>
    </row>
    <row r="51" spans="1:14" x14ac:dyDescent="0.2">
      <c r="A51" s="13">
        <v>100780</v>
      </c>
      <c r="B51" s="5">
        <v>45307</v>
      </c>
      <c r="C51" s="5" t="str">
        <f t="shared" si="0"/>
        <v>Jan</v>
      </c>
      <c r="D51" s="2" t="s">
        <v>162</v>
      </c>
      <c r="E51" s="2" t="s">
        <v>27</v>
      </c>
      <c r="F51" s="2" t="s">
        <v>21</v>
      </c>
      <c r="G51" s="2" t="s">
        <v>64</v>
      </c>
      <c r="H51" s="2" t="s">
        <v>114</v>
      </c>
      <c r="I51" s="13">
        <v>1</v>
      </c>
      <c r="J51" s="10">
        <v>721.95</v>
      </c>
      <c r="K51" s="10">
        <f t="shared" si="1"/>
        <v>721.95</v>
      </c>
      <c r="L51" s="2">
        <v>0.05</v>
      </c>
      <c r="M51" s="2" t="s">
        <v>29</v>
      </c>
      <c r="N51" s="2" t="s">
        <v>35</v>
      </c>
    </row>
    <row r="52" spans="1:14" x14ac:dyDescent="0.2">
      <c r="A52" s="13">
        <v>100803</v>
      </c>
      <c r="B52" s="5">
        <v>45436</v>
      </c>
      <c r="C52" s="5" t="str">
        <f t="shared" si="0"/>
        <v>May</v>
      </c>
      <c r="D52" s="2" t="s">
        <v>164</v>
      </c>
      <c r="E52" s="2" t="s">
        <v>140</v>
      </c>
      <c r="F52" s="2" t="s">
        <v>79</v>
      </c>
      <c r="G52" s="2" t="s">
        <v>64</v>
      </c>
      <c r="H52" s="2" t="s">
        <v>165</v>
      </c>
      <c r="I52" s="13">
        <v>3</v>
      </c>
      <c r="J52" s="10">
        <v>227.14</v>
      </c>
      <c r="K52" s="10">
        <f t="shared" si="1"/>
        <v>681.42</v>
      </c>
      <c r="L52" s="2">
        <v>0.1</v>
      </c>
      <c r="M52" s="2" t="s">
        <v>29</v>
      </c>
      <c r="N52" s="2" t="s">
        <v>25</v>
      </c>
    </row>
    <row r="53" spans="1:14" x14ac:dyDescent="0.2">
      <c r="A53" s="13">
        <v>100285</v>
      </c>
      <c r="B53" s="5">
        <v>45311</v>
      </c>
      <c r="C53" s="5" t="str">
        <f t="shared" si="0"/>
        <v>Jan</v>
      </c>
      <c r="D53" s="2" t="s">
        <v>167</v>
      </c>
      <c r="E53" s="2" t="s">
        <v>27</v>
      </c>
      <c r="F53" s="2" t="s">
        <v>133</v>
      </c>
      <c r="G53" s="2" t="s">
        <v>64</v>
      </c>
      <c r="H53" s="2" t="s">
        <v>40</v>
      </c>
      <c r="I53" s="13">
        <v>9</v>
      </c>
      <c r="J53" s="10">
        <v>638.5</v>
      </c>
      <c r="K53" s="10">
        <f t="shared" si="1"/>
        <v>5746.5</v>
      </c>
      <c r="L53" s="2">
        <v>0</v>
      </c>
      <c r="M53" s="2" t="s">
        <v>83</v>
      </c>
      <c r="N53" s="2" t="s">
        <v>18</v>
      </c>
    </row>
    <row r="54" spans="1:14" x14ac:dyDescent="0.2">
      <c r="A54" s="13">
        <v>101230</v>
      </c>
      <c r="B54" s="5">
        <v>45465</v>
      </c>
      <c r="C54" s="5" t="str">
        <f t="shared" si="0"/>
        <v>Jun</v>
      </c>
      <c r="D54" s="2" t="s">
        <v>168</v>
      </c>
      <c r="E54" s="2" t="s">
        <v>140</v>
      </c>
      <c r="F54" s="2" t="s">
        <v>79</v>
      </c>
      <c r="G54" s="2" t="s">
        <v>33</v>
      </c>
      <c r="H54" s="2" t="s">
        <v>93</v>
      </c>
      <c r="I54" s="13">
        <v>7</v>
      </c>
      <c r="J54" s="10">
        <v>97.66</v>
      </c>
      <c r="K54" s="10">
        <f t="shared" si="1"/>
        <v>683.62</v>
      </c>
      <c r="L54" s="2">
        <v>0.25</v>
      </c>
      <c r="M54" s="2" t="s">
        <v>41</v>
      </c>
      <c r="N54" s="2" t="s">
        <v>25</v>
      </c>
    </row>
    <row r="55" spans="1:14" x14ac:dyDescent="0.2">
      <c r="A55" s="13">
        <v>100003</v>
      </c>
      <c r="B55" s="5">
        <v>45481</v>
      </c>
      <c r="C55" s="5" t="str">
        <f t="shared" si="0"/>
        <v>Jul</v>
      </c>
      <c r="D55" s="2" t="s">
        <v>169</v>
      </c>
      <c r="E55" s="2" t="s">
        <v>61</v>
      </c>
      <c r="F55" s="2" t="s">
        <v>119</v>
      </c>
      <c r="G55" s="2" t="s">
        <v>33</v>
      </c>
      <c r="H55" s="2" t="s">
        <v>34</v>
      </c>
      <c r="I55" s="13">
        <v>4</v>
      </c>
      <c r="J55" s="10">
        <v>406.92</v>
      </c>
      <c r="K55" s="10">
        <f t="shared" si="1"/>
        <v>1627.68</v>
      </c>
      <c r="L55" s="2">
        <v>0.25</v>
      </c>
      <c r="M55" s="2" t="s">
        <v>41</v>
      </c>
      <c r="N55" s="2" t="s">
        <v>121</v>
      </c>
    </row>
    <row r="56" spans="1:14" x14ac:dyDescent="0.2">
      <c r="A56" s="13">
        <v>101481</v>
      </c>
      <c r="B56" s="5">
        <v>45306</v>
      </c>
      <c r="C56" s="5" t="str">
        <f t="shared" si="0"/>
        <v>Jan</v>
      </c>
      <c r="D56" s="2" t="s">
        <v>170</v>
      </c>
      <c r="E56" s="2" t="s">
        <v>31</v>
      </c>
      <c r="F56" s="2" t="s">
        <v>54</v>
      </c>
      <c r="G56" s="2" t="s">
        <v>50</v>
      </c>
      <c r="H56" s="2" t="s">
        <v>56</v>
      </c>
      <c r="I56" s="13">
        <v>11</v>
      </c>
      <c r="J56" s="10">
        <v>4119.75</v>
      </c>
      <c r="K56" s="10">
        <f t="shared" si="1"/>
        <v>45317.25</v>
      </c>
      <c r="L56" s="2">
        <v>0.15</v>
      </c>
      <c r="M56" s="2" t="s">
        <v>24</v>
      </c>
      <c r="N56" s="2" t="s">
        <v>121</v>
      </c>
    </row>
    <row r="57" spans="1:14" x14ac:dyDescent="0.2">
      <c r="A57" s="13">
        <v>100834</v>
      </c>
      <c r="B57" s="5">
        <v>45567</v>
      </c>
      <c r="C57" s="5" t="str">
        <f t="shared" si="0"/>
        <v>Oct</v>
      </c>
      <c r="D57" s="2" t="s">
        <v>159</v>
      </c>
      <c r="E57" s="2" t="s">
        <v>37</v>
      </c>
      <c r="F57" s="2" t="s">
        <v>69</v>
      </c>
      <c r="G57" s="2" t="s">
        <v>45</v>
      </c>
      <c r="H57" s="2" t="s">
        <v>97</v>
      </c>
      <c r="I57" s="13">
        <v>7</v>
      </c>
      <c r="J57" s="10">
        <v>2153.11</v>
      </c>
      <c r="K57" s="10">
        <f t="shared" si="1"/>
        <v>15071.77</v>
      </c>
      <c r="L57" s="2">
        <v>0</v>
      </c>
      <c r="M57" s="2" t="s">
        <v>41</v>
      </c>
      <c r="N57" s="2" t="s">
        <v>52</v>
      </c>
    </row>
    <row r="58" spans="1:14" x14ac:dyDescent="0.2">
      <c r="A58" s="13">
        <v>101988</v>
      </c>
      <c r="B58" s="5">
        <v>45581</v>
      </c>
      <c r="C58" s="5" t="str">
        <f t="shared" si="0"/>
        <v>Oct</v>
      </c>
      <c r="D58" s="2" t="s">
        <v>462</v>
      </c>
      <c r="E58" s="2" t="s">
        <v>27</v>
      </c>
      <c r="F58" s="2" t="s">
        <v>21</v>
      </c>
      <c r="G58" s="2" t="s">
        <v>45</v>
      </c>
      <c r="H58" s="2" t="s">
        <v>153</v>
      </c>
      <c r="I58" s="13"/>
      <c r="J58" s="10">
        <v>20230.900000000001</v>
      </c>
      <c r="K58" s="10">
        <f t="shared" si="1"/>
        <v>0</v>
      </c>
      <c r="L58" s="2">
        <v>0.25</v>
      </c>
      <c r="M58" s="2" t="s">
        <v>83</v>
      </c>
      <c r="N58" s="2" t="s">
        <v>35</v>
      </c>
    </row>
    <row r="59" spans="1:14" x14ac:dyDescent="0.2">
      <c r="A59" s="13">
        <v>100376</v>
      </c>
      <c r="B59" s="5">
        <v>45313</v>
      </c>
      <c r="C59" s="5" t="str">
        <f t="shared" si="0"/>
        <v>Jan</v>
      </c>
      <c r="D59" s="2" t="s">
        <v>170</v>
      </c>
      <c r="E59" s="2" t="s">
        <v>140</v>
      </c>
      <c r="F59" s="2" t="s">
        <v>79</v>
      </c>
      <c r="G59" s="2" t="s">
        <v>33</v>
      </c>
      <c r="H59" s="2" t="s">
        <v>93</v>
      </c>
      <c r="I59" s="13">
        <v>6</v>
      </c>
      <c r="J59" s="10">
        <v>371.86</v>
      </c>
      <c r="K59" s="10">
        <f t="shared" si="1"/>
        <v>2231.16</v>
      </c>
      <c r="L59" s="2">
        <v>0</v>
      </c>
      <c r="M59" s="2" t="s">
        <v>24</v>
      </c>
      <c r="N59" s="2" t="s">
        <v>42</v>
      </c>
    </row>
    <row r="60" spans="1:14" x14ac:dyDescent="0.2">
      <c r="A60" s="13">
        <v>100398</v>
      </c>
      <c r="B60" s="5">
        <v>45319</v>
      </c>
      <c r="C60" s="5" t="str">
        <f t="shared" si="0"/>
        <v>Jan</v>
      </c>
      <c r="D60" s="2" t="s">
        <v>174</v>
      </c>
      <c r="E60" s="2" t="s">
        <v>37</v>
      </c>
      <c r="F60" s="2" t="s">
        <v>69</v>
      </c>
      <c r="G60" s="2" t="s">
        <v>22</v>
      </c>
      <c r="H60" s="2" t="s">
        <v>23</v>
      </c>
      <c r="I60" s="13">
        <v>5</v>
      </c>
      <c r="J60" s="10">
        <v>2014.71</v>
      </c>
      <c r="K60" s="10">
        <f t="shared" si="1"/>
        <v>10073.549999999999</v>
      </c>
      <c r="L60" s="2">
        <v>0.15</v>
      </c>
      <c r="M60" s="2" t="s">
        <v>83</v>
      </c>
      <c r="N60" s="2" t="s">
        <v>121</v>
      </c>
    </row>
    <row r="61" spans="1:14" x14ac:dyDescent="0.2">
      <c r="A61" s="13">
        <v>100420</v>
      </c>
      <c r="B61" s="5">
        <v>45567</v>
      </c>
      <c r="C61" s="5" t="str">
        <f t="shared" si="0"/>
        <v>Oct</v>
      </c>
      <c r="D61" s="2" t="s">
        <v>176</v>
      </c>
      <c r="E61" s="2" t="s">
        <v>37</v>
      </c>
      <c r="F61" s="2" t="s">
        <v>38</v>
      </c>
      <c r="G61" s="2" t="s">
        <v>22</v>
      </c>
      <c r="H61" s="2" t="s">
        <v>145</v>
      </c>
      <c r="I61" s="13">
        <v>9</v>
      </c>
      <c r="J61" s="10">
        <v>0</v>
      </c>
      <c r="K61" s="10">
        <f t="shared" si="1"/>
        <v>0</v>
      </c>
      <c r="L61" s="2">
        <v>0.25</v>
      </c>
      <c r="M61" s="2" t="s">
        <v>17</v>
      </c>
      <c r="N61" s="2" t="s">
        <v>121</v>
      </c>
    </row>
    <row r="62" spans="1:14" x14ac:dyDescent="0.2">
      <c r="A62" s="13">
        <v>100978</v>
      </c>
      <c r="B62" s="5">
        <v>45507</v>
      </c>
      <c r="C62" s="5" t="str">
        <f t="shared" si="0"/>
        <v>Aug</v>
      </c>
      <c r="D62" s="2" t="s">
        <v>177</v>
      </c>
      <c r="E62" s="2" t="s">
        <v>61</v>
      </c>
      <c r="F62" s="2" t="s">
        <v>119</v>
      </c>
      <c r="G62" s="2" t="s">
        <v>64</v>
      </c>
      <c r="H62" s="2" t="s">
        <v>40</v>
      </c>
      <c r="I62" s="13">
        <v>3</v>
      </c>
      <c r="J62" s="10">
        <v>268.31</v>
      </c>
      <c r="K62" s="10">
        <f t="shared" si="1"/>
        <v>804.93000000000006</v>
      </c>
      <c r="L62" s="2">
        <v>0.1</v>
      </c>
      <c r="M62" s="2" t="s">
        <v>17</v>
      </c>
      <c r="N62" s="2" t="s">
        <v>18</v>
      </c>
    </row>
    <row r="63" spans="1:14" x14ac:dyDescent="0.2">
      <c r="A63" s="13">
        <v>101152</v>
      </c>
      <c r="B63" s="5">
        <v>45361</v>
      </c>
      <c r="C63" s="5" t="str">
        <f t="shared" si="0"/>
        <v>Mar</v>
      </c>
      <c r="D63" s="2" t="s">
        <v>178</v>
      </c>
      <c r="E63" s="2" t="s">
        <v>31</v>
      </c>
      <c r="F63" s="2" t="s">
        <v>32</v>
      </c>
      <c r="G63" s="2" t="s">
        <v>106</v>
      </c>
      <c r="H63" s="2" t="s">
        <v>137</v>
      </c>
      <c r="I63" s="13">
        <v>12</v>
      </c>
      <c r="J63" s="10">
        <v>819.35</v>
      </c>
      <c r="K63" s="10">
        <f t="shared" si="1"/>
        <v>9832.2000000000007</v>
      </c>
      <c r="L63" s="2">
        <v>0</v>
      </c>
      <c r="M63" s="2" t="s">
        <v>17</v>
      </c>
      <c r="N63" s="2" t="s">
        <v>52</v>
      </c>
    </row>
    <row r="64" spans="1:14" x14ac:dyDescent="0.2">
      <c r="A64" s="13">
        <v>100342</v>
      </c>
      <c r="B64" s="5">
        <v>45474</v>
      </c>
      <c r="C64" s="5" t="str">
        <f t="shared" si="0"/>
        <v>Jul</v>
      </c>
      <c r="D64" s="2" t="s">
        <v>179</v>
      </c>
      <c r="E64" s="2" t="s">
        <v>61</v>
      </c>
      <c r="F64" s="2" t="s">
        <v>14</v>
      </c>
      <c r="G64" s="2" t="s">
        <v>50</v>
      </c>
      <c r="H64" s="2" t="s">
        <v>56</v>
      </c>
      <c r="I64" s="13">
        <v>11</v>
      </c>
      <c r="J64" s="10">
        <v>2954.47</v>
      </c>
      <c r="K64" s="10">
        <f t="shared" si="1"/>
        <v>32499.17</v>
      </c>
      <c r="L64" s="2">
        <v>0</v>
      </c>
      <c r="M64" s="2" t="s">
        <v>29</v>
      </c>
      <c r="N64" s="2" t="s">
        <v>35</v>
      </c>
    </row>
    <row r="65" spans="1:14" x14ac:dyDescent="0.2">
      <c r="A65" s="13">
        <v>100387</v>
      </c>
      <c r="B65" s="5">
        <v>45644</v>
      </c>
      <c r="C65" s="5" t="str">
        <f t="shared" si="0"/>
        <v>Dec</v>
      </c>
      <c r="D65" s="2" t="s">
        <v>180</v>
      </c>
      <c r="E65" s="2" t="s">
        <v>61</v>
      </c>
      <c r="F65" s="2" t="s">
        <v>119</v>
      </c>
      <c r="G65" s="2" t="s">
        <v>64</v>
      </c>
      <c r="H65" s="2" t="s">
        <v>165</v>
      </c>
      <c r="I65" s="13">
        <v>2</v>
      </c>
      <c r="J65" s="10">
        <v>534.09</v>
      </c>
      <c r="K65" s="10">
        <f t="shared" si="1"/>
        <v>1068.18</v>
      </c>
      <c r="L65" s="2">
        <v>0</v>
      </c>
      <c r="M65" s="2" t="s">
        <v>24</v>
      </c>
      <c r="N65" s="2" t="s">
        <v>52</v>
      </c>
    </row>
    <row r="66" spans="1:14" x14ac:dyDescent="0.2">
      <c r="A66" s="13">
        <v>101834</v>
      </c>
      <c r="B66" s="5">
        <v>45599</v>
      </c>
      <c r="C66" s="5" t="str">
        <f t="shared" ref="C66:C129" si="2">TEXT(B66,"mmm")</f>
        <v>Nov</v>
      </c>
      <c r="D66" s="2" t="s">
        <v>123</v>
      </c>
      <c r="E66" s="2" t="s">
        <v>31</v>
      </c>
      <c r="F66" s="2" t="s">
        <v>32</v>
      </c>
      <c r="G66" s="2" t="s">
        <v>45</v>
      </c>
      <c r="H66" s="2" t="s">
        <v>153</v>
      </c>
      <c r="I66" s="13">
        <v>8</v>
      </c>
      <c r="J66" s="10">
        <v>24469.11</v>
      </c>
      <c r="K66" s="10">
        <f t="shared" ref="K66:K129" si="3">I66*J66</f>
        <v>195752.88</v>
      </c>
      <c r="L66" s="2">
        <v>0.1</v>
      </c>
      <c r="M66" s="2" t="s">
        <v>66</v>
      </c>
      <c r="N66" s="2" t="s">
        <v>87</v>
      </c>
    </row>
    <row r="67" spans="1:14" x14ac:dyDescent="0.2">
      <c r="A67" s="13">
        <v>100218</v>
      </c>
      <c r="B67" s="5">
        <v>45495</v>
      </c>
      <c r="C67" s="5" t="str">
        <f t="shared" si="2"/>
        <v>Jul</v>
      </c>
      <c r="D67" s="2" t="s">
        <v>164</v>
      </c>
      <c r="E67" s="2" t="s">
        <v>37</v>
      </c>
      <c r="F67" s="2" t="s">
        <v>69</v>
      </c>
      <c r="G67" s="2" t="s">
        <v>33</v>
      </c>
      <c r="H67" s="2" t="s">
        <v>93</v>
      </c>
      <c r="I67" s="13">
        <v>4</v>
      </c>
      <c r="J67" s="10">
        <v>125.37</v>
      </c>
      <c r="K67" s="10">
        <f t="shared" si="3"/>
        <v>501.48</v>
      </c>
      <c r="L67" s="2">
        <v>0</v>
      </c>
      <c r="M67" s="2" t="s">
        <v>41</v>
      </c>
      <c r="N67" s="2" t="s">
        <v>143</v>
      </c>
    </row>
    <row r="68" spans="1:14" x14ac:dyDescent="0.2">
      <c r="A68" s="13">
        <v>101846</v>
      </c>
      <c r="B68" s="5">
        <v>45621</v>
      </c>
      <c r="C68" s="5" t="str">
        <f t="shared" si="2"/>
        <v>Nov</v>
      </c>
      <c r="D68" s="2" t="s">
        <v>183</v>
      </c>
      <c r="E68" s="2" t="s">
        <v>61</v>
      </c>
      <c r="F68" s="2" t="s">
        <v>14</v>
      </c>
      <c r="G68" s="2" t="s">
        <v>15</v>
      </c>
      <c r="H68" s="2" t="s">
        <v>116</v>
      </c>
      <c r="I68" s="13">
        <v>2</v>
      </c>
      <c r="J68" s="10">
        <v>0</v>
      </c>
      <c r="K68" s="10">
        <f t="shared" si="3"/>
        <v>0</v>
      </c>
      <c r="L68" s="2">
        <v>0.25</v>
      </c>
      <c r="M68" s="2" t="s">
        <v>66</v>
      </c>
      <c r="N68" s="2" t="s">
        <v>42</v>
      </c>
    </row>
    <row r="69" spans="1:14" x14ac:dyDescent="0.2">
      <c r="A69" s="13">
        <v>100109</v>
      </c>
      <c r="B69" s="5">
        <v>45609</v>
      </c>
      <c r="C69" s="5" t="str">
        <f t="shared" si="2"/>
        <v>Nov</v>
      </c>
      <c r="D69" s="2" t="s">
        <v>184</v>
      </c>
      <c r="E69" s="2" t="s">
        <v>140</v>
      </c>
      <c r="F69" s="2" t="s">
        <v>49</v>
      </c>
      <c r="G69" s="2" t="s">
        <v>106</v>
      </c>
      <c r="H69" s="2" t="s">
        <v>137</v>
      </c>
      <c r="I69" s="13">
        <v>3</v>
      </c>
      <c r="J69" s="10">
        <v>2508.86</v>
      </c>
      <c r="K69" s="10">
        <f t="shared" si="3"/>
        <v>7526.58</v>
      </c>
      <c r="L69" s="2">
        <v>0</v>
      </c>
      <c r="M69" s="2" t="s">
        <v>83</v>
      </c>
      <c r="N69" s="2" t="s">
        <v>25</v>
      </c>
    </row>
    <row r="70" spans="1:14" x14ac:dyDescent="0.2">
      <c r="A70" s="13">
        <v>101258</v>
      </c>
      <c r="B70" s="5">
        <v>45485</v>
      </c>
      <c r="C70" s="5" t="str">
        <f t="shared" si="2"/>
        <v>Jul</v>
      </c>
      <c r="D70" s="2" t="s">
        <v>185</v>
      </c>
      <c r="E70" s="2" t="s">
        <v>140</v>
      </c>
      <c r="F70" s="2" t="s">
        <v>79</v>
      </c>
      <c r="G70" s="2" t="s">
        <v>106</v>
      </c>
      <c r="H70" s="2" t="s">
        <v>137</v>
      </c>
      <c r="I70" s="13">
        <v>5</v>
      </c>
      <c r="J70" s="10">
        <v>3843.1</v>
      </c>
      <c r="K70" s="10">
        <f t="shared" si="3"/>
        <v>19215.5</v>
      </c>
      <c r="L70" s="2">
        <v>0</v>
      </c>
      <c r="M70" s="2" t="s">
        <v>24</v>
      </c>
      <c r="N70" s="2" t="s">
        <v>42</v>
      </c>
    </row>
    <row r="71" spans="1:14" x14ac:dyDescent="0.2">
      <c r="A71" s="13">
        <v>100035</v>
      </c>
      <c r="B71" s="5">
        <v>45342</v>
      </c>
      <c r="C71" s="5" t="str">
        <f t="shared" si="2"/>
        <v>Feb</v>
      </c>
      <c r="D71" s="2" t="s">
        <v>187</v>
      </c>
      <c r="E71" s="2" t="s">
        <v>140</v>
      </c>
      <c r="F71" s="2" t="s">
        <v>79</v>
      </c>
      <c r="G71" s="2" t="s">
        <v>106</v>
      </c>
      <c r="H71" s="2" t="s">
        <v>156</v>
      </c>
      <c r="I71" s="13">
        <v>5</v>
      </c>
      <c r="J71" s="10">
        <v>3602.77</v>
      </c>
      <c r="K71" s="10">
        <f t="shared" si="3"/>
        <v>18013.849999999999</v>
      </c>
      <c r="L71" s="2">
        <v>0</v>
      </c>
      <c r="M71" s="2" t="s">
        <v>17</v>
      </c>
      <c r="N71" s="2" t="s">
        <v>121</v>
      </c>
    </row>
    <row r="72" spans="1:14" x14ac:dyDescent="0.2">
      <c r="A72" s="13">
        <v>100876</v>
      </c>
      <c r="B72" s="5">
        <v>45474</v>
      </c>
      <c r="C72" s="5" t="str">
        <f t="shared" si="2"/>
        <v>Jul</v>
      </c>
      <c r="D72" s="2" t="s">
        <v>188</v>
      </c>
      <c r="E72" s="2" t="s">
        <v>37</v>
      </c>
      <c r="F72" s="2" t="s">
        <v>38</v>
      </c>
      <c r="G72" s="2" t="s">
        <v>33</v>
      </c>
      <c r="H72" s="2" t="s">
        <v>34</v>
      </c>
      <c r="I72" s="13">
        <v>10</v>
      </c>
      <c r="J72" s="10">
        <v>270.23</v>
      </c>
      <c r="K72" s="10">
        <f t="shared" si="3"/>
        <v>2702.3</v>
      </c>
      <c r="L72" s="2">
        <v>0</v>
      </c>
      <c r="M72" s="2" t="s">
        <v>29</v>
      </c>
      <c r="N72" s="2" t="s">
        <v>121</v>
      </c>
    </row>
    <row r="73" spans="1:14" x14ac:dyDescent="0.2">
      <c r="A73" s="13">
        <v>101574</v>
      </c>
      <c r="B73" s="5">
        <v>45528</v>
      </c>
      <c r="C73" s="5" t="str">
        <f t="shared" si="2"/>
        <v>Aug</v>
      </c>
      <c r="D73" s="2" t="s">
        <v>189</v>
      </c>
      <c r="E73" s="2" t="s">
        <v>61</v>
      </c>
      <c r="F73" s="2" t="s">
        <v>119</v>
      </c>
      <c r="G73" s="2" t="s">
        <v>45</v>
      </c>
      <c r="H73" s="2" t="s">
        <v>149</v>
      </c>
      <c r="I73" s="13">
        <v>10</v>
      </c>
      <c r="J73" s="10">
        <v>32415.23</v>
      </c>
      <c r="K73" s="10">
        <f t="shared" si="3"/>
        <v>324152.3</v>
      </c>
      <c r="L73" s="2">
        <v>0.1</v>
      </c>
      <c r="M73" s="2" t="s">
        <v>29</v>
      </c>
      <c r="N73" s="2" t="s">
        <v>18</v>
      </c>
    </row>
    <row r="74" spans="1:14" x14ac:dyDescent="0.2">
      <c r="A74" s="13">
        <v>101892</v>
      </c>
      <c r="B74" s="5">
        <v>45619</v>
      </c>
      <c r="C74" s="5" t="str">
        <f t="shared" si="2"/>
        <v>Nov</v>
      </c>
      <c r="D74" s="2" t="s">
        <v>190</v>
      </c>
      <c r="E74" s="2" t="s">
        <v>140</v>
      </c>
      <c r="F74" s="2" t="s">
        <v>49</v>
      </c>
      <c r="G74" s="2" t="s">
        <v>15</v>
      </c>
      <c r="H74" s="2" t="s">
        <v>152</v>
      </c>
      <c r="I74" s="13">
        <v>7</v>
      </c>
      <c r="J74" s="10">
        <v>4926.3100000000004</v>
      </c>
      <c r="K74" s="10">
        <f t="shared" si="3"/>
        <v>34484.170000000006</v>
      </c>
      <c r="L74" s="2">
        <v>0.15</v>
      </c>
      <c r="M74" s="2" t="s">
        <v>41</v>
      </c>
      <c r="N74" s="2" t="s">
        <v>35</v>
      </c>
    </row>
    <row r="75" spans="1:14" x14ac:dyDescent="0.2">
      <c r="A75" s="13">
        <v>101899</v>
      </c>
      <c r="B75" s="5">
        <v>45520</v>
      </c>
      <c r="C75" s="5" t="str">
        <f t="shared" si="2"/>
        <v>Aug</v>
      </c>
      <c r="D75" s="2" t="s">
        <v>192</v>
      </c>
      <c r="E75" s="2" t="s">
        <v>27</v>
      </c>
      <c r="F75" s="2" t="s">
        <v>133</v>
      </c>
      <c r="G75" s="2" t="s">
        <v>33</v>
      </c>
      <c r="H75" s="2" t="s">
        <v>93</v>
      </c>
      <c r="I75" s="13">
        <v>9</v>
      </c>
      <c r="J75" s="10">
        <v>196.11</v>
      </c>
      <c r="K75" s="10">
        <f t="shared" si="3"/>
        <v>1764.9900000000002</v>
      </c>
      <c r="L75" s="2">
        <v>0.1</v>
      </c>
      <c r="M75" s="2" t="s">
        <v>66</v>
      </c>
      <c r="N75" s="2" t="s">
        <v>52</v>
      </c>
    </row>
    <row r="76" spans="1:14" x14ac:dyDescent="0.2">
      <c r="A76" s="13">
        <v>101421</v>
      </c>
      <c r="B76" s="5">
        <v>45313</v>
      </c>
      <c r="C76" s="5" t="str">
        <f t="shared" si="2"/>
        <v>Jan</v>
      </c>
      <c r="D76" s="2" t="s">
        <v>194</v>
      </c>
      <c r="E76" s="2" t="s">
        <v>37</v>
      </c>
      <c r="F76" s="2" t="s">
        <v>69</v>
      </c>
      <c r="G76" s="2" t="s">
        <v>45</v>
      </c>
      <c r="H76" s="2" t="s">
        <v>71</v>
      </c>
      <c r="I76" s="13">
        <v>4</v>
      </c>
      <c r="J76" s="10">
        <v>0</v>
      </c>
      <c r="K76" s="10">
        <f t="shared" si="3"/>
        <v>0</v>
      </c>
      <c r="L76" s="2">
        <v>0.15</v>
      </c>
      <c r="M76" s="2" t="s">
        <v>41</v>
      </c>
      <c r="N76" s="2" t="s">
        <v>42</v>
      </c>
    </row>
    <row r="77" spans="1:14" x14ac:dyDescent="0.2">
      <c r="A77" s="13">
        <v>100729</v>
      </c>
      <c r="B77" s="5">
        <v>45355</v>
      </c>
      <c r="C77" s="5" t="str">
        <f t="shared" si="2"/>
        <v>Mar</v>
      </c>
      <c r="D77" s="2" t="s">
        <v>195</v>
      </c>
      <c r="E77" s="2" t="s">
        <v>37</v>
      </c>
      <c r="F77" s="2" t="s">
        <v>38</v>
      </c>
      <c r="G77" s="2" t="s">
        <v>33</v>
      </c>
      <c r="H77" s="2" t="s">
        <v>34</v>
      </c>
      <c r="I77" s="13">
        <v>2</v>
      </c>
      <c r="J77" s="10">
        <v>503.08</v>
      </c>
      <c r="K77" s="10">
        <f t="shared" si="3"/>
        <v>1006.16</v>
      </c>
      <c r="L77" s="2">
        <v>0</v>
      </c>
      <c r="M77" s="2" t="s">
        <v>83</v>
      </c>
      <c r="N77" s="2" t="s">
        <v>35</v>
      </c>
    </row>
    <row r="78" spans="1:14" x14ac:dyDescent="0.2">
      <c r="A78" s="13">
        <v>100238</v>
      </c>
      <c r="B78" s="5">
        <v>45418</v>
      </c>
      <c r="C78" s="5" t="str">
        <f t="shared" si="2"/>
        <v>May</v>
      </c>
      <c r="D78" s="2" t="s">
        <v>197</v>
      </c>
      <c r="E78" s="2" t="s">
        <v>27</v>
      </c>
      <c r="F78" s="2" t="s">
        <v>133</v>
      </c>
      <c r="G78" s="2" t="s">
        <v>50</v>
      </c>
      <c r="H78" s="2" t="s">
        <v>99</v>
      </c>
      <c r="I78" s="13">
        <v>7</v>
      </c>
      <c r="J78" s="10">
        <v>8500.59</v>
      </c>
      <c r="K78" s="10">
        <f t="shared" si="3"/>
        <v>59504.130000000005</v>
      </c>
      <c r="L78" s="2">
        <v>0.15</v>
      </c>
      <c r="M78" s="2" t="s">
        <v>66</v>
      </c>
      <c r="N78" s="2" t="s">
        <v>121</v>
      </c>
    </row>
    <row r="79" spans="1:14" x14ac:dyDescent="0.2">
      <c r="A79" s="13">
        <v>101174</v>
      </c>
      <c r="B79" s="5">
        <v>45613</v>
      </c>
      <c r="C79" s="5" t="str">
        <f t="shared" si="2"/>
        <v>Nov</v>
      </c>
      <c r="D79" s="2" t="s">
        <v>198</v>
      </c>
      <c r="E79" s="2" t="s">
        <v>37</v>
      </c>
      <c r="F79" s="2" t="s">
        <v>38</v>
      </c>
      <c r="G79" s="2" t="s">
        <v>33</v>
      </c>
      <c r="H79" s="2" t="s">
        <v>158</v>
      </c>
      <c r="I79" s="13">
        <v>12</v>
      </c>
      <c r="J79" s="10">
        <v>159.34</v>
      </c>
      <c r="K79" s="10">
        <f t="shared" si="3"/>
        <v>1912.08</v>
      </c>
      <c r="L79" s="2">
        <v>0.05</v>
      </c>
      <c r="M79" s="2" t="s">
        <v>24</v>
      </c>
      <c r="N79" s="2" t="s">
        <v>52</v>
      </c>
    </row>
    <row r="80" spans="1:14" x14ac:dyDescent="0.2">
      <c r="A80" s="13">
        <v>100659</v>
      </c>
      <c r="B80" s="5">
        <v>45484</v>
      </c>
      <c r="C80" s="5" t="str">
        <f t="shared" si="2"/>
        <v>Jul</v>
      </c>
      <c r="D80" s="2" t="s">
        <v>199</v>
      </c>
      <c r="E80" s="2" t="s">
        <v>37</v>
      </c>
      <c r="F80" s="2" t="s">
        <v>69</v>
      </c>
      <c r="G80" s="2" t="s">
        <v>15</v>
      </c>
      <c r="H80" s="2" t="s">
        <v>16</v>
      </c>
      <c r="I80" s="13">
        <v>1</v>
      </c>
      <c r="J80" s="10">
        <v>12426.67</v>
      </c>
      <c r="K80" s="10">
        <f t="shared" si="3"/>
        <v>12426.67</v>
      </c>
      <c r="L80" s="2">
        <v>0.25</v>
      </c>
      <c r="M80" s="2" t="s">
        <v>83</v>
      </c>
      <c r="N80" s="2" t="s">
        <v>143</v>
      </c>
    </row>
    <row r="81" spans="1:14" x14ac:dyDescent="0.2">
      <c r="A81" s="13">
        <v>101038</v>
      </c>
      <c r="B81" s="5">
        <v>45408</v>
      </c>
      <c r="C81" s="5" t="str">
        <f t="shared" si="2"/>
        <v>Apr</v>
      </c>
      <c r="D81" s="2" t="s">
        <v>200</v>
      </c>
      <c r="E81" s="2" t="s">
        <v>31</v>
      </c>
      <c r="F81" s="2" t="s">
        <v>54</v>
      </c>
      <c r="G81" s="2" t="s">
        <v>45</v>
      </c>
      <c r="H81" s="2" t="s">
        <v>149</v>
      </c>
      <c r="I81" s="13">
        <v>5</v>
      </c>
      <c r="J81" s="10">
        <v>22119.07</v>
      </c>
      <c r="K81" s="10">
        <f t="shared" si="3"/>
        <v>110595.35</v>
      </c>
      <c r="L81" s="2">
        <v>0.15</v>
      </c>
      <c r="M81" s="2" t="s">
        <v>24</v>
      </c>
      <c r="N81" s="2" t="s">
        <v>121</v>
      </c>
    </row>
    <row r="82" spans="1:14" x14ac:dyDescent="0.2">
      <c r="A82" s="13">
        <v>101406</v>
      </c>
      <c r="B82" s="5">
        <v>45500</v>
      </c>
      <c r="C82" s="5" t="str">
        <f t="shared" si="2"/>
        <v>Jul</v>
      </c>
      <c r="D82" s="2" t="s">
        <v>201</v>
      </c>
      <c r="E82" s="2" t="s">
        <v>140</v>
      </c>
      <c r="F82" s="2" t="s">
        <v>49</v>
      </c>
      <c r="G82" s="2" t="s">
        <v>22</v>
      </c>
      <c r="H82" s="2" t="s">
        <v>75</v>
      </c>
      <c r="I82" s="13">
        <v>12</v>
      </c>
      <c r="J82" s="10">
        <v>413.28</v>
      </c>
      <c r="K82" s="10">
        <f t="shared" si="3"/>
        <v>4959.3599999999997</v>
      </c>
      <c r="L82" s="2">
        <v>0</v>
      </c>
      <c r="M82" s="2" t="s">
        <v>17</v>
      </c>
      <c r="N82" s="2" t="s">
        <v>143</v>
      </c>
    </row>
    <row r="83" spans="1:14" x14ac:dyDescent="0.2">
      <c r="A83" s="13">
        <v>100650</v>
      </c>
      <c r="B83" s="5">
        <v>45512</v>
      </c>
      <c r="C83" s="5" t="str">
        <f t="shared" si="2"/>
        <v>Aug</v>
      </c>
      <c r="D83" s="2" t="s">
        <v>1069</v>
      </c>
      <c r="E83" s="2" t="s">
        <v>37</v>
      </c>
      <c r="F83" s="2" t="s">
        <v>38</v>
      </c>
      <c r="G83" s="2" t="s">
        <v>33</v>
      </c>
      <c r="H83" s="2" t="s">
        <v>81</v>
      </c>
      <c r="I83" s="13">
        <v>2</v>
      </c>
      <c r="J83" s="10">
        <v>459.95</v>
      </c>
      <c r="K83" s="10">
        <f t="shared" si="3"/>
        <v>919.9</v>
      </c>
      <c r="L83" s="2">
        <v>0</v>
      </c>
      <c r="M83" s="2" t="s">
        <v>41</v>
      </c>
      <c r="N83" s="2" t="s">
        <v>18</v>
      </c>
    </row>
    <row r="84" spans="1:14" x14ac:dyDescent="0.2">
      <c r="A84" s="13">
        <v>100331</v>
      </c>
      <c r="B84" s="5">
        <v>45426</v>
      </c>
      <c r="C84" s="5" t="str">
        <f t="shared" si="2"/>
        <v>May</v>
      </c>
      <c r="D84" s="2" t="s">
        <v>204</v>
      </c>
      <c r="E84" s="2" t="s">
        <v>37</v>
      </c>
      <c r="F84" s="2" t="s">
        <v>69</v>
      </c>
      <c r="G84" s="2" t="s">
        <v>15</v>
      </c>
      <c r="H84" s="2" t="s">
        <v>205</v>
      </c>
      <c r="I84" s="13">
        <v>11</v>
      </c>
      <c r="J84" s="10">
        <v>15801.9</v>
      </c>
      <c r="K84" s="10">
        <f t="shared" si="3"/>
        <v>173820.9</v>
      </c>
      <c r="L84" s="2">
        <v>0</v>
      </c>
      <c r="M84" s="2" t="s">
        <v>29</v>
      </c>
      <c r="N84" s="2" t="s">
        <v>35</v>
      </c>
    </row>
    <row r="85" spans="1:14" x14ac:dyDescent="0.2">
      <c r="A85" s="13">
        <v>101650</v>
      </c>
      <c r="B85" s="5">
        <v>45427</v>
      </c>
      <c r="C85" s="5" t="str">
        <f t="shared" si="2"/>
        <v>May</v>
      </c>
      <c r="D85" s="2" t="s">
        <v>206</v>
      </c>
      <c r="E85" s="2" t="s">
        <v>31</v>
      </c>
      <c r="F85" s="2" t="s">
        <v>54</v>
      </c>
      <c r="G85" s="2" t="s">
        <v>50</v>
      </c>
      <c r="H85" s="2" t="s">
        <v>207</v>
      </c>
      <c r="I85" s="13">
        <v>9</v>
      </c>
      <c r="J85" s="10">
        <v>11212.91</v>
      </c>
      <c r="K85" s="10">
        <f t="shared" si="3"/>
        <v>100916.19</v>
      </c>
      <c r="L85" s="2">
        <v>0</v>
      </c>
      <c r="M85" s="2" t="s">
        <v>41</v>
      </c>
      <c r="N85" s="2" t="s">
        <v>121</v>
      </c>
    </row>
    <row r="86" spans="1:14" x14ac:dyDescent="0.2">
      <c r="A86" s="13">
        <v>100893</v>
      </c>
      <c r="B86" s="5">
        <v>45615</v>
      </c>
      <c r="C86" s="5" t="str">
        <f t="shared" si="2"/>
        <v>Nov</v>
      </c>
      <c r="D86" s="2" t="s">
        <v>174</v>
      </c>
      <c r="E86" s="2" t="s">
        <v>27</v>
      </c>
      <c r="F86" s="2" t="s">
        <v>21</v>
      </c>
      <c r="G86" s="2" t="s">
        <v>45</v>
      </c>
      <c r="H86" s="2" t="s">
        <v>71</v>
      </c>
      <c r="I86" s="13">
        <v>7</v>
      </c>
      <c r="J86" s="10">
        <v>28575.9</v>
      </c>
      <c r="K86" s="10">
        <f t="shared" si="3"/>
        <v>200031.30000000002</v>
      </c>
      <c r="L86" s="2">
        <v>0</v>
      </c>
      <c r="M86" s="2" t="s">
        <v>66</v>
      </c>
      <c r="N86" s="2" t="s">
        <v>18</v>
      </c>
    </row>
    <row r="87" spans="1:14" x14ac:dyDescent="0.2">
      <c r="A87" s="13">
        <v>100393</v>
      </c>
      <c r="B87" s="5">
        <v>45559</v>
      </c>
      <c r="C87" s="5" t="str">
        <f t="shared" si="2"/>
        <v>Sep</v>
      </c>
      <c r="D87" s="2" t="s">
        <v>208</v>
      </c>
      <c r="E87" s="2" t="s">
        <v>27</v>
      </c>
      <c r="F87" s="2" t="s">
        <v>21</v>
      </c>
      <c r="G87" s="2" t="s">
        <v>33</v>
      </c>
      <c r="H87" s="2" t="s">
        <v>158</v>
      </c>
      <c r="I87" s="13">
        <v>11</v>
      </c>
      <c r="J87" s="10">
        <v>281.18</v>
      </c>
      <c r="K87" s="10">
        <f t="shared" si="3"/>
        <v>3092.98</v>
      </c>
      <c r="L87" s="2">
        <v>0</v>
      </c>
      <c r="M87" s="2" t="s">
        <v>41</v>
      </c>
      <c r="N87" s="2" t="s">
        <v>25</v>
      </c>
    </row>
    <row r="88" spans="1:14" x14ac:dyDescent="0.2">
      <c r="A88" s="13">
        <v>101043</v>
      </c>
      <c r="B88" s="5">
        <v>45434</v>
      </c>
      <c r="C88" s="5" t="str">
        <f t="shared" si="2"/>
        <v>May</v>
      </c>
      <c r="D88" s="2" t="s">
        <v>210</v>
      </c>
      <c r="E88" s="2" t="s">
        <v>37</v>
      </c>
      <c r="F88" s="2" t="s">
        <v>38</v>
      </c>
      <c r="G88" s="2" t="s">
        <v>45</v>
      </c>
      <c r="H88" s="2" t="s">
        <v>46</v>
      </c>
      <c r="I88" s="13">
        <v>8</v>
      </c>
      <c r="J88" s="10">
        <v>23287.4</v>
      </c>
      <c r="K88" s="10">
        <f t="shared" si="3"/>
        <v>186299.2</v>
      </c>
      <c r="L88" s="2">
        <v>0</v>
      </c>
      <c r="M88" s="2" t="s">
        <v>41</v>
      </c>
      <c r="N88" s="2" t="s">
        <v>42</v>
      </c>
    </row>
    <row r="89" spans="1:14" x14ac:dyDescent="0.2">
      <c r="A89" s="13">
        <v>101959</v>
      </c>
      <c r="B89" s="5">
        <v>45584</v>
      </c>
      <c r="C89" s="5" t="str">
        <f t="shared" si="2"/>
        <v>Oct</v>
      </c>
      <c r="D89" s="2" t="s">
        <v>211</v>
      </c>
      <c r="E89" s="2" t="s">
        <v>37</v>
      </c>
      <c r="F89" s="2" t="s">
        <v>69</v>
      </c>
      <c r="G89" s="2" t="s">
        <v>15</v>
      </c>
      <c r="H89" s="2" t="s">
        <v>116</v>
      </c>
      <c r="I89" s="13">
        <v>9</v>
      </c>
      <c r="J89" s="10">
        <v>5692.62</v>
      </c>
      <c r="K89" s="10">
        <f t="shared" si="3"/>
        <v>51233.58</v>
      </c>
      <c r="L89" s="2">
        <v>0</v>
      </c>
      <c r="M89" s="2" t="s">
        <v>29</v>
      </c>
      <c r="N89" s="2" t="s">
        <v>52</v>
      </c>
    </row>
    <row r="90" spans="1:14" x14ac:dyDescent="0.2">
      <c r="A90" s="13">
        <v>101050</v>
      </c>
      <c r="B90" s="5">
        <v>45382</v>
      </c>
      <c r="C90" s="5" t="str">
        <f t="shared" si="2"/>
        <v>Mar</v>
      </c>
      <c r="D90" s="2" t="s">
        <v>212</v>
      </c>
      <c r="E90" s="2" t="s">
        <v>140</v>
      </c>
      <c r="F90" s="2" t="s">
        <v>49</v>
      </c>
      <c r="G90" s="2" t="s">
        <v>15</v>
      </c>
      <c r="H90" s="2" t="s">
        <v>152</v>
      </c>
      <c r="I90" s="13"/>
      <c r="J90" s="10">
        <v>19538.34</v>
      </c>
      <c r="K90" s="10">
        <f t="shared" si="3"/>
        <v>0</v>
      </c>
      <c r="L90" s="2">
        <v>0.05</v>
      </c>
      <c r="M90" s="2" t="s">
        <v>66</v>
      </c>
      <c r="N90" s="2" t="s">
        <v>121</v>
      </c>
    </row>
    <row r="91" spans="1:14" x14ac:dyDescent="0.2">
      <c r="A91" s="13">
        <v>100811</v>
      </c>
      <c r="B91" s="5">
        <v>45579</v>
      </c>
      <c r="C91" s="5" t="str">
        <f t="shared" si="2"/>
        <v>Oct</v>
      </c>
      <c r="D91" s="2" t="s">
        <v>213</v>
      </c>
      <c r="E91" s="2" t="s">
        <v>140</v>
      </c>
      <c r="F91" s="2" t="s">
        <v>79</v>
      </c>
      <c r="G91" s="2" t="s">
        <v>45</v>
      </c>
      <c r="H91" s="2" t="s">
        <v>46</v>
      </c>
      <c r="I91" s="13">
        <v>8</v>
      </c>
      <c r="J91" s="10">
        <v>16678.61</v>
      </c>
      <c r="K91" s="10">
        <f t="shared" si="3"/>
        <v>133428.88</v>
      </c>
      <c r="L91" s="2">
        <v>0.1</v>
      </c>
      <c r="M91" s="2" t="s">
        <v>17</v>
      </c>
      <c r="N91" s="2" t="s">
        <v>25</v>
      </c>
    </row>
    <row r="92" spans="1:14" x14ac:dyDescent="0.2">
      <c r="A92" s="13">
        <v>100756</v>
      </c>
      <c r="B92" s="5">
        <v>45506</v>
      </c>
      <c r="C92" s="5" t="str">
        <f t="shared" si="2"/>
        <v>Aug</v>
      </c>
      <c r="D92" s="2" t="s">
        <v>12</v>
      </c>
      <c r="E92" s="2" t="s">
        <v>37</v>
      </c>
      <c r="F92" s="2" t="s">
        <v>38</v>
      </c>
      <c r="G92" s="2" t="s">
        <v>50</v>
      </c>
      <c r="H92" s="2" t="s">
        <v>56</v>
      </c>
      <c r="I92" s="13">
        <v>10</v>
      </c>
      <c r="J92" s="10">
        <v>2793.67</v>
      </c>
      <c r="K92" s="10">
        <f t="shared" si="3"/>
        <v>27936.7</v>
      </c>
      <c r="L92" s="2">
        <v>0.05</v>
      </c>
      <c r="M92" s="2" t="s">
        <v>29</v>
      </c>
      <c r="N92" s="2" t="s">
        <v>52</v>
      </c>
    </row>
    <row r="93" spans="1:14" x14ac:dyDescent="0.2">
      <c r="A93" s="13">
        <v>101042</v>
      </c>
      <c r="B93" s="5">
        <v>45506</v>
      </c>
      <c r="C93" s="5" t="str">
        <f t="shared" si="2"/>
        <v>Aug</v>
      </c>
      <c r="D93" s="2" t="s">
        <v>214</v>
      </c>
      <c r="E93" s="2" t="s">
        <v>27</v>
      </c>
      <c r="F93" s="2" t="s">
        <v>133</v>
      </c>
      <c r="G93" s="2" t="s">
        <v>106</v>
      </c>
      <c r="H93" s="2" t="s">
        <v>103</v>
      </c>
      <c r="I93" s="13">
        <v>5</v>
      </c>
      <c r="J93" s="10">
        <v>2781.09</v>
      </c>
      <c r="K93" s="10">
        <f t="shared" si="3"/>
        <v>13905.45</v>
      </c>
      <c r="L93" s="2">
        <v>0.05</v>
      </c>
      <c r="M93" s="2" t="s">
        <v>17</v>
      </c>
      <c r="N93" s="2" t="s">
        <v>25</v>
      </c>
    </row>
    <row r="94" spans="1:14" x14ac:dyDescent="0.2">
      <c r="A94" s="13">
        <v>101381</v>
      </c>
      <c r="B94" s="5">
        <v>45415</v>
      </c>
      <c r="C94" s="5" t="str">
        <f t="shared" si="2"/>
        <v>May</v>
      </c>
      <c r="D94" s="2" t="s">
        <v>215</v>
      </c>
      <c r="E94" s="2" t="s">
        <v>140</v>
      </c>
      <c r="F94" s="2" t="s">
        <v>79</v>
      </c>
      <c r="G94" s="2" t="s">
        <v>15</v>
      </c>
      <c r="H94" s="2" t="s">
        <v>116</v>
      </c>
      <c r="I94" s="13">
        <v>2</v>
      </c>
      <c r="J94" s="10">
        <v>19458.78</v>
      </c>
      <c r="K94" s="10">
        <f t="shared" si="3"/>
        <v>38917.56</v>
      </c>
      <c r="L94" s="2">
        <v>0.15</v>
      </c>
      <c r="M94" s="2" t="s">
        <v>66</v>
      </c>
      <c r="N94" s="2" t="s">
        <v>25</v>
      </c>
    </row>
    <row r="95" spans="1:14" x14ac:dyDescent="0.2">
      <c r="A95" s="13">
        <v>101992</v>
      </c>
      <c r="B95" s="5">
        <v>45657</v>
      </c>
      <c r="C95" s="5" t="str">
        <f t="shared" si="2"/>
        <v>Dec</v>
      </c>
      <c r="D95" s="2" t="s">
        <v>216</v>
      </c>
      <c r="E95" s="2" t="s">
        <v>37</v>
      </c>
      <c r="F95" s="2" t="s">
        <v>38</v>
      </c>
      <c r="G95" s="2" t="s">
        <v>50</v>
      </c>
      <c r="H95" s="2" t="s">
        <v>51</v>
      </c>
      <c r="I95" s="13">
        <v>12</v>
      </c>
      <c r="J95" s="10">
        <v>0</v>
      </c>
      <c r="K95" s="10">
        <f t="shared" si="3"/>
        <v>0</v>
      </c>
      <c r="L95" s="2">
        <v>0</v>
      </c>
      <c r="M95" s="2" t="s">
        <v>83</v>
      </c>
      <c r="N95" s="2" t="s">
        <v>18</v>
      </c>
    </row>
    <row r="96" spans="1:14" x14ac:dyDescent="0.2">
      <c r="A96" s="13">
        <v>100301</v>
      </c>
      <c r="B96" s="5">
        <v>45518</v>
      </c>
      <c r="C96" s="5" t="str">
        <f t="shared" si="2"/>
        <v>Aug</v>
      </c>
      <c r="D96" s="2" t="s">
        <v>217</v>
      </c>
      <c r="E96" s="2" t="s">
        <v>31</v>
      </c>
      <c r="F96" s="2" t="s">
        <v>54</v>
      </c>
      <c r="G96" s="2" t="s">
        <v>22</v>
      </c>
      <c r="H96" s="2" t="s">
        <v>141</v>
      </c>
      <c r="I96" s="13">
        <v>8</v>
      </c>
      <c r="J96" s="10">
        <v>437.79</v>
      </c>
      <c r="K96" s="10">
        <f t="shared" si="3"/>
        <v>3502.32</v>
      </c>
      <c r="L96" s="2">
        <v>0.25</v>
      </c>
      <c r="M96" s="2" t="s">
        <v>66</v>
      </c>
      <c r="N96" s="2" t="s">
        <v>87</v>
      </c>
    </row>
    <row r="97" spans="1:14" x14ac:dyDescent="0.2">
      <c r="A97" s="13">
        <v>101232</v>
      </c>
      <c r="B97" s="5">
        <v>45318</v>
      </c>
      <c r="C97" s="5" t="str">
        <f t="shared" si="2"/>
        <v>Jan</v>
      </c>
      <c r="D97" s="2" t="s">
        <v>1069</v>
      </c>
      <c r="E97" s="2" t="s">
        <v>27</v>
      </c>
      <c r="F97" s="2" t="s">
        <v>133</v>
      </c>
      <c r="G97" s="2" t="s">
        <v>64</v>
      </c>
      <c r="H97" s="2" t="s">
        <v>40</v>
      </c>
      <c r="I97" s="13">
        <v>10</v>
      </c>
      <c r="J97" s="10">
        <v>596.95000000000005</v>
      </c>
      <c r="K97" s="10">
        <f t="shared" si="3"/>
        <v>5969.5</v>
      </c>
      <c r="L97" s="2">
        <v>0.05</v>
      </c>
      <c r="M97" s="2" t="s">
        <v>24</v>
      </c>
      <c r="N97" s="2" t="s">
        <v>42</v>
      </c>
    </row>
    <row r="98" spans="1:14" x14ac:dyDescent="0.2">
      <c r="A98" s="13">
        <v>101224</v>
      </c>
      <c r="B98" s="5">
        <v>45468</v>
      </c>
      <c r="C98" s="5" t="str">
        <f t="shared" si="2"/>
        <v>Jun</v>
      </c>
      <c r="D98" s="2" t="s">
        <v>218</v>
      </c>
      <c r="E98" s="2" t="s">
        <v>37</v>
      </c>
      <c r="F98" s="2" t="s">
        <v>69</v>
      </c>
      <c r="G98" s="2" t="s">
        <v>33</v>
      </c>
      <c r="H98" s="2" t="s">
        <v>34</v>
      </c>
      <c r="I98" s="13">
        <v>10</v>
      </c>
      <c r="J98" s="10">
        <v>484.97</v>
      </c>
      <c r="K98" s="10">
        <f t="shared" si="3"/>
        <v>4849.7000000000007</v>
      </c>
      <c r="L98" s="2">
        <v>0.25</v>
      </c>
      <c r="M98" s="2" t="s">
        <v>24</v>
      </c>
      <c r="N98" s="2" t="s">
        <v>121</v>
      </c>
    </row>
    <row r="99" spans="1:14" x14ac:dyDescent="0.2">
      <c r="A99" s="13">
        <v>100607</v>
      </c>
      <c r="B99" s="5">
        <v>45471</v>
      </c>
      <c r="C99" s="5" t="str">
        <f t="shared" si="2"/>
        <v>Jun</v>
      </c>
      <c r="D99" s="2" t="s">
        <v>219</v>
      </c>
      <c r="E99" s="2" t="s">
        <v>61</v>
      </c>
      <c r="F99" s="2" t="s">
        <v>119</v>
      </c>
      <c r="G99" s="2" t="s">
        <v>50</v>
      </c>
      <c r="H99" s="2" t="s">
        <v>56</v>
      </c>
      <c r="I99" s="13">
        <v>4</v>
      </c>
      <c r="J99" s="10">
        <v>2496.09</v>
      </c>
      <c r="K99" s="10">
        <f t="shared" si="3"/>
        <v>9984.36</v>
      </c>
      <c r="L99" s="2">
        <v>0.2</v>
      </c>
      <c r="M99" s="2" t="s">
        <v>29</v>
      </c>
      <c r="N99" s="2" t="s">
        <v>121</v>
      </c>
    </row>
    <row r="100" spans="1:14" x14ac:dyDescent="0.2">
      <c r="A100" s="13">
        <v>100830</v>
      </c>
      <c r="B100" s="5">
        <v>45484</v>
      </c>
      <c r="C100" s="5" t="str">
        <f t="shared" si="2"/>
        <v>Jul</v>
      </c>
      <c r="D100" s="2" t="s">
        <v>220</v>
      </c>
      <c r="E100" s="2" t="s">
        <v>31</v>
      </c>
      <c r="F100" s="2" t="s">
        <v>32</v>
      </c>
      <c r="G100" s="2" t="s">
        <v>45</v>
      </c>
      <c r="H100" s="2" t="s">
        <v>97</v>
      </c>
      <c r="I100" s="13">
        <v>5</v>
      </c>
      <c r="J100" s="10">
        <v>30038.78</v>
      </c>
      <c r="K100" s="10">
        <f t="shared" si="3"/>
        <v>150193.9</v>
      </c>
      <c r="L100" s="2">
        <v>0</v>
      </c>
      <c r="M100" s="2" t="s">
        <v>66</v>
      </c>
      <c r="N100" s="2" t="s">
        <v>25</v>
      </c>
    </row>
    <row r="101" spans="1:14" x14ac:dyDescent="0.2">
      <c r="A101" s="13">
        <v>100946</v>
      </c>
      <c r="B101" s="5">
        <v>45621</v>
      </c>
      <c r="C101" s="5" t="str">
        <f t="shared" si="2"/>
        <v>Nov</v>
      </c>
      <c r="D101" s="2" t="s">
        <v>221</v>
      </c>
      <c r="E101" s="2" t="s">
        <v>61</v>
      </c>
      <c r="F101" s="2" t="s">
        <v>14</v>
      </c>
      <c r="G101" s="2" t="s">
        <v>64</v>
      </c>
      <c r="H101" s="2" t="s">
        <v>114</v>
      </c>
      <c r="I101" s="13">
        <v>1</v>
      </c>
      <c r="J101" s="10">
        <v>477.26</v>
      </c>
      <c r="K101" s="10">
        <f t="shared" si="3"/>
        <v>477.26</v>
      </c>
      <c r="L101" s="2">
        <v>0</v>
      </c>
      <c r="M101" s="2" t="s">
        <v>83</v>
      </c>
      <c r="N101" s="2" t="s">
        <v>87</v>
      </c>
    </row>
    <row r="102" spans="1:14" x14ac:dyDescent="0.2">
      <c r="A102" s="13">
        <v>101279</v>
      </c>
      <c r="B102" s="5">
        <v>45572</v>
      </c>
      <c r="C102" s="5" t="str">
        <f t="shared" si="2"/>
        <v>Oct</v>
      </c>
      <c r="D102" s="2" t="s">
        <v>19</v>
      </c>
      <c r="E102" s="2" t="s">
        <v>140</v>
      </c>
      <c r="F102" s="2" t="s">
        <v>49</v>
      </c>
      <c r="G102" s="2" t="s">
        <v>64</v>
      </c>
      <c r="H102" s="2" t="s">
        <v>40</v>
      </c>
      <c r="I102" s="13">
        <v>4</v>
      </c>
      <c r="J102" s="10">
        <v>457.21</v>
      </c>
      <c r="K102" s="10">
        <f t="shared" si="3"/>
        <v>1828.84</v>
      </c>
      <c r="L102" s="2">
        <v>0.05</v>
      </c>
      <c r="M102" s="2" t="s">
        <v>41</v>
      </c>
      <c r="N102" s="2" t="s">
        <v>18</v>
      </c>
    </row>
    <row r="103" spans="1:14" x14ac:dyDescent="0.2">
      <c r="A103" s="13">
        <v>101049</v>
      </c>
      <c r="B103" s="5">
        <v>45579</v>
      </c>
      <c r="C103" s="5" t="str">
        <f t="shared" si="2"/>
        <v>Oct</v>
      </c>
      <c r="D103" s="2" t="s">
        <v>222</v>
      </c>
      <c r="E103" s="2" t="s">
        <v>31</v>
      </c>
      <c r="F103" s="2" t="s">
        <v>54</v>
      </c>
      <c r="G103" s="2" t="s">
        <v>50</v>
      </c>
      <c r="H103" s="2" t="s">
        <v>207</v>
      </c>
      <c r="I103" s="13">
        <v>3</v>
      </c>
      <c r="J103" s="10">
        <v>10266.65</v>
      </c>
      <c r="K103" s="10">
        <f t="shared" si="3"/>
        <v>30799.949999999997</v>
      </c>
      <c r="L103" s="2">
        <v>0</v>
      </c>
      <c r="M103" s="2" t="s">
        <v>29</v>
      </c>
      <c r="N103" s="2" t="s">
        <v>35</v>
      </c>
    </row>
    <row r="104" spans="1:14" x14ac:dyDescent="0.2">
      <c r="A104" s="13">
        <v>100427</v>
      </c>
      <c r="B104" s="5">
        <v>45338</v>
      </c>
      <c r="C104" s="5" t="str">
        <f t="shared" si="2"/>
        <v>Feb</v>
      </c>
      <c r="D104" s="2" t="s">
        <v>224</v>
      </c>
      <c r="E104" s="2" t="s">
        <v>31</v>
      </c>
      <c r="F104" s="2" t="s">
        <v>54</v>
      </c>
      <c r="G104" s="2" t="s">
        <v>106</v>
      </c>
      <c r="H104" s="2" t="s">
        <v>135</v>
      </c>
      <c r="I104" s="13">
        <v>4</v>
      </c>
      <c r="J104" s="10">
        <v>4310.47</v>
      </c>
      <c r="K104" s="10">
        <f t="shared" si="3"/>
        <v>17241.88</v>
      </c>
      <c r="L104" s="2">
        <v>0.1</v>
      </c>
      <c r="M104" s="2" t="s">
        <v>41</v>
      </c>
      <c r="N104" s="2" t="s">
        <v>87</v>
      </c>
    </row>
    <row r="105" spans="1:14" x14ac:dyDescent="0.2">
      <c r="A105" s="13">
        <v>100684</v>
      </c>
      <c r="B105" s="5">
        <v>45439</v>
      </c>
      <c r="C105" s="5" t="str">
        <f t="shared" si="2"/>
        <v>May</v>
      </c>
      <c r="D105" s="2" t="s">
        <v>225</v>
      </c>
      <c r="E105" s="2" t="s">
        <v>31</v>
      </c>
      <c r="F105" s="2" t="s">
        <v>54</v>
      </c>
      <c r="G105" s="2" t="s">
        <v>50</v>
      </c>
      <c r="H105" s="2" t="s">
        <v>62</v>
      </c>
      <c r="I105" s="13">
        <v>9</v>
      </c>
      <c r="J105" s="10">
        <v>4641.54</v>
      </c>
      <c r="K105" s="10">
        <f t="shared" si="3"/>
        <v>41773.86</v>
      </c>
      <c r="L105" s="2">
        <v>0.1</v>
      </c>
      <c r="M105" s="2" t="s">
        <v>17</v>
      </c>
      <c r="N105" s="2" t="s">
        <v>42</v>
      </c>
    </row>
    <row r="106" spans="1:14" x14ac:dyDescent="0.2">
      <c r="A106" s="13">
        <v>101197</v>
      </c>
      <c r="B106" s="5">
        <v>45656</v>
      </c>
      <c r="C106" s="5" t="str">
        <f t="shared" si="2"/>
        <v>Dec</v>
      </c>
      <c r="D106" s="2" t="s">
        <v>189</v>
      </c>
      <c r="E106" s="2" t="s">
        <v>27</v>
      </c>
      <c r="F106" s="2" t="s">
        <v>133</v>
      </c>
      <c r="G106" s="2" t="s">
        <v>64</v>
      </c>
      <c r="H106" s="2" t="s">
        <v>114</v>
      </c>
      <c r="I106" s="13">
        <v>12</v>
      </c>
      <c r="J106" s="10">
        <v>346.48</v>
      </c>
      <c r="K106" s="10">
        <f t="shared" si="3"/>
        <v>4157.76</v>
      </c>
      <c r="L106" s="2">
        <v>0</v>
      </c>
      <c r="M106" s="2" t="s">
        <v>24</v>
      </c>
      <c r="N106" s="2" t="s">
        <v>87</v>
      </c>
    </row>
    <row r="107" spans="1:14" x14ac:dyDescent="0.2">
      <c r="A107" s="13">
        <v>101904</v>
      </c>
      <c r="B107" s="5">
        <v>45366</v>
      </c>
      <c r="C107" s="5" t="str">
        <f t="shared" si="2"/>
        <v>Mar</v>
      </c>
      <c r="D107" s="2" t="s">
        <v>226</v>
      </c>
      <c r="E107" s="2" t="s">
        <v>31</v>
      </c>
      <c r="F107" s="2" t="s">
        <v>32</v>
      </c>
      <c r="G107" s="2" t="s">
        <v>22</v>
      </c>
      <c r="H107" s="2" t="s">
        <v>23</v>
      </c>
      <c r="I107" s="13">
        <v>3</v>
      </c>
      <c r="J107" s="10">
        <v>3346.78</v>
      </c>
      <c r="K107" s="10">
        <f t="shared" si="3"/>
        <v>10040.34</v>
      </c>
      <c r="L107" s="2">
        <v>0.25</v>
      </c>
      <c r="M107" s="2" t="s">
        <v>24</v>
      </c>
      <c r="N107" s="2" t="s">
        <v>87</v>
      </c>
    </row>
    <row r="108" spans="1:14" x14ac:dyDescent="0.2">
      <c r="A108" s="13">
        <v>100260</v>
      </c>
      <c r="B108" s="5">
        <v>45431</v>
      </c>
      <c r="C108" s="5" t="str">
        <f t="shared" si="2"/>
        <v>May</v>
      </c>
      <c r="D108" s="2" t="s">
        <v>228</v>
      </c>
      <c r="E108" s="2" t="s">
        <v>37</v>
      </c>
      <c r="F108" s="2" t="s">
        <v>38</v>
      </c>
      <c r="G108" s="2" t="s">
        <v>45</v>
      </c>
      <c r="H108" s="2" t="s">
        <v>149</v>
      </c>
      <c r="I108" s="13">
        <v>6</v>
      </c>
      <c r="J108" s="10">
        <v>26623.85</v>
      </c>
      <c r="K108" s="10">
        <f t="shared" si="3"/>
        <v>159743.09999999998</v>
      </c>
      <c r="L108" s="2">
        <v>0.15</v>
      </c>
      <c r="M108" s="2" t="s">
        <v>66</v>
      </c>
      <c r="N108" s="2" t="s">
        <v>87</v>
      </c>
    </row>
    <row r="109" spans="1:14" x14ac:dyDescent="0.2">
      <c r="A109" s="13">
        <v>100341</v>
      </c>
      <c r="B109" s="5">
        <v>45315</v>
      </c>
      <c r="C109" s="5" t="str">
        <f t="shared" si="2"/>
        <v>Jan</v>
      </c>
      <c r="D109" s="2" t="s">
        <v>229</v>
      </c>
      <c r="E109" s="2" t="s">
        <v>31</v>
      </c>
      <c r="F109" s="2" t="s">
        <v>54</v>
      </c>
      <c r="G109" s="2" t="s">
        <v>22</v>
      </c>
      <c r="H109" s="2" t="s">
        <v>23</v>
      </c>
      <c r="I109" s="13">
        <v>12</v>
      </c>
      <c r="J109" s="10">
        <v>2782.8</v>
      </c>
      <c r="K109" s="10">
        <f t="shared" si="3"/>
        <v>33393.600000000006</v>
      </c>
      <c r="L109" s="2">
        <v>0</v>
      </c>
      <c r="M109" s="2" t="s">
        <v>29</v>
      </c>
      <c r="N109" s="2" t="s">
        <v>35</v>
      </c>
    </row>
    <row r="110" spans="1:14" x14ac:dyDescent="0.2">
      <c r="A110" s="13">
        <v>100926</v>
      </c>
      <c r="B110" s="5">
        <v>45534</v>
      </c>
      <c r="C110" s="5" t="str">
        <f t="shared" si="2"/>
        <v>Aug</v>
      </c>
      <c r="D110" s="2" t="s">
        <v>231</v>
      </c>
      <c r="E110" s="2" t="s">
        <v>27</v>
      </c>
      <c r="F110" s="2" t="s">
        <v>133</v>
      </c>
      <c r="G110" s="2" t="s">
        <v>22</v>
      </c>
      <c r="H110" s="2" t="s">
        <v>232</v>
      </c>
      <c r="I110" s="13">
        <v>10</v>
      </c>
      <c r="J110" s="10">
        <v>1631.51</v>
      </c>
      <c r="K110" s="10">
        <f t="shared" si="3"/>
        <v>16315.1</v>
      </c>
      <c r="L110" s="2">
        <v>0.1</v>
      </c>
      <c r="M110" s="2" t="s">
        <v>17</v>
      </c>
      <c r="N110" s="2" t="s">
        <v>143</v>
      </c>
    </row>
    <row r="111" spans="1:14" x14ac:dyDescent="0.2">
      <c r="A111" s="13">
        <v>101910</v>
      </c>
      <c r="B111" s="5">
        <v>45464</v>
      </c>
      <c r="C111" s="5" t="str">
        <f t="shared" si="2"/>
        <v>Jun</v>
      </c>
      <c r="D111" s="2" t="s">
        <v>233</v>
      </c>
      <c r="E111" s="2" t="s">
        <v>61</v>
      </c>
      <c r="F111" s="2" t="s">
        <v>14</v>
      </c>
      <c r="G111" s="2" t="s">
        <v>50</v>
      </c>
      <c r="H111" s="2" t="s">
        <v>56</v>
      </c>
      <c r="I111" s="13">
        <v>4</v>
      </c>
      <c r="J111" s="10">
        <v>5337.59</v>
      </c>
      <c r="K111" s="10">
        <f t="shared" si="3"/>
        <v>21350.36</v>
      </c>
      <c r="L111" s="2">
        <v>0.15</v>
      </c>
      <c r="M111" s="2" t="s">
        <v>29</v>
      </c>
      <c r="N111" s="2" t="s">
        <v>35</v>
      </c>
    </row>
    <row r="112" spans="1:14" x14ac:dyDescent="0.2">
      <c r="A112" s="13">
        <v>100624</v>
      </c>
      <c r="B112" s="5">
        <v>45377</v>
      </c>
      <c r="C112" s="5" t="str">
        <f t="shared" si="2"/>
        <v>Mar</v>
      </c>
      <c r="D112" s="2" t="s">
        <v>234</v>
      </c>
      <c r="E112" s="2" t="s">
        <v>61</v>
      </c>
      <c r="F112" s="2" t="s">
        <v>14</v>
      </c>
      <c r="G112" s="2" t="s">
        <v>45</v>
      </c>
      <c r="H112" s="2" t="s">
        <v>97</v>
      </c>
      <c r="I112" s="13">
        <v>5</v>
      </c>
      <c r="J112" s="10">
        <v>40138.160000000003</v>
      </c>
      <c r="K112" s="10">
        <f t="shared" si="3"/>
        <v>200690.80000000002</v>
      </c>
      <c r="L112" s="2">
        <v>0</v>
      </c>
      <c r="M112" s="2" t="s">
        <v>83</v>
      </c>
      <c r="N112" s="2" t="s">
        <v>35</v>
      </c>
    </row>
    <row r="113" spans="1:14" x14ac:dyDescent="0.2">
      <c r="A113" s="13">
        <v>101437</v>
      </c>
      <c r="B113" s="5">
        <v>45600</v>
      </c>
      <c r="C113" s="5" t="str">
        <f t="shared" si="2"/>
        <v>Nov</v>
      </c>
      <c r="D113" s="2" t="s">
        <v>235</v>
      </c>
      <c r="E113" s="2" t="s">
        <v>61</v>
      </c>
      <c r="F113" s="2" t="s">
        <v>119</v>
      </c>
      <c r="G113" s="2" t="s">
        <v>33</v>
      </c>
      <c r="H113" s="2" t="s">
        <v>158</v>
      </c>
      <c r="I113" s="13">
        <v>11</v>
      </c>
      <c r="J113" s="10">
        <v>48.68</v>
      </c>
      <c r="K113" s="10">
        <f t="shared" si="3"/>
        <v>535.48</v>
      </c>
      <c r="L113" s="2">
        <v>0.25</v>
      </c>
      <c r="M113" s="2" t="s">
        <v>83</v>
      </c>
      <c r="N113" s="2" t="s">
        <v>42</v>
      </c>
    </row>
    <row r="114" spans="1:14" x14ac:dyDescent="0.2">
      <c r="A114" s="13">
        <v>101247</v>
      </c>
      <c r="B114" s="5">
        <v>45510</v>
      </c>
      <c r="C114" s="5" t="str">
        <f t="shared" si="2"/>
        <v>Aug</v>
      </c>
      <c r="D114" s="2" t="s">
        <v>237</v>
      </c>
      <c r="E114" s="2" t="s">
        <v>61</v>
      </c>
      <c r="F114" s="2" t="s">
        <v>119</v>
      </c>
      <c r="G114" s="2" t="s">
        <v>106</v>
      </c>
      <c r="H114" s="2" t="s">
        <v>137</v>
      </c>
      <c r="I114" s="13">
        <v>1</v>
      </c>
      <c r="J114" s="10">
        <v>2067.86</v>
      </c>
      <c r="K114" s="10">
        <f t="shared" si="3"/>
        <v>2067.86</v>
      </c>
      <c r="L114" s="2">
        <v>0</v>
      </c>
      <c r="M114" s="2" t="s">
        <v>41</v>
      </c>
      <c r="N114" s="2" t="s">
        <v>25</v>
      </c>
    </row>
    <row r="115" spans="1:14" x14ac:dyDescent="0.2">
      <c r="A115" s="13">
        <v>100641</v>
      </c>
      <c r="B115" s="5">
        <v>45350</v>
      </c>
      <c r="C115" s="5" t="str">
        <f t="shared" si="2"/>
        <v>Feb</v>
      </c>
      <c r="D115" s="2" t="s">
        <v>168</v>
      </c>
      <c r="E115" s="2" t="s">
        <v>140</v>
      </c>
      <c r="F115" s="2" t="s">
        <v>79</v>
      </c>
      <c r="G115" s="2" t="s">
        <v>15</v>
      </c>
      <c r="H115" s="2" t="s">
        <v>116</v>
      </c>
      <c r="I115" s="13">
        <v>9</v>
      </c>
      <c r="J115" s="10">
        <v>4724.13</v>
      </c>
      <c r="K115" s="10">
        <f t="shared" si="3"/>
        <v>42517.17</v>
      </c>
      <c r="L115" s="2">
        <v>0.1</v>
      </c>
      <c r="M115" s="2" t="s">
        <v>24</v>
      </c>
      <c r="N115" s="2" t="s">
        <v>35</v>
      </c>
    </row>
    <row r="116" spans="1:14" x14ac:dyDescent="0.2">
      <c r="A116" s="13">
        <v>100141</v>
      </c>
      <c r="B116" s="5">
        <v>45550</v>
      </c>
      <c r="C116" s="5" t="str">
        <f t="shared" si="2"/>
        <v>Sep</v>
      </c>
      <c r="D116" s="2" t="s">
        <v>240</v>
      </c>
      <c r="E116" s="2" t="s">
        <v>31</v>
      </c>
      <c r="F116" s="2" t="s">
        <v>32</v>
      </c>
      <c r="G116" s="2" t="s">
        <v>33</v>
      </c>
      <c r="H116" s="2" t="s">
        <v>34</v>
      </c>
      <c r="I116" s="13">
        <v>7</v>
      </c>
      <c r="J116" s="10">
        <v>55.02</v>
      </c>
      <c r="K116" s="10">
        <f t="shared" si="3"/>
        <v>385.14000000000004</v>
      </c>
      <c r="L116" s="2">
        <v>0</v>
      </c>
      <c r="M116" s="2" t="s">
        <v>24</v>
      </c>
      <c r="N116" s="2" t="s">
        <v>121</v>
      </c>
    </row>
    <row r="117" spans="1:14" x14ac:dyDescent="0.2">
      <c r="A117" s="13">
        <v>100596</v>
      </c>
      <c r="B117" s="5">
        <v>45399</v>
      </c>
      <c r="C117" s="5" t="str">
        <f t="shared" si="2"/>
        <v>Apr</v>
      </c>
      <c r="D117" s="2" t="s">
        <v>241</v>
      </c>
      <c r="E117" s="2" t="s">
        <v>31</v>
      </c>
      <c r="F117" s="2" t="s">
        <v>54</v>
      </c>
      <c r="G117" s="2" t="s">
        <v>64</v>
      </c>
      <c r="H117" s="2" t="s">
        <v>242</v>
      </c>
      <c r="I117" s="13">
        <v>2</v>
      </c>
      <c r="J117" s="10">
        <v>224.79</v>
      </c>
      <c r="K117" s="10">
        <f t="shared" si="3"/>
        <v>449.58</v>
      </c>
      <c r="L117" s="2">
        <v>0</v>
      </c>
      <c r="M117" s="2" t="s">
        <v>24</v>
      </c>
      <c r="N117" s="2" t="s">
        <v>42</v>
      </c>
    </row>
    <row r="118" spans="1:14" x14ac:dyDescent="0.2">
      <c r="A118" s="13">
        <v>100038</v>
      </c>
      <c r="B118" s="5">
        <v>45515</v>
      </c>
      <c r="C118" s="5" t="str">
        <f t="shared" si="2"/>
        <v>Aug</v>
      </c>
      <c r="D118" s="2" t="s">
        <v>243</v>
      </c>
      <c r="E118" s="2" t="s">
        <v>140</v>
      </c>
      <c r="F118" s="2" t="s">
        <v>79</v>
      </c>
      <c r="G118" s="2" t="s">
        <v>33</v>
      </c>
      <c r="H118" s="2" t="s">
        <v>81</v>
      </c>
      <c r="I118" s="13">
        <v>9</v>
      </c>
      <c r="J118" s="10">
        <v>358.46</v>
      </c>
      <c r="K118" s="10">
        <f t="shared" si="3"/>
        <v>3226.14</v>
      </c>
      <c r="L118" s="2">
        <v>0</v>
      </c>
      <c r="M118" s="2" t="s">
        <v>29</v>
      </c>
      <c r="N118" s="2" t="s">
        <v>87</v>
      </c>
    </row>
    <row r="119" spans="1:14" x14ac:dyDescent="0.2">
      <c r="A119" s="13">
        <v>100880</v>
      </c>
      <c r="B119" s="5">
        <v>45650</v>
      </c>
      <c r="C119" s="5" t="str">
        <f t="shared" si="2"/>
        <v>Dec</v>
      </c>
      <c r="D119" s="2" t="s">
        <v>244</v>
      </c>
      <c r="E119" s="2" t="s">
        <v>31</v>
      </c>
      <c r="F119" s="2" t="s">
        <v>32</v>
      </c>
      <c r="G119" s="2" t="s">
        <v>22</v>
      </c>
      <c r="H119" s="2" t="s">
        <v>145</v>
      </c>
      <c r="I119" s="13">
        <v>7</v>
      </c>
      <c r="J119" s="10">
        <v>3142.87</v>
      </c>
      <c r="K119" s="10">
        <f t="shared" si="3"/>
        <v>22000.09</v>
      </c>
      <c r="L119" s="2">
        <v>0</v>
      </c>
      <c r="M119" s="2" t="s">
        <v>24</v>
      </c>
      <c r="N119" s="2" t="s">
        <v>18</v>
      </c>
    </row>
    <row r="120" spans="1:14" x14ac:dyDescent="0.2">
      <c r="A120" s="13">
        <v>101511</v>
      </c>
      <c r="B120" s="5">
        <v>45427</v>
      </c>
      <c r="C120" s="5" t="str">
        <f t="shared" si="2"/>
        <v>May</v>
      </c>
      <c r="D120" s="2" t="s">
        <v>245</v>
      </c>
      <c r="E120" s="2" t="s">
        <v>31</v>
      </c>
      <c r="F120" s="2" t="s">
        <v>32</v>
      </c>
      <c r="G120" s="2" t="s">
        <v>106</v>
      </c>
      <c r="H120" s="2" t="s">
        <v>103</v>
      </c>
      <c r="I120" s="13">
        <v>8</v>
      </c>
      <c r="J120" s="10">
        <v>2669.28</v>
      </c>
      <c r="K120" s="10">
        <f t="shared" si="3"/>
        <v>21354.240000000002</v>
      </c>
      <c r="L120" s="2">
        <v>0.05</v>
      </c>
      <c r="M120" s="2" t="s">
        <v>66</v>
      </c>
      <c r="N120" s="2" t="s">
        <v>42</v>
      </c>
    </row>
    <row r="121" spans="1:14" x14ac:dyDescent="0.2">
      <c r="A121" s="13">
        <v>101699</v>
      </c>
      <c r="B121" s="5">
        <v>45349</v>
      </c>
      <c r="C121" s="5" t="str">
        <f t="shared" si="2"/>
        <v>Feb</v>
      </c>
      <c r="D121" s="2" t="s">
        <v>246</v>
      </c>
      <c r="E121" s="2" t="s">
        <v>61</v>
      </c>
      <c r="F121" s="2" t="s">
        <v>14</v>
      </c>
      <c r="G121" s="2" t="s">
        <v>50</v>
      </c>
      <c r="H121" s="2" t="s">
        <v>62</v>
      </c>
      <c r="I121" s="13">
        <v>2</v>
      </c>
      <c r="J121" s="10">
        <v>2997.28</v>
      </c>
      <c r="K121" s="10">
        <f t="shared" si="3"/>
        <v>5994.56</v>
      </c>
      <c r="L121" s="2">
        <v>0</v>
      </c>
      <c r="M121" s="2" t="s">
        <v>17</v>
      </c>
      <c r="N121" s="2" t="s">
        <v>18</v>
      </c>
    </row>
    <row r="122" spans="1:14" x14ac:dyDescent="0.2">
      <c r="A122" s="13">
        <v>100515</v>
      </c>
      <c r="B122" s="5">
        <v>45464</v>
      </c>
      <c r="C122" s="5" t="str">
        <f t="shared" si="2"/>
        <v>Jun</v>
      </c>
      <c r="D122" s="2" t="s">
        <v>389</v>
      </c>
      <c r="E122" s="2" t="s">
        <v>140</v>
      </c>
      <c r="F122" s="2" t="s">
        <v>49</v>
      </c>
      <c r="G122" s="2" t="s">
        <v>64</v>
      </c>
      <c r="H122" s="2" t="s">
        <v>242</v>
      </c>
      <c r="I122" s="13">
        <v>1</v>
      </c>
      <c r="J122" s="10">
        <v>224.87</v>
      </c>
      <c r="K122" s="10">
        <f t="shared" si="3"/>
        <v>224.87</v>
      </c>
      <c r="L122" s="2">
        <v>0.15</v>
      </c>
      <c r="M122" s="2" t="s">
        <v>29</v>
      </c>
      <c r="N122" s="2" t="s">
        <v>25</v>
      </c>
    </row>
    <row r="123" spans="1:14" x14ac:dyDescent="0.2">
      <c r="A123" s="13">
        <v>101632</v>
      </c>
      <c r="B123" s="5">
        <v>45379</v>
      </c>
      <c r="C123" s="5" t="str">
        <f t="shared" si="2"/>
        <v>Mar</v>
      </c>
      <c r="D123" s="2" t="s">
        <v>249</v>
      </c>
      <c r="E123" s="2" t="s">
        <v>31</v>
      </c>
      <c r="F123" s="2" t="s">
        <v>32</v>
      </c>
      <c r="G123" s="2" t="s">
        <v>15</v>
      </c>
      <c r="H123" s="2" t="s">
        <v>152</v>
      </c>
      <c r="I123" s="13">
        <v>10</v>
      </c>
      <c r="J123" s="10">
        <v>20672.93</v>
      </c>
      <c r="K123" s="10">
        <f t="shared" si="3"/>
        <v>206729.3</v>
      </c>
      <c r="L123" s="2">
        <v>0.1</v>
      </c>
      <c r="M123" s="2" t="s">
        <v>17</v>
      </c>
      <c r="N123" s="2" t="s">
        <v>42</v>
      </c>
    </row>
    <row r="124" spans="1:14" x14ac:dyDescent="0.2">
      <c r="A124" s="13">
        <v>100059</v>
      </c>
      <c r="B124" s="5">
        <v>45402</v>
      </c>
      <c r="C124" s="5" t="str">
        <f t="shared" si="2"/>
        <v>Apr</v>
      </c>
      <c r="D124" s="2" t="s">
        <v>250</v>
      </c>
      <c r="E124" s="2" t="s">
        <v>37</v>
      </c>
      <c r="F124" s="2" t="s">
        <v>69</v>
      </c>
      <c r="G124" s="2" t="s">
        <v>50</v>
      </c>
      <c r="H124" s="2" t="s">
        <v>207</v>
      </c>
      <c r="I124" s="13">
        <v>2</v>
      </c>
      <c r="J124" s="10">
        <v>0</v>
      </c>
      <c r="K124" s="10">
        <f t="shared" si="3"/>
        <v>0</v>
      </c>
      <c r="L124" s="2">
        <v>0.25</v>
      </c>
      <c r="M124" s="2" t="s">
        <v>29</v>
      </c>
      <c r="N124" s="2" t="s">
        <v>35</v>
      </c>
    </row>
    <row r="125" spans="1:14" x14ac:dyDescent="0.2">
      <c r="A125" s="13">
        <v>101009</v>
      </c>
      <c r="B125" s="5">
        <v>45371</v>
      </c>
      <c r="C125" s="5" t="str">
        <f t="shared" si="2"/>
        <v>Mar</v>
      </c>
      <c r="D125" s="2" t="s">
        <v>251</v>
      </c>
      <c r="E125" s="2" t="s">
        <v>31</v>
      </c>
      <c r="F125" s="2" t="s">
        <v>32</v>
      </c>
      <c r="G125" s="2" t="s">
        <v>33</v>
      </c>
      <c r="H125" s="2" t="s">
        <v>158</v>
      </c>
      <c r="I125" s="13">
        <v>1</v>
      </c>
      <c r="J125" s="10">
        <v>0</v>
      </c>
      <c r="K125" s="10">
        <f t="shared" si="3"/>
        <v>0</v>
      </c>
      <c r="L125" s="2">
        <v>0.1</v>
      </c>
      <c r="M125" s="2" t="s">
        <v>41</v>
      </c>
      <c r="N125" s="2" t="s">
        <v>18</v>
      </c>
    </row>
    <row r="126" spans="1:14" x14ac:dyDescent="0.2">
      <c r="A126" s="13">
        <v>101795</v>
      </c>
      <c r="B126" s="5">
        <v>45318</v>
      </c>
      <c r="C126" s="5" t="str">
        <f t="shared" si="2"/>
        <v>Jan</v>
      </c>
      <c r="D126" s="2" t="s">
        <v>253</v>
      </c>
      <c r="E126" s="2" t="s">
        <v>37</v>
      </c>
      <c r="F126" s="2" t="s">
        <v>69</v>
      </c>
      <c r="G126" s="2" t="s">
        <v>50</v>
      </c>
      <c r="H126" s="2" t="s">
        <v>51</v>
      </c>
      <c r="I126" s="13">
        <v>9</v>
      </c>
      <c r="J126" s="10">
        <v>4901.8900000000003</v>
      </c>
      <c r="K126" s="10">
        <f t="shared" si="3"/>
        <v>44117.01</v>
      </c>
      <c r="L126" s="2">
        <v>0.05</v>
      </c>
      <c r="M126" s="2" t="s">
        <v>17</v>
      </c>
      <c r="N126" s="2" t="s">
        <v>121</v>
      </c>
    </row>
    <row r="127" spans="1:14" x14ac:dyDescent="0.2">
      <c r="A127" s="13">
        <v>100205</v>
      </c>
      <c r="B127" s="5">
        <v>45520</v>
      </c>
      <c r="C127" s="5" t="str">
        <f t="shared" si="2"/>
        <v>Aug</v>
      </c>
      <c r="D127" s="2" t="s">
        <v>255</v>
      </c>
      <c r="E127" s="2" t="s">
        <v>31</v>
      </c>
      <c r="F127" s="2" t="s">
        <v>32</v>
      </c>
      <c r="G127" s="2" t="s">
        <v>22</v>
      </c>
      <c r="H127" s="2" t="s">
        <v>145</v>
      </c>
      <c r="I127" s="13">
        <v>12</v>
      </c>
      <c r="J127" s="10">
        <v>1899.66</v>
      </c>
      <c r="K127" s="10">
        <f t="shared" si="3"/>
        <v>22795.920000000002</v>
      </c>
      <c r="L127" s="2">
        <v>0</v>
      </c>
      <c r="M127" s="2" t="s">
        <v>66</v>
      </c>
      <c r="N127" s="2" t="s">
        <v>143</v>
      </c>
    </row>
    <row r="128" spans="1:14" x14ac:dyDescent="0.2">
      <c r="A128" s="13">
        <v>101737</v>
      </c>
      <c r="B128" s="5">
        <v>45549</v>
      </c>
      <c r="C128" s="5" t="str">
        <f t="shared" si="2"/>
        <v>Sep</v>
      </c>
      <c r="D128" s="2" t="s">
        <v>256</v>
      </c>
      <c r="E128" s="2" t="s">
        <v>37</v>
      </c>
      <c r="F128" s="2" t="s">
        <v>38</v>
      </c>
      <c r="G128" s="2" t="s">
        <v>33</v>
      </c>
      <c r="H128" s="2" t="s">
        <v>34</v>
      </c>
      <c r="I128" s="13">
        <v>3</v>
      </c>
      <c r="J128" s="10">
        <v>223.57</v>
      </c>
      <c r="K128" s="10">
        <f t="shared" si="3"/>
        <v>670.71</v>
      </c>
      <c r="L128" s="2">
        <v>0</v>
      </c>
      <c r="M128" s="2" t="s">
        <v>17</v>
      </c>
      <c r="N128" s="2" t="s">
        <v>35</v>
      </c>
    </row>
    <row r="129" spans="1:14" x14ac:dyDescent="0.2">
      <c r="A129" s="13">
        <v>101153</v>
      </c>
      <c r="B129" s="5">
        <v>45648</v>
      </c>
      <c r="C129" s="5" t="str">
        <f t="shared" si="2"/>
        <v>Dec</v>
      </c>
      <c r="D129" s="2" t="s">
        <v>257</v>
      </c>
      <c r="E129" s="2" t="s">
        <v>31</v>
      </c>
      <c r="F129" s="2" t="s">
        <v>32</v>
      </c>
      <c r="G129" s="2" t="s">
        <v>106</v>
      </c>
      <c r="H129" s="2" t="s">
        <v>137</v>
      </c>
      <c r="I129" s="13">
        <v>8</v>
      </c>
      <c r="J129" s="10">
        <v>1657.31</v>
      </c>
      <c r="K129" s="10">
        <f t="shared" si="3"/>
        <v>13258.48</v>
      </c>
      <c r="L129" s="2">
        <v>0</v>
      </c>
      <c r="M129" s="2" t="s">
        <v>66</v>
      </c>
      <c r="N129" s="2" t="s">
        <v>18</v>
      </c>
    </row>
    <row r="130" spans="1:14" x14ac:dyDescent="0.2">
      <c r="A130" s="13">
        <v>101562</v>
      </c>
      <c r="B130" s="5">
        <v>45499</v>
      </c>
      <c r="C130" s="5" t="str">
        <f t="shared" ref="C130:C193" si="4">TEXT(B130,"mmm")</f>
        <v>Jul</v>
      </c>
      <c r="D130" s="2" t="s">
        <v>258</v>
      </c>
      <c r="E130" s="2" t="s">
        <v>27</v>
      </c>
      <c r="F130" s="2" t="s">
        <v>133</v>
      </c>
      <c r="G130" s="2" t="s">
        <v>64</v>
      </c>
      <c r="H130" s="2" t="s">
        <v>40</v>
      </c>
      <c r="I130" s="13">
        <v>1</v>
      </c>
      <c r="J130" s="10">
        <v>57.63</v>
      </c>
      <c r="K130" s="10">
        <f t="shared" ref="K130:K193" si="5">I130*J130</f>
        <v>57.63</v>
      </c>
      <c r="L130" s="2">
        <v>0</v>
      </c>
      <c r="M130" s="2" t="s">
        <v>24</v>
      </c>
      <c r="N130" s="2" t="s">
        <v>143</v>
      </c>
    </row>
    <row r="131" spans="1:14" x14ac:dyDescent="0.2">
      <c r="A131" s="13">
        <v>100263</v>
      </c>
      <c r="B131" s="5">
        <v>45379</v>
      </c>
      <c r="C131" s="5" t="str">
        <f t="shared" si="4"/>
        <v>Mar</v>
      </c>
      <c r="D131" s="2" t="s">
        <v>259</v>
      </c>
      <c r="E131" s="2" t="s">
        <v>27</v>
      </c>
      <c r="F131" s="2" t="s">
        <v>21</v>
      </c>
      <c r="G131" s="2" t="s">
        <v>50</v>
      </c>
      <c r="H131" s="2" t="s">
        <v>99</v>
      </c>
      <c r="I131" s="13">
        <v>6</v>
      </c>
      <c r="J131" s="10">
        <v>5252.05</v>
      </c>
      <c r="K131" s="10">
        <f t="shared" si="5"/>
        <v>31512.300000000003</v>
      </c>
      <c r="L131" s="2">
        <v>0.25</v>
      </c>
      <c r="M131" s="2" t="s">
        <v>41</v>
      </c>
      <c r="N131" s="2" t="s">
        <v>25</v>
      </c>
    </row>
    <row r="132" spans="1:14" x14ac:dyDescent="0.2">
      <c r="A132" s="13">
        <v>100638</v>
      </c>
      <c r="B132" s="5">
        <v>45488</v>
      </c>
      <c r="C132" s="5" t="str">
        <f t="shared" si="4"/>
        <v>Jul</v>
      </c>
      <c r="D132" s="2" t="s">
        <v>1070</v>
      </c>
      <c r="E132" s="2" t="s">
        <v>37</v>
      </c>
      <c r="F132" s="2" t="s">
        <v>69</v>
      </c>
      <c r="G132" s="2" t="s">
        <v>15</v>
      </c>
      <c r="H132" s="2" t="s">
        <v>152</v>
      </c>
      <c r="I132" s="13">
        <v>10</v>
      </c>
      <c r="J132" s="10">
        <v>14485.06</v>
      </c>
      <c r="K132" s="10">
        <f t="shared" si="5"/>
        <v>144850.6</v>
      </c>
      <c r="L132" s="2">
        <v>0.15</v>
      </c>
      <c r="M132" s="2" t="s">
        <v>17</v>
      </c>
      <c r="N132" s="2" t="s">
        <v>25</v>
      </c>
    </row>
    <row r="133" spans="1:14" x14ac:dyDescent="0.2">
      <c r="A133" s="13">
        <v>101181</v>
      </c>
      <c r="B133" s="5">
        <v>45587</v>
      </c>
      <c r="C133" s="5" t="str">
        <f t="shared" si="4"/>
        <v>Oct</v>
      </c>
      <c r="D133" s="2" t="s">
        <v>1071</v>
      </c>
      <c r="E133" s="2" t="s">
        <v>37</v>
      </c>
      <c r="F133" s="2" t="s">
        <v>69</v>
      </c>
      <c r="G133" s="2" t="s">
        <v>50</v>
      </c>
      <c r="H133" s="2" t="s">
        <v>51</v>
      </c>
      <c r="I133" s="13">
        <v>9</v>
      </c>
      <c r="J133" s="10">
        <v>6108.8</v>
      </c>
      <c r="K133" s="10">
        <f t="shared" si="5"/>
        <v>54979.200000000004</v>
      </c>
      <c r="L133" s="2">
        <v>0</v>
      </c>
      <c r="M133" s="2" t="s">
        <v>24</v>
      </c>
      <c r="N133" s="2" t="s">
        <v>121</v>
      </c>
    </row>
    <row r="134" spans="1:14" x14ac:dyDescent="0.2">
      <c r="A134" s="13">
        <v>101204</v>
      </c>
      <c r="B134" s="5">
        <v>45303</v>
      </c>
      <c r="C134" s="5" t="str">
        <f t="shared" si="4"/>
        <v>Jan</v>
      </c>
      <c r="D134" s="2" t="s">
        <v>262</v>
      </c>
      <c r="E134" s="2" t="s">
        <v>27</v>
      </c>
      <c r="F134" s="2" t="s">
        <v>133</v>
      </c>
      <c r="G134" s="2" t="s">
        <v>45</v>
      </c>
      <c r="H134" s="2" t="s">
        <v>111</v>
      </c>
      <c r="I134" s="13">
        <v>11</v>
      </c>
      <c r="J134" s="10">
        <v>10326.94</v>
      </c>
      <c r="K134" s="10">
        <f t="shared" si="5"/>
        <v>113596.34000000001</v>
      </c>
      <c r="L134" s="2">
        <v>0.05</v>
      </c>
      <c r="M134" s="2" t="s">
        <v>17</v>
      </c>
      <c r="N134" s="2" t="s">
        <v>143</v>
      </c>
    </row>
    <row r="135" spans="1:14" x14ac:dyDescent="0.2">
      <c r="A135" s="13">
        <v>100489</v>
      </c>
      <c r="B135" s="5">
        <v>45462</v>
      </c>
      <c r="C135" s="5" t="str">
        <f t="shared" si="4"/>
        <v>Jun</v>
      </c>
      <c r="D135" s="2" t="s">
        <v>264</v>
      </c>
      <c r="E135" s="2" t="s">
        <v>61</v>
      </c>
      <c r="F135" s="2" t="s">
        <v>119</v>
      </c>
      <c r="G135" s="2" t="s">
        <v>45</v>
      </c>
      <c r="H135" s="2" t="s">
        <v>97</v>
      </c>
      <c r="I135" s="13">
        <v>12</v>
      </c>
      <c r="J135" s="10">
        <v>40988.54</v>
      </c>
      <c r="K135" s="10">
        <f t="shared" si="5"/>
        <v>491862.48</v>
      </c>
      <c r="L135" s="2">
        <v>0</v>
      </c>
      <c r="M135" s="2" t="s">
        <v>41</v>
      </c>
      <c r="N135" s="2" t="s">
        <v>121</v>
      </c>
    </row>
    <row r="136" spans="1:14" x14ac:dyDescent="0.2">
      <c r="A136" s="13">
        <v>101548</v>
      </c>
      <c r="B136" s="5">
        <v>45449</v>
      </c>
      <c r="C136" s="5" t="str">
        <f t="shared" si="4"/>
        <v>Jun</v>
      </c>
      <c r="D136" s="2" t="s">
        <v>200</v>
      </c>
      <c r="E136" s="2" t="s">
        <v>27</v>
      </c>
      <c r="F136" s="2" t="s">
        <v>21</v>
      </c>
      <c r="G136" s="2" t="s">
        <v>33</v>
      </c>
      <c r="H136" s="2" t="s">
        <v>93</v>
      </c>
      <c r="I136" s="13">
        <v>2</v>
      </c>
      <c r="J136" s="10">
        <v>0</v>
      </c>
      <c r="K136" s="10">
        <f t="shared" si="5"/>
        <v>0</v>
      </c>
      <c r="L136" s="2">
        <v>0.15</v>
      </c>
      <c r="M136" s="2" t="s">
        <v>66</v>
      </c>
      <c r="N136" s="2" t="s">
        <v>121</v>
      </c>
    </row>
    <row r="137" spans="1:14" x14ac:dyDescent="0.2">
      <c r="A137" s="13">
        <v>100008</v>
      </c>
      <c r="B137" s="5">
        <v>45400</v>
      </c>
      <c r="C137" s="5" t="str">
        <f t="shared" si="4"/>
        <v>Apr</v>
      </c>
      <c r="D137" s="2" t="s">
        <v>176</v>
      </c>
      <c r="E137" s="2" t="s">
        <v>140</v>
      </c>
      <c r="F137" s="2" t="s">
        <v>79</v>
      </c>
      <c r="G137" s="2" t="s">
        <v>45</v>
      </c>
      <c r="H137" s="2" t="s">
        <v>149</v>
      </c>
      <c r="I137" s="13">
        <v>11</v>
      </c>
      <c r="J137" s="10">
        <v>44042.33</v>
      </c>
      <c r="K137" s="10">
        <f t="shared" si="5"/>
        <v>484465.63</v>
      </c>
      <c r="L137" s="2">
        <v>0.1</v>
      </c>
      <c r="M137" s="2" t="s">
        <v>29</v>
      </c>
      <c r="N137" s="2" t="s">
        <v>18</v>
      </c>
    </row>
    <row r="138" spans="1:14" x14ac:dyDescent="0.2">
      <c r="A138" s="13">
        <v>101426</v>
      </c>
      <c r="B138" s="5">
        <v>45320</v>
      </c>
      <c r="C138" s="5" t="str">
        <f t="shared" si="4"/>
        <v>Jan</v>
      </c>
      <c r="D138" s="2" t="s">
        <v>266</v>
      </c>
      <c r="E138" s="2" t="s">
        <v>31</v>
      </c>
      <c r="F138" s="2" t="s">
        <v>54</v>
      </c>
      <c r="G138" s="2" t="s">
        <v>50</v>
      </c>
      <c r="H138" s="2" t="s">
        <v>62</v>
      </c>
      <c r="I138" s="13">
        <v>12</v>
      </c>
      <c r="J138" s="10">
        <v>0</v>
      </c>
      <c r="K138" s="10">
        <f t="shared" si="5"/>
        <v>0</v>
      </c>
      <c r="L138" s="2">
        <v>0</v>
      </c>
      <c r="M138" s="2" t="s">
        <v>24</v>
      </c>
      <c r="N138" s="2" t="s">
        <v>25</v>
      </c>
    </row>
    <row r="139" spans="1:14" x14ac:dyDescent="0.2">
      <c r="A139" s="13">
        <v>100721</v>
      </c>
      <c r="B139" s="5">
        <v>45482</v>
      </c>
      <c r="C139" s="5" t="str">
        <f t="shared" si="4"/>
        <v>Jul</v>
      </c>
      <c r="D139" s="2" t="s">
        <v>267</v>
      </c>
      <c r="E139" s="2" t="s">
        <v>27</v>
      </c>
      <c r="F139" s="2" t="s">
        <v>133</v>
      </c>
      <c r="G139" s="2" t="s">
        <v>64</v>
      </c>
      <c r="H139" s="2" t="s">
        <v>165</v>
      </c>
      <c r="I139" s="13">
        <v>8</v>
      </c>
      <c r="J139" s="10">
        <v>219.25</v>
      </c>
      <c r="K139" s="10">
        <f t="shared" si="5"/>
        <v>1754</v>
      </c>
      <c r="L139" s="2">
        <v>0</v>
      </c>
      <c r="M139" s="2" t="s">
        <v>41</v>
      </c>
      <c r="N139" s="2" t="s">
        <v>121</v>
      </c>
    </row>
    <row r="140" spans="1:14" x14ac:dyDescent="0.2">
      <c r="A140" s="13">
        <v>101512</v>
      </c>
      <c r="B140" s="5">
        <v>45619</v>
      </c>
      <c r="C140" s="5" t="str">
        <f t="shared" si="4"/>
        <v>Nov</v>
      </c>
      <c r="D140" s="2" t="s">
        <v>270</v>
      </c>
      <c r="E140" s="2" t="s">
        <v>61</v>
      </c>
      <c r="F140" s="2" t="s">
        <v>14</v>
      </c>
      <c r="G140" s="2" t="s">
        <v>15</v>
      </c>
      <c r="H140" s="2" t="s">
        <v>59</v>
      </c>
      <c r="I140" s="13">
        <v>10</v>
      </c>
      <c r="J140" s="10">
        <v>3328.43</v>
      </c>
      <c r="K140" s="10">
        <f t="shared" si="5"/>
        <v>33284.299999999996</v>
      </c>
      <c r="L140" s="2">
        <v>0.2</v>
      </c>
      <c r="M140" s="2" t="s">
        <v>83</v>
      </c>
      <c r="N140" s="2" t="s">
        <v>52</v>
      </c>
    </row>
    <row r="141" spans="1:14" x14ac:dyDescent="0.2">
      <c r="A141" s="13">
        <v>101830</v>
      </c>
      <c r="B141" s="5">
        <v>45372</v>
      </c>
      <c r="C141" s="5" t="str">
        <f t="shared" si="4"/>
        <v>Mar</v>
      </c>
      <c r="D141" s="2" t="s">
        <v>271</v>
      </c>
      <c r="E141" s="2" t="s">
        <v>37</v>
      </c>
      <c r="F141" s="2" t="s">
        <v>69</v>
      </c>
      <c r="G141" s="2" t="s">
        <v>50</v>
      </c>
      <c r="H141" s="2" t="s">
        <v>56</v>
      </c>
      <c r="I141" s="13">
        <v>1</v>
      </c>
      <c r="J141" s="10">
        <v>0</v>
      </c>
      <c r="K141" s="10">
        <f t="shared" si="5"/>
        <v>0</v>
      </c>
      <c r="L141" s="2">
        <v>0</v>
      </c>
      <c r="M141" s="2" t="s">
        <v>83</v>
      </c>
      <c r="N141" s="2" t="s">
        <v>52</v>
      </c>
    </row>
    <row r="142" spans="1:14" x14ac:dyDescent="0.2">
      <c r="A142" s="13">
        <v>100021</v>
      </c>
      <c r="B142" s="5">
        <v>45447</v>
      </c>
      <c r="C142" s="5" t="str">
        <f t="shared" si="4"/>
        <v>Jun</v>
      </c>
      <c r="D142" s="2" t="s">
        <v>272</v>
      </c>
      <c r="E142" s="2" t="s">
        <v>31</v>
      </c>
      <c r="F142" s="2" t="s">
        <v>54</v>
      </c>
      <c r="G142" s="2" t="s">
        <v>33</v>
      </c>
      <c r="H142" s="2" t="s">
        <v>158</v>
      </c>
      <c r="I142" s="13">
        <v>12</v>
      </c>
      <c r="J142" s="10">
        <v>139.35</v>
      </c>
      <c r="K142" s="10">
        <f t="shared" si="5"/>
        <v>1672.1999999999998</v>
      </c>
      <c r="L142" s="2">
        <v>0.1</v>
      </c>
      <c r="M142" s="2" t="s">
        <v>83</v>
      </c>
      <c r="N142" s="2" t="s">
        <v>35</v>
      </c>
    </row>
    <row r="143" spans="1:14" x14ac:dyDescent="0.2">
      <c r="A143" s="13">
        <v>101377</v>
      </c>
      <c r="B143" s="5">
        <v>45348</v>
      </c>
      <c r="C143" s="5" t="str">
        <f t="shared" si="4"/>
        <v>Feb</v>
      </c>
      <c r="D143" s="2" t="s">
        <v>273</v>
      </c>
      <c r="E143" s="2" t="s">
        <v>37</v>
      </c>
      <c r="F143" s="2" t="s">
        <v>69</v>
      </c>
      <c r="G143" s="2" t="s">
        <v>106</v>
      </c>
      <c r="H143" s="2" t="s">
        <v>156</v>
      </c>
      <c r="I143" s="13">
        <v>2</v>
      </c>
      <c r="J143" s="10">
        <v>1657.86</v>
      </c>
      <c r="K143" s="10">
        <f t="shared" si="5"/>
        <v>3315.72</v>
      </c>
      <c r="L143" s="2">
        <v>0</v>
      </c>
      <c r="M143" s="2" t="s">
        <v>83</v>
      </c>
      <c r="N143" s="2" t="s">
        <v>87</v>
      </c>
    </row>
    <row r="144" spans="1:14" x14ac:dyDescent="0.2">
      <c r="A144" s="13">
        <v>100432</v>
      </c>
      <c r="B144" s="5">
        <v>45514</v>
      </c>
      <c r="C144" s="5" t="str">
        <f t="shared" si="4"/>
        <v>Aug</v>
      </c>
      <c r="D144" s="2" t="s">
        <v>237</v>
      </c>
      <c r="E144" s="2" t="s">
        <v>31</v>
      </c>
      <c r="F144" s="2" t="s">
        <v>54</v>
      </c>
      <c r="G144" s="2" t="s">
        <v>22</v>
      </c>
      <c r="H144" s="2" t="s">
        <v>75</v>
      </c>
      <c r="I144" s="13">
        <v>8</v>
      </c>
      <c r="J144" s="10">
        <v>3165.8</v>
      </c>
      <c r="K144" s="10">
        <f t="shared" si="5"/>
        <v>25326.400000000001</v>
      </c>
      <c r="L144" s="2">
        <v>0</v>
      </c>
      <c r="M144" s="2" t="s">
        <v>17</v>
      </c>
      <c r="N144" s="2" t="s">
        <v>25</v>
      </c>
    </row>
    <row r="145" spans="1:14" x14ac:dyDescent="0.2">
      <c r="A145" s="13">
        <v>101578</v>
      </c>
      <c r="B145" s="5">
        <v>45588</v>
      </c>
      <c r="C145" s="5" t="str">
        <f t="shared" si="4"/>
        <v>Oct</v>
      </c>
      <c r="D145" s="2" t="s">
        <v>274</v>
      </c>
      <c r="E145" s="2" t="s">
        <v>140</v>
      </c>
      <c r="F145" s="2" t="s">
        <v>49</v>
      </c>
      <c r="G145" s="2" t="s">
        <v>50</v>
      </c>
      <c r="H145" s="2" t="s">
        <v>99</v>
      </c>
      <c r="I145" s="13">
        <v>6</v>
      </c>
      <c r="J145" s="10">
        <v>3130.25</v>
      </c>
      <c r="K145" s="10">
        <f t="shared" si="5"/>
        <v>18781.5</v>
      </c>
      <c r="L145" s="2">
        <v>0</v>
      </c>
      <c r="M145" s="2" t="s">
        <v>41</v>
      </c>
      <c r="N145" s="2" t="s">
        <v>42</v>
      </c>
    </row>
    <row r="146" spans="1:14" x14ac:dyDescent="0.2">
      <c r="A146" s="13">
        <v>100717</v>
      </c>
      <c r="B146" s="5">
        <v>45460</v>
      </c>
      <c r="C146" s="5" t="str">
        <f t="shared" si="4"/>
        <v>Jun</v>
      </c>
      <c r="D146" s="2" t="s">
        <v>180</v>
      </c>
      <c r="E146" s="2" t="s">
        <v>61</v>
      </c>
      <c r="F146" s="2" t="s">
        <v>14</v>
      </c>
      <c r="G146" s="2" t="s">
        <v>106</v>
      </c>
      <c r="H146" s="2" t="s">
        <v>135</v>
      </c>
      <c r="I146" s="13">
        <v>7</v>
      </c>
      <c r="J146" s="10">
        <v>3618.7</v>
      </c>
      <c r="K146" s="10">
        <f t="shared" si="5"/>
        <v>25330.899999999998</v>
      </c>
      <c r="L146" s="2">
        <v>0.05</v>
      </c>
      <c r="M146" s="2" t="s">
        <v>29</v>
      </c>
      <c r="N146" s="2" t="s">
        <v>52</v>
      </c>
    </row>
    <row r="147" spans="1:14" x14ac:dyDescent="0.2">
      <c r="A147" s="13">
        <v>100833</v>
      </c>
      <c r="B147" s="5">
        <v>45326</v>
      </c>
      <c r="C147" s="5" t="str">
        <f t="shared" si="4"/>
        <v>Feb</v>
      </c>
      <c r="D147" s="2" t="s">
        <v>221</v>
      </c>
      <c r="E147" s="2" t="s">
        <v>27</v>
      </c>
      <c r="F147" s="2" t="s">
        <v>21</v>
      </c>
      <c r="G147" s="2" t="s">
        <v>15</v>
      </c>
      <c r="H147" s="2" t="s">
        <v>59</v>
      </c>
      <c r="I147" s="13">
        <v>8</v>
      </c>
      <c r="J147" s="10">
        <v>6164.01</v>
      </c>
      <c r="K147" s="10">
        <f t="shared" si="5"/>
        <v>49312.08</v>
      </c>
      <c r="L147" s="2">
        <v>0.2</v>
      </c>
      <c r="M147" s="2" t="s">
        <v>41</v>
      </c>
      <c r="N147" s="2" t="s">
        <v>87</v>
      </c>
    </row>
    <row r="148" spans="1:14" x14ac:dyDescent="0.2">
      <c r="A148" s="13">
        <v>101829</v>
      </c>
      <c r="B148" s="5">
        <v>45406</v>
      </c>
      <c r="C148" s="5" t="str">
        <f t="shared" si="4"/>
        <v>Apr</v>
      </c>
      <c r="D148" s="2" t="s">
        <v>276</v>
      </c>
      <c r="E148" s="2" t="s">
        <v>27</v>
      </c>
      <c r="F148" s="2" t="s">
        <v>133</v>
      </c>
      <c r="G148" s="2" t="s">
        <v>45</v>
      </c>
      <c r="H148" s="2" t="s">
        <v>97</v>
      </c>
      <c r="I148" s="13">
        <v>4</v>
      </c>
      <c r="J148" s="10">
        <v>30450.53</v>
      </c>
      <c r="K148" s="10">
        <f t="shared" si="5"/>
        <v>121802.12</v>
      </c>
      <c r="L148" s="2">
        <v>0.15</v>
      </c>
      <c r="M148" s="2" t="s">
        <v>29</v>
      </c>
      <c r="N148" s="2" t="s">
        <v>25</v>
      </c>
    </row>
    <row r="149" spans="1:14" x14ac:dyDescent="0.2">
      <c r="A149" s="13">
        <v>101428</v>
      </c>
      <c r="B149" s="5">
        <v>45435</v>
      </c>
      <c r="C149" s="5" t="str">
        <f t="shared" si="4"/>
        <v>May</v>
      </c>
      <c r="D149" s="2" t="s">
        <v>278</v>
      </c>
      <c r="E149" s="2" t="s">
        <v>37</v>
      </c>
      <c r="F149" s="2" t="s">
        <v>38</v>
      </c>
      <c r="G149" s="2" t="s">
        <v>64</v>
      </c>
      <c r="H149" s="2" t="s">
        <v>242</v>
      </c>
      <c r="I149" s="13">
        <v>9</v>
      </c>
      <c r="J149" s="10">
        <v>197.34</v>
      </c>
      <c r="K149" s="10">
        <f t="shared" si="5"/>
        <v>1776.06</v>
      </c>
      <c r="L149" s="2">
        <v>0.05</v>
      </c>
      <c r="M149" s="2" t="s">
        <v>83</v>
      </c>
      <c r="N149" s="2" t="s">
        <v>35</v>
      </c>
    </row>
    <row r="150" spans="1:14" x14ac:dyDescent="0.2">
      <c r="A150" s="13">
        <v>101095</v>
      </c>
      <c r="B150" s="5">
        <v>45499</v>
      </c>
      <c r="C150" s="5" t="str">
        <f t="shared" si="4"/>
        <v>Jul</v>
      </c>
      <c r="D150" s="2" t="s">
        <v>280</v>
      </c>
      <c r="E150" s="2" t="s">
        <v>31</v>
      </c>
      <c r="F150" s="2" t="s">
        <v>32</v>
      </c>
      <c r="G150" s="2" t="s">
        <v>64</v>
      </c>
      <c r="H150" s="2" t="s">
        <v>40</v>
      </c>
      <c r="I150" s="13"/>
      <c r="J150" s="10">
        <v>0</v>
      </c>
      <c r="K150" s="10">
        <f t="shared" si="5"/>
        <v>0</v>
      </c>
      <c r="L150" s="2">
        <v>0</v>
      </c>
      <c r="M150" s="2" t="s">
        <v>24</v>
      </c>
      <c r="N150" s="2" t="s">
        <v>52</v>
      </c>
    </row>
    <row r="151" spans="1:14" x14ac:dyDescent="0.2">
      <c r="A151" s="13">
        <v>100541</v>
      </c>
      <c r="B151" s="5">
        <v>45509</v>
      </c>
      <c r="C151" s="5" t="str">
        <f t="shared" si="4"/>
        <v>Aug</v>
      </c>
      <c r="D151" s="2" t="s">
        <v>281</v>
      </c>
      <c r="E151" s="2" t="s">
        <v>140</v>
      </c>
      <c r="F151" s="2" t="s">
        <v>79</v>
      </c>
      <c r="G151" s="2" t="s">
        <v>50</v>
      </c>
      <c r="H151" s="2" t="s">
        <v>51</v>
      </c>
      <c r="I151" s="13">
        <v>8</v>
      </c>
      <c r="J151" s="10">
        <v>6447.95</v>
      </c>
      <c r="K151" s="10">
        <f t="shared" si="5"/>
        <v>51583.6</v>
      </c>
      <c r="L151" s="2">
        <v>0</v>
      </c>
      <c r="M151" s="2" t="s">
        <v>29</v>
      </c>
      <c r="N151" s="2" t="s">
        <v>87</v>
      </c>
    </row>
    <row r="152" spans="1:14" x14ac:dyDescent="0.2">
      <c r="A152" s="13">
        <v>100789</v>
      </c>
      <c r="B152" s="5">
        <v>45621</v>
      </c>
      <c r="C152" s="5" t="str">
        <f t="shared" si="4"/>
        <v>Nov</v>
      </c>
      <c r="D152" s="2" t="s">
        <v>282</v>
      </c>
      <c r="E152" s="2" t="s">
        <v>140</v>
      </c>
      <c r="F152" s="2" t="s">
        <v>49</v>
      </c>
      <c r="G152" s="2" t="s">
        <v>45</v>
      </c>
      <c r="H152" s="2" t="s">
        <v>149</v>
      </c>
      <c r="I152" s="13">
        <v>5</v>
      </c>
      <c r="J152" s="10">
        <v>39888.31</v>
      </c>
      <c r="K152" s="10">
        <f t="shared" si="5"/>
        <v>199441.55</v>
      </c>
      <c r="L152" s="2">
        <v>0.05</v>
      </c>
      <c r="M152" s="2" t="s">
        <v>41</v>
      </c>
      <c r="N152" s="2" t="s">
        <v>18</v>
      </c>
    </row>
    <row r="153" spans="1:14" x14ac:dyDescent="0.2">
      <c r="A153" s="13">
        <v>101006</v>
      </c>
      <c r="B153" s="5">
        <v>45419</v>
      </c>
      <c r="C153" s="5" t="str">
        <f t="shared" si="4"/>
        <v>May</v>
      </c>
      <c r="D153" s="2" t="s">
        <v>1069</v>
      </c>
      <c r="E153" s="2" t="s">
        <v>61</v>
      </c>
      <c r="F153" s="2" t="s">
        <v>14</v>
      </c>
      <c r="G153" s="2" t="s">
        <v>22</v>
      </c>
      <c r="H153" s="2" t="s">
        <v>75</v>
      </c>
      <c r="I153" s="13">
        <v>6</v>
      </c>
      <c r="J153" s="10">
        <v>461.76</v>
      </c>
      <c r="K153" s="10">
        <f t="shared" si="5"/>
        <v>2770.56</v>
      </c>
      <c r="L153" s="2">
        <v>0</v>
      </c>
      <c r="M153" s="2" t="s">
        <v>24</v>
      </c>
      <c r="N153" s="2" t="s">
        <v>52</v>
      </c>
    </row>
    <row r="154" spans="1:14" x14ac:dyDescent="0.2">
      <c r="A154" s="13">
        <v>100673</v>
      </c>
      <c r="B154" s="5">
        <v>45325</v>
      </c>
      <c r="C154" s="5" t="str">
        <f t="shared" si="4"/>
        <v>Feb</v>
      </c>
      <c r="D154" s="2" t="s">
        <v>284</v>
      </c>
      <c r="E154" s="2" t="s">
        <v>61</v>
      </c>
      <c r="F154" s="2" t="s">
        <v>14</v>
      </c>
      <c r="G154" s="2" t="s">
        <v>15</v>
      </c>
      <c r="H154" s="2" t="s">
        <v>59</v>
      </c>
      <c r="I154" s="13">
        <v>9</v>
      </c>
      <c r="J154" s="10">
        <v>7562.17</v>
      </c>
      <c r="K154" s="10">
        <f t="shared" si="5"/>
        <v>68059.53</v>
      </c>
      <c r="L154" s="2">
        <v>0</v>
      </c>
      <c r="M154" s="2" t="s">
        <v>41</v>
      </c>
      <c r="N154" s="2" t="s">
        <v>25</v>
      </c>
    </row>
    <row r="155" spans="1:14" x14ac:dyDescent="0.2">
      <c r="A155" s="13">
        <v>100572</v>
      </c>
      <c r="B155" s="5">
        <v>45529</v>
      </c>
      <c r="C155" s="5" t="str">
        <f t="shared" si="4"/>
        <v>Aug</v>
      </c>
      <c r="D155" s="2" t="s">
        <v>286</v>
      </c>
      <c r="E155" s="2" t="s">
        <v>61</v>
      </c>
      <c r="F155" s="2" t="s">
        <v>119</v>
      </c>
      <c r="G155" s="2" t="s">
        <v>50</v>
      </c>
      <c r="H155" s="2" t="s">
        <v>62</v>
      </c>
      <c r="I155" s="13">
        <v>3</v>
      </c>
      <c r="J155" s="10">
        <v>9300.7900000000009</v>
      </c>
      <c r="K155" s="10">
        <f t="shared" si="5"/>
        <v>27902.370000000003</v>
      </c>
      <c r="L155" s="2">
        <v>0.1</v>
      </c>
      <c r="M155" s="2" t="s">
        <v>24</v>
      </c>
      <c r="N155" s="2" t="s">
        <v>25</v>
      </c>
    </row>
    <row r="156" spans="1:14" x14ac:dyDescent="0.2">
      <c r="A156" s="13">
        <v>101605</v>
      </c>
      <c r="B156" s="5">
        <v>45543</v>
      </c>
      <c r="C156" s="5" t="str">
        <f t="shared" si="4"/>
        <v>Sep</v>
      </c>
      <c r="D156" s="2" t="s">
        <v>287</v>
      </c>
      <c r="E156" s="2" t="s">
        <v>37</v>
      </c>
      <c r="F156" s="2" t="s">
        <v>38</v>
      </c>
      <c r="G156" s="2" t="s">
        <v>33</v>
      </c>
      <c r="H156" s="2" t="s">
        <v>158</v>
      </c>
      <c r="I156" s="13">
        <v>7</v>
      </c>
      <c r="J156" s="10">
        <v>532.14</v>
      </c>
      <c r="K156" s="10">
        <f t="shared" si="5"/>
        <v>3724.98</v>
      </c>
      <c r="L156" s="2">
        <v>0</v>
      </c>
      <c r="M156" s="2" t="s">
        <v>29</v>
      </c>
      <c r="N156" s="2" t="s">
        <v>87</v>
      </c>
    </row>
    <row r="157" spans="1:14" x14ac:dyDescent="0.2">
      <c r="A157" s="13">
        <v>101969</v>
      </c>
      <c r="B157" s="5">
        <v>45344</v>
      </c>
      <c r="C157" s="5" t="str">
        <f t="shared" si="4"/>
        <v>Feb</v>
      </c>
      <c r="D157" s="2" t="s">
        <v>288</v>
      </c>
      <c r="E157" s="2" t="s">
        <v>27</v>
      </c>
      <c r="F157" s="2" t="s">
        <v>21</v>
      </c>
      <c r="G157" s="2" t="s">
        <v>33</v>
      </c>
      <c r="H157" s="2" t="s">
        <v>93</v>
      </c>
      <c r="I157" s="13">
        <v>1</v>
      </c>
      <c r="J157" s="10">
        <v>155.63</v>
      </c>
      <c r="K157" s="10">
        <f t="shared" si="5"/>
        <v>155.63</v>
      </c>
      <c r="L157" s="2">
        <v>0</v>
      </c>
      <c r="M157" s="2" t="s">
        <v>17</v>
      </c>
      <c r="N157" s="2" t="s">
        <v>42</v>
      </c>
    </row>
    <row r="158" spans="1:14" x14ac:dyDescent="0.2">
      <c r="A158" s="13">
        <v>100928</v>
      </c>
      <c r="B158" s="5">
        <v>45485</v>
      </c>
      <c r="C158" s="5" t="str">
        <f t="shared" si="4"/>
        <v>Jul</v>
      </c>
      <c r="D158" s="2" t="s">
        <v>782</v>
      </c>
      <c r="E158" s="2" t="s">
        <v>61</v>
      </c>
      <c r="F158" s="2" t="s">
        <v>119</v>
      </c>
      <c r="G158" s="2" t="s">
        <v>64</v>
      </c>
      <c r="H158" s="2" t="s">
        <v>40</v>
      </c>
      <c r="I158" s="13">
        <v>3</v>
      </c>
      <c r="J158" s="10">
        <v>618.12</v>
      </c>
      <c r="K158" s="10">
        <f t="shared" si="5"/>
        <v>1854.3600000000001</v>
      </c>
      <c r="L158" s="2">
        <v>0</v>
      </c>
      <c r="M158" s="2" t="s">
        <v>29</v>
      </c>
      <c r="N158" s="2" t="s">
        <v>18</v>
      </c>
    </row>
    <row r="159" spans="1:14" x14ac:dyDescent="0.2">
      <c r="A159" s="13">
        <v>101921</v>
      </c>
      <c r="B159" s="5">
        <v>45330</v>
      </c>
      <c r="C159" s="5" t="str">
        <f t="shared" si="4"/>
        <v>Feb</v>
      </c>
      <c r="D159" s="2" t="s">
        <v>290</v>
      </c>
      <c r="E159" s="2" t="s">
        <v>140</v>
      </c>
      <c r="F159" s="2" t="s">
        <v>79</v>
      </c>
      <c r="G159" s="2" t="s">
        <v>106</v>
      </c>
      <c r="H159" s="2" t="s">
        <v>135</v>
      </c>
      <c r="I159" s="13">
        <v>1</v>
      </c>
      <c r="J159" s="10">
        <v>1663.08</v>
      </c>
      <c r="K159" s="10">
        <f t="shared" si="5"/>
        <v>1663.08</v>
      </c>
      <c r="L159" s="2">
        <v>0</v>
      </c>
      <c r="M159" s="2" t="s">
        <v>17</v>
      </c>
      <c r="N159" s="2" t="s">
        <v>52</v>
      </c>
    </row>
    <row r="160" spans="1:14" x14ac:dyDescent="0.2">
      <c r="A160" s="13">
        <v>101039</v>
      </c>
      <c r="B160" s="5">
        <v>45342</v>
      </c>
      <c r="C160" s="5" t="str">
        <f t="shared" si="4"/>
        <v>Feb</v>
      </c>
      <c r="D160" s="2" t="s">
        <v>291</v>
      </c>
      <c r="E160" s="2" t="s">
        <v>27</v>
      </c>
      <c r="F160" s="2" t="s">
        <v>21</v>
      </c>
      <c r="G160" s="2" t="s">
        <v>50</v>
      </c>
      <c r="H160" s="2" t="s">
        <v>62</v>
      </c>
      <c r="I160" s="13">
        <v>5</v>
      </c>
      <c r="J160" s="10">
        <v>2172.79</v>
      </c>
      <c r="K160" s="10">
        <f t="shared" si="5"/>
        <v>10863.95</v>
      </c>
      <c r="L160" s="2">
        <v>0.2</v>
      </c>
      <c r="M160" s="2" t="s">
        <v>29</v>
      </c>
      <c r="N160" s="2" t="s">
        <v>42</v>
      </c>
    </row>
    <row r="161" spans="1:14" x14ac:dyDescent="0.2">
      <c r="A161" s="13">
        <v>100597</v>
      </c>
      <c r="B161" s="5">
        <v>45325</v>
      </c>
      <c r="C161" s="5" t="str">
        <f t="shared" si="4"/>
        <v>Feb</v>
      </c>
      <c r="D161" s="2" t="s">
        <v>30</v>
      </c>
      <c r="E161" s="2" t="s">
        <v>27</v>
      </c>
      <c r="F161" s="2" t="s">
        <v>133</v>
      </c>
      <c r="G161" s="2" t="s">
        <v>64</v>
      </c>
      <c r="H161" s="2" t="s">
        <v>292</v>
      </c>
      <c r="I161" s="13">
        <v>7</v>
      </c>
      <c r="J161" s="10">
        <v>0</v>
      </c>
      <c r="K161" s="10">
        <f t="shared" si="5"/>
        <v>0</v>
      </c>
      <c r="L161" s="2">
        <v>0.15</v>
      </c>
      <c r="M161" s="2" t="s">
        <v>29</v>
      </c>
      <c r="N161" s="2" t="s">
        <v>25</v>
      </c>
    </row>
    <row r="162" spans="1:14" x14ac:dyDescent="0.2">
      <c r="A162" s="13">
        <v>101981</v>
      </c>
      <c r="B162" s="5">
        <v>45480</v>
      </c>
      <c r="C162" s="5" t="str">
        <f t="shared" si="4"/>
        <v>Jul</v>
      </c>
      <c r="D162" s="2" t="s">
        <v>293</v>
      </c>
      <c r="E162" s="2" t="s">
        <v>31</v>
      </c>
      <c r="F162" s="2" t="s">
        <v>32</v>
      </c>
      <c r="G162" s="2" t="s">
        <v>33</v>
      </c>
      <c r="H162" s="2" t="s">
        <v>81</v>
      </c>
      <c r="I162" s="13">
        <v>-2</v>
      </c>
      <c r="J162" s="10">
        <v>461.93</v>
      </c>
      <c r="K162" s="10">
        <f t="shared" si="5"/>
        <v>-923.86</v>
      </c>
      <c r="L162" s="2">
        <v>0.1</v>
      </c>
      <c r="M162" s="2" t="s">
        <v>24</v>
      </c>
      <c r="N162" s="2" t="s">
        <v>35</v>
      </c>
    </row>
    <row r="163" spans="1:14" x14ac:dyDescent="0.2">
      <c r="A163" s="13">
        <v>101671</v>
      </c>
      <c r="B163" s="5">
        <v>45638</v>
      </c>
      <c r="C163" s="5" t="str">
        <f t="shared" si="4"/>
        <v>Dec</v>
      </c>
      <c r="D163" s="2" t="s">
        <v>294</v>
      </c>
      <c r="E163" s="2" t="s">
        <v>37</v>
      </c>
      <c r="F163" s="2" t="s">
        <v>38</v>
      </c>
      <c r="G163" s="2" t="s">
        <v>106</v>
      </c>
      <c r="H163" s="2" t="s">
        <v>137</v>
      </c>
      <c r="I163" s="13">
        <v>10</v>
      </c>
      <c r="J163" s="10">
        <v>1714.64</v>
      </c>
      <c r="K163" s="10">
        <f t="shared" si="5"/>
        <v>17146.400000000001</v>
      </c>
      <c r="L163" s="2">
        <v>0.05</v>
      </c>
      <c r="M163" s="2" t="s">
        <v>83</v>
      </c>
      <c r="N163" s="2" t="s">
        <v>87</v>
      </c>
    </row>
    <row r="164" spans="1:14" x14ac:dyDescent="0.2">
      <c r="A164" s="13">
        <v>100695</v>
      </c>
      <c r="B164" s="5">
        <v>45383</v>
      </c>
      <c r="C164" s="5" t="str">
        <f t="shared" si="4"/>
        <v>Apr</v>
      </c>
      <c r="D164" s="2" t="s">
        <v>296</v>
      </c>
      <c r="E164" s="2" t="s">
        <v>61</v>
      </c>
      <c r="F164" s="2" t="s">
        <v>14</v>
      </c>
      <c r="G164" s="2" t="s">
        <v>106</v>
      </c>
      <c r="H164" s="2" t="s">
        <v>103</v>
      </c>
      <c r="I164" s="13">
        <v>4</v>
      </c>
      <c r="J164" s="10">
        <v>4079.69</v>
      </c>
      <c r="K164" s="10">
        <f t="shared" si="5"/>
        <v>16318.76</v>
      </c>
      <c r="L164" s="2">
        <v>0</v>
      </c>
      <c r="M164" s="2" t="s">
        <v>17</v>
      </c>
      <c r="N164" s="2" t="s">
        <v>121</v>
      </c>
    </row>
    <row r="165" spans="1:14" x14ac:dyDescent="0.2">
      <c r="A165" s="13">
        <v>101387</v>
      </c>
      <c r="B165" s="5">
        <v>45629</v>
      </c>
      <c r="C165" s="5" t="str">
        <f t="shared" si="4"/>
        <v>Dec</v>
      </c>
      <c r="D165" s="2" t="s">
        <v>297</v>
      </c>
      <c r="E165" s="2" t="s">
        <v>37</v>
      </c>
      <c r="F165" s="2" t="s">
        <v>38</v>
      </c>
      <c r="G165" s="2" t="s">
        <v>15</v>
      </c>
      <c r="H165" s="2" t="s">
        <v>16</v>
      </c>
      <c r="I165" s="13">
        <v>6</v>
      </c>
      <c r="J165" s="10">
        <v>20921.71</v>
      </c>
      <c r="K165" s="10">
        <f t="shared" si="5"/>
        <v>125530.26</v>
      </c>
      <c r="L165" s="2">
        <v>0</v>
      </c>
      <c r="M165" s="2" t="s">
        <v>41</v>
      </c>
      <c r="N165" s="2" t="s">
        <v>42</v>
      </c>
    </row>
    <row r="166" spans="1:14" x14ac:dyDescent="0.2">
      <c r="A166" s="13">
        <v>101711</v>
      </c>
      <c r="B166" s="5">
        <v>45568</v>
      </c>
      <c r="C166" s="5" t="str">
        <f t="shared" si="4"/>
        <v>Oct</v>
      </c>
      <c r="D166" s="2" t="s">
        <v>298</v>
      </c>
      <c r="E166" s="2" t="s">
        <v>27</v>
      </c>
      <c r="F166" s="2" t="s">
        <v>133</v>
      </c>
      <c r="G166" s="2" t="s">
        <v>106</v>
      </c>
      <c r="H166" s="2" t="s">
        <v>156</v>
      </c>
      <c r="I166" s="13">
        <v>12</v>
      </c>
      <c r="J166" s="10">
        <v>3728.78</v>
      </c>
      <c r="K166" s="10">
        <f t="shared" si="5"/>
        <v>44745.36</v>
      </c>
      <c r="L166" s="2">
        <v>0.1</v>
      </c>
      <c r="M166" s="2" t="s">
        <v>29</v>
      </c>
      <c r="N166" s="2" t="s">
        <v>52</v>
      </c>
    </row>
    <row r="167" spans="1:14" x14ac:dyDescent="0.2">
      <c r="A167" s="13">
        <v>100173</v>
      </c>
      <c r="B167" s="5">
        <v>45412</v>
      </c>
      <c r="C167" s="5" t="str">
        <f t="shared" si="4"/>
        <v>Apr</v>
      </c>
      <c r="D167" s="2" t="s">
        <v>299</v>
      </c>
      <c r="E167" s="2" t="s">
        <v>27</v>
      </c>
      <c r="F167" s="2" t="s">
        <v>21</v>
      </c>
      <c r="G167" s="2" t="s">
        <v>50</v>
      </c>
      <c r="H167" s="2" t="s">
        <v>51</v>
      </c>
      <c r="I167" s="13">
        <v>3</v>
      </c>
      <c r="J167" s="10">
        <v>11701.63</v>
      </c>
      <c r="K167" s="10">
        <f t="shared" si="5"/>
        <v>35104.89</v>
      </c>
      <c r="L167" s="2">
        <v>0.05</v>
      </c>
      <c r="M167" s="2" t="s">
        <v>29</v>
      </c>
      <c r="N167" s="2" t="s">
        <v>35</v>
      </c>
    </row>
    <row r="168" spans="1:14" x14ac:dyDescent="0.2">
      <c r="A168" s="13">
        <v>100595</v>
      </c>
      <c r="B168" s="5">
        <v>45517</v>
      </c>
      <c r="C168" s="5" t="str">
        <f t="shared" si="4"/>
        <v>Aug</v>
      </c>
      <c r="D168" s="2" t="s">
        <v>1069</v>
      </c>
      <c r="E168" s="2" t="s">
        <v>140</v>
      </c>
      <c r="F168" s="2" t="s">
        <v>49</v>
      </c>
      <c r="G168" s="2" t="s">
        <v>15</v>
      </c>
      <c r="H168" s="2" t="s">
        <v>205</v>
      </c>
      <c r="I168" s="13">
        <v>4</v>
      </c>
      <c r="J168" s="10">
        <v>6639.13</v>
      </c>
      <c r="K168" s="10">
        <f t="shared" si="5"/>
        <v>26556.52</v>
      </c>
      <c r="L168" s="2">
        <v>0.15</v>
      </c>
      <c r="M168" s="2" t="s">
        <v>29</v>
      </c>
      <c r="N168" s="2" t="s">
        <v>42</v>
      </c>
    </row>
    <row r="169" spans="1:14" x14ac:dyDescent="0.2">
      <c r="A169" s="13">
        <v>101960</v>
      </c>
      <c r="B169" s="5">
        <v>45599</v>
      </c>
      <c r="C169" s="5" t="str">
        <f t="shared" si="4"/>
        <v>Nov</v>
      </c>
      <c r="D169" s="2" t="s">
        <v>1069</v>
      </c>
      <c r="E169" s="2" t="s">
        <v>27</v>
      </c>
      <c r="F169" s="2" t="s">
        <v>133</v>
      </c>
      <c r="G169" s="2" t="s">
        <v>45</v>
      </c>
      <c r="H169" s="2" t="s">
        <v>71</v>
      </c>
      <c r="I169" s="13">
        <v>11</v>
      </c>
      <c r="J169" s="10">
        <v>41742.94</v>
      </c>
      <c r="K169" s="10">
        <f t="shared" si="5"/>
        <v>459172.34</v>
      </c>
      <c r="L169" s="2">
        <v>0.1</v>
      </c>
      <c r="M169" s="2" t="s">
        <v>66</v>
      </c>
      <c r="N169" s="2" t="s">
        <v>25</v>
      </c>
    </row>
    <row r="170" spans="1:14" x14ac:dyDescent="0.2">
      <c r="A170" s="13">
        <v>101773</v>
      </c>
      <c r="B170" s="5">
        <v>45433</v>
      </c>
      <c r="C170" s="5" t="str">
        <f t="shared" si="4"/>
        <v>May</v>
      </c>
      <c r="D170" s="2" t="s">
        <v>300</v>
      </c>
      <c r="E170" s="2" t="s">
        <v>61</v>
      </c>
      <c r="F170" s="2" t="s">
        <v>14</v>
      </c>
      <c r="G170" s="2" t="s">
        <v>15</v>
      </c>
      <c r="H170" s="2" t="s">
        <v>16</v>
      </c>
      <c r="I170" s="13">
        <v>3</v>
      </c>
      <c r="J170" s="10">
        <v>23992.61</v>
      </c>
      <c r="K170" s="10">
        <f t="shared" si="5"/>
        <v>71977.83</v>
      </c>
      <c r="L170" s="2">
        <v>0</v>
      </c>
      <c r="M170" s="2" t="s">
        <v>41</v>
      </c>
      <c r="N170" s="2" t="s">
        <v>42</v>
      </c>
    </row>
    <row r="171" spans="1:14" x14ac:dyDescent="0.2">
      <c r="A171" s="13">
        <v>100052</v>
      </c>
      <c r="B171" s="5">
        <v>45597</v>
      </c>
      <c r="C171" s="5" t="str">
        <f t="shared" si="4"/>
        <v>Nov</v>
      </c>
      <c r="D171" s="2" t="s">
        <v>301</v>
      </c>
      <c r="E171" s="2" t="s">
        <v>140</v>
      </c>
      <c r="F171" s="2" t="s">
        <v>79</v>
      </c>
      <c r="G171" s="2" t="s">
        <v>45</v>
      </c>
      <c r="H171" s="2" t="s">
        <v>46</v>
      </c>
      <c r="I171" s="13">
        <v>9</v>
      </c>
      <c r="J171" s="10">
        <v>44513.71</v>
      </c>
      <c r="K171" s="10">
        <f t="shared" si="5"/>
        <v>400623.39</v>
      </c>
      <c r="L171" s="2">
        <v>0.05</v>
      </c>
      <c r="M171" s="2" t="s">
        <v>17</v>
      </c>
      <c r="N171" s="2" t="s">
        <v>87</v>
      </c>
    </row>
    <row r="172" spans="1:14" x14ac:dyDescent="0.2">
      <c r="A172" s="13">
        <v>100037</v>
      </c>
      <c r="B172" s="5">
        <v>45544</v>
      </c>
      <c r="C172" s="5" t="str">
        <f t="shared" si="4"/>
        <v>Sep</v>
      </c>
      <c r="D172" s="2" t="s">
        <v>1069</v>
      </c>
      <c r="E172" s="2" t="s">
        <v>37</v>
      </c>
      <c r="F172" s="2" t="s">
        <v>38</v>
      </c>
      <c r="G172" s="2" t="s">
        <v>45</v>
      </c>
      <c r="H172" s="2" t="s">
        <v>153</v>
      </c>
      <c r="I172" s="13">
        <v>8</v>
      </c>
      <c r="J172" s="10">
        <v>27384.42</v>
      </c>
      <c r="K172" s="10">
        <f t="shared" si="5"/>
        <v>219075.36</v>
      </c>
      <c r="L172" s="2">
        <v>0.2</v>
      </c>
      <c r="M172" s="2" t="s">
        <v>83</v>
      </c>
      <c r="N172" s="2" t="s">
        <v>52</v>
      </c>
    </row>
    <row r="173" spans="1:14" x14ac:dyDescent="0.2">
      <c r="A173" s="13">
        <v>101826</v>
      </c>
      <c r="B173" s="5">
        <v>45506</v>
      </c>
      <c r="C173" s="5" t="str">
        <f t="shared" si="4"/>
        <v>Aug</v>
      </c>
      <c r="D173" s="2" t="s">
        <v>302</v>
      </c>
      <c r="E173" s="2" t="s">
        <v>27</v>
      </c>
      <c r="F173" s="2" t="s">
        <v>133</v>
      </c>
      <c r="G173" s="2" t="s">
        <v>15</v>
      </c>
      <c r="H173" s="2" t="s">
        <v>116</v>
      </c>
      <c r="I173" s="13">
        <v>6</v>
      </c>
      <c r="J173" s="10">
        <v>16728.04</v>
      </c>
      <c r="K173" s="10">
        <f t="shared" si="5"/>
        <v>100368.24</v>
      </c>
      <c r="L173" s="2">
        <v>0.1</v>
      </c>
      <c r="M173" s="2" t="s">
        <v>66</v>
      </c>
      <c r="N173" s="2" t="s">
        <v>121</v>
      </c>
    </row>
    <row r="174" spans="1:14" x14ac:dyDescent="0.2">
      <c r="A174" s="13">
        <v>101294</v>
      </c>
      <c r="B174" s="5">
        <v>45644</v>
      </c>
      <c r="C174" s="5" t="str">
        <f t="shared" si="4"/>
        <v>Dec</v>
      </c>
      <c r="D174" s="2" t="s">
        <v>304</v>
      </c>
      <c r="E174" s="2" t="s">
        <v>61</v>
      </c>
      <c r="F174" s="2" t="s">
        <v>119</v>
      </c>
      <c r="G174" s="2" t="s">
        <v>15</v>
      </c>
      <c r="H174" s="2" t="s">
        <v>116</v>
      </c>
      <c r="I174" s="13">
        <v>9</v>
      </c>
      <c r="J174" s="10">
        <v>13348.76</v>
      </c>
      <c r="K174" s="10">
        <f t="shared" si="5"/>
        <v>120138.84</v>
      </c>
      <c r="L174" s="2">
        <v>0.2</v>
      </c>
      <c r="M174" s="2" t="s">
        <v>29</v>
      </c>
      <c r="N174" s="2" t="s">
        <v>121</v>
      </c>
    </row>
    <row r="175" spans="1:14" x14ac:dyDescent="0.2">
      <c r="A175" s="13">
        <v>101151</v>
      </c>
      <c r="B175" s="5">
        <v>45322</v>
      </c>
      <c r="C175" s="5" t="str">
        <f t="shared" si="4"/>
        <v>Jan</v>
      </c>
      <c r="D175" s="2" t="s">
        <v>213</v>
      </c>
      <c r="E175" s="2" t="s">
        <v>140</v>
      </c>
      <c r="F175" s="2" t="s">
        <v>79</v>
      </c>
      <c r="G175" s="2" t="s">
        <v>15</v>
      </c>
      <c r="H175" s="2" t="s">
        <v>205</v>
      </c>
      <c r="I175" s="13">
        <v>9</v>
      </c>
      <c r="J175" s="10">
        <v>4805.8599999999997</v>
      </c>
      <c r="K175" s="10">
        <f t="shared" si="5"/>
        <v>43252.74</v>
      </c>
      <c r="L175" s="2">
        <v>0.1</v>
      </c>
      <c r="M175" s="2" t="s">
        <v>24</v>
      </c>
      <c r="N175" s="2" t="s">
        <v>87</v>
      </c>
    </row>
    <row r="176" spans="1:14" x14ac:dyDescent="0.2">
      <c r="A176" s="13">
        <v>100956</v>
      </c>
      <c r="B176" s="5">
        <v>45466</v>
      </c>
      <c r="C176" s="5" t="str">
        <f t="shared" si="4"/>
        <v>Jun</v>
      </c>
      <c r="D176" s="2" t="s">
        <v>306</v>
      </c>
      <c r="E176" s="2" t="s">
        <v>31</v>
      </c>
      <c r="F176" s="2" t="s">
        <v>32</v>
      </c>
      <c r="G176" s="2" t="s">
        <v>106</v>
      </c>
      <c r="H176" s="2" t="s">
        <v>137</v>
      </c>
      <c r="I176" s="13">
        <v>3</v>
      </c>
      <c r="J176" s="10">
        <v>4447.75</v>
      </c>
      <c r="K176" s="10">
        <f t="shared" si="5"/>
        <v>13343.25</v>
      </c>
      <c r="L176" s="2">
        <v>0.2</v>
      </c>
      <c r="M176" s="2" t="s">
        <v>29</v>
      </c>
      <c r="N176" s="2" t="s">
        <v>143</v>
      </c>
    </row>
    <row r="177" spans="1:14" x14ac:dyDescent="0.2">
      <c r="A177" s="13">
        <v>100448</v>
      </c>
      <c r="B177" s="5">
        <v>45423</v>
      </c>
      <c r="C177" s="5" t="str">
        <f t="shared" si="4"/>
        <v>May</v>
      </c>
      <c r="D177" s="2" t="s">
        <v>217</v>
      </c>
      <c r="E177" s="2" t="s">
        <v>140</v>
      </c>
      <c r="F177" s="2" t="s">
        <v>79</v>
      </c>
      <c r="G177" s="2" t="s">
        <v>45</v>
      </c>
      <c r="H177" s="2" t="s">
        <v>149</v>
      </c>
      <c r="I177" s="13">
        <v>6</v>
      </c>
      <c r="J177" s="10">
        <v>43106.29</v>
      </c>
      <c r="K177" s="10">
        <f t="shared" si="5"/>
        <v>258637.74</v>
      </c>
      <c r="L177" s="2">
        <v>0</v>
      </c>
      <c r="M177" s="2" t="s">
        <v>29</v>
      </c>
      <c r="N177" s="2" t="s">
        <v>25</v>
      </c>
    </row>
    <row r="178" spans="1:14" x14ac:dyDescent="0.2">
      <c r="A178" s="13">
        <v>101666</v>
      </c>
      <c r="B178" s="5">
        <v>45405</v>
      </c>
      <c r="C178" s="5" t="str">
        <f t="shared" si="4"/>
        <v>Apr</v>
      </c>
      <c r="D178" s="2" t="s">
        <v>307</v>
      </c>
      <c r="E178" s="2" t="s">
        <v>31</v>
      </c>
      <c r="F178" s="2" t="s">
        <v>54</v>
      </c>
      <c r="G178" s="2" t="s">
        <v>22</v>
      </c>
      <c r="H178" s="2" t="s">
        <v>232</v>
      </c>
      <c r="I178" s="13">
        <v>-3</v>
      </c>
      <c r="J178" s="10">
        <v>745.34</v>
      </c>
      <c r="K178" s="10">
        <f t="shared" si="5"/>
        <v>-2236.02</v>
      </c>
      <c r="L178" s="2">
        <v>0</v>
      </c>
      <c r="M178" s="2" t="s">
        <v>66</v>
      </c>
      <c r="N178" s="2" t="s">
        <v>42</v>
      </c>
    </row>
    <row r="179" spans="1:14" x14ac:dyDescent="0.2">
      <c r="A179" s="13">
        <v>101139</v>
      </c>
      <c r="B179" s="5">
        <v>45590</v>
      </c>
      <c r="C179" s="5" t="str">
        <f t="shared" si="4"/>
        <v>Oct</v>
      </c>
      <c r="D179" s="2" t="s">
        <v>309</v>
      </c>
      <c r="E179" s="2" t="s">
        <v>27</v>
      </c>
      <c r="F179" s="2" t="s">
        <v>133</v>
      </c>
      <c r="G179" s="2" t="s">
        <v>22</v>
      </c>
      <c r="H179" s="2" t="s">
        <v>145</v>
      </c>
      <c r="I179" s="13">
        <v>10</v>
      </c>
      <c r="J179" s="10">
        <v>1772.43</v>
      </c>
      <c r="K179" s="10">
        <f t="shared" si="5"/>
        <v>17724.3</v>
      </c>
      <c r="L179" s="2">
        <v>0</v>
      </c>
      <c r="M179" s="2" t="s">
        <v>24</v>
      </c>
      <c r="N179" s="2" t="s">
        <v>42</v>
      </c>
    </row>
    <row r="180" spans="1:14" x14ac:dyDescent="0.2">
      <c r="A180" s="13">
        <v>101976</v>
      </c>
      <c r="B180" s="5">
        <v>45445</v>
      </c>
      <c r="C180" s="5" t="str">
        <f t="shared" si="4"/>
        <v>Jun</v>
      </c>
      <c r="D180" s="2" t="s">
        <v>310</v>
      </c>
      <c r="E180" s="2" t="s">
        <v>31</v>
      </c>
      <c r="F180" s="2" t="s">
        <v>54</v>
      </c>
      <c r="G180" s="2" t="s">
        <v>50</v>
      </c>
      <c r="H180" s="2" t="s">
        <v>62</v>
      </c>
      <c r="I180" s="13">
        <v>9</v>
      </c>
      <c r="J180" s="10">
        <v>4646.3599999999997</v>
      </c>
      <c r="K180" s="10">
        <f t="shared" si="5"/>
        <v>41817.24</v>
      </c>
      <c r="L180" s="2">
        <v>0</v>
      </c>
      <c r="M180" s="2" t="s">
        <v>66</v>
      </c>
      <c r="N180" s="2" t="s">
        <v>143</v>
      </c>
    </row>
    <row r="181" spans="1:14" x14ac:dyDescent="0.2">
      <c r="A181" s="13">
        <v>100747</v>
      </c>
      <c r="B181" s="5">
        <v>45562</v>
      </c>
      <c r="C181" s="5" t="str">
        <f t="shared" si="4"/>
        <v>Sep</v>
      </c>
      <c r="D181" s="2" t="s">
        <v>311</v>
      </c>
      <c r="E181" s="2" t="s">
        <v>61</v>
      </c>
      <c r="F181" s="2" t="s">
        <v>119</v>
      </c>
      <c r="G181" s="2" t="s">
        <v>50</v>
      </c>
      <c r="H181" s="2" t="s">
        <v>56</v>
      </c>
      <c r="I181" s="13">
        <v>2</v>
      </c>
      <c r="J181" s="10">
        <v>0</v>
      </c>
      <c r="K181" s="10">
        <f t="shared" si="5"/>
        <v>0</v>
      </c>
      <c r="L181" s="2">
        <v>0</v>
      </c>
      <c r="M181" s="2" t="s">
        <v>66</v>
      </c>
      <c r="N181" s="2" t="s">
        <v>35</v>
      </c>
    </row>
    <row r="182" spans="1:14" x14ac:dyDescent="0.2">
      <c r="A182" s="13">
        <v>101331</v>
      </c>
      <c r="B182" s="5">
        <v>45586</v>
      </c>
      <c r="C182" s="5" t="str">
        <f t="shared" si="4"/>
        <v>Oct</v>
      </c>
      <c r="D182" s="2" t="s">
        <v>208</v>
      </c>
      <c r="E182" s="2" t="s">
        <v>31</v>
      </c>
      <c r="F182" s="2" t="s">
        <v>54</v>
      </c>
      <c r="G182" s="2" t="s">
        <v>106</v>
      </c>
      <c r="H182" s="2" t="s">
        <v>135</v>
      </c>
      <c r="I182" s="13">
        <v>8</v>
      </c>
      <c r="J182" s="10">
        <v>3770.51</v>
      </c>
      <c r="K182" s="10">
        <f t="shared" si="5"/>
        <v>30164.080000000002</v>
      </c>
      <c r="L182" s="2">
        <v>0</v>
      </c>
      <c r="M182" s="2" t="s">
        <v>29</v>
      </c>
      <c r="N182" s="2" t="s">
        <v>18</v>
      </c>
    </row>
    <row r="183" spans="1:14" x14ac:dyDescent="0.2">
      <c r="A183" s="13">
        <v>100361</v>
      </c>
      <c r="B183" s="5">
        <v>45342</v>
      </c>
      <c r="C183" s="5" t="str">
        <f t="shared" si="4"/>
        <v>Feb</v>
      </c>
      <c r="D183" s="2" t="s">
        <v>312</v>
      </c>
      <c r="E183" s="2" t="s">
        <v>140</v>
      </c>
      <c r="F183" s="2" t="s">
        <v>49</v>
      </c>
      <c r="G183" s="2" t="s">
        <v>64</v>
      </c>
      <c r="H183" s="2" t="s">
        <v>114</v>
      </c>
      <c r="I183" s="13">
        <v>3</v>
      </c>
      <c r="J183" s="10">
        <v>467.75</v>
      </c>
      <c r="K183" s="10">
        <f t="shared" si="5"/>
        <v>1403.25</v>
      </c>
      <c r="L183" s="2">
        <v>0</v>
      </c>
      <c r="M183" s="2" t="s">
        <v>41</v>
      </c>
      <c r="N183" s="2" t="s">
        <v>121</v>
      </c>
    </row>
    <row r="184" spans="1:14" x14ac:dyDescent="0.2">
      <c r="A184" s="13">
        <v>100984</v>
      </c>
      <c r="B184" s="5">
        <v>45513</v>
      </c>
      <c r="C184" s="5" t="str">
        <f t="shared" si="4"/>
        <v>Aug</v>
      </c>
      <c r="D184" s="2" t="s">
        <v>313</v>
      </c>
      <c r="E184" s="2" t="s">
        <v>61</v>
      </c>
      <c r="F184" s="2" t="s">
        <v>119</v>
      </c>
      <c r="G184" s="2" t="s">
        <v>15</v>
      </c>
      <c r="H184" s="2" t="s">
        <v>16</v>
      </c>
      <c r="I184" s="13">
        <v>12</v>
      </c>
      <c r="J184" s="10">
        <v>11435.02</v>
      </c>
      <c r="K184" s="10">
        <f t="shared" si="5"/>
        <v>137220.24</v>
      </c>
      <c r="L184" s="2">
        <v>0</v>
      </c>
      <c r="M184" s="2" t="s">
        <v>17</v>
      </c>
      <c r="N184" s="2" t="s">
        <v>42</v>
      </c>
    </row>
    <row r="185" spans="1:14" x14ac:dyDescent="0.2">
      <c r="A185" s="13">
        <v>101348</v>
      </c>
      <c r="B185" s="5">
        <v>45606</v>
      </c>
      <c r="C185" s="5" t="str">
        <f t="shared" si="4"/>
        <v>Nov</v>
      </c>
      <c r="D185" s="2" t="s">
        <v>314</v>
      </c>
      <c r="E185" s="2" t="s">
        <v>61</v>
      </c>
      <c r="F185" s="2" t="s">
        <v>14</v>
      </c>
      <c r="G185" s="2" t="s">
        <v>15</v>
      </c>
      <c r="H185" s="2" t="s">
        <v>116</v>
      </c>
      <c r="I185" s="13">
        <v>12</v>
      </c>
      <c r="J185" s="10">
        <v>10323.77</v>
      </c>
      <c r="K185" s="10">
        <f t="shared" si="5"/>
        <v>123885.24</v>
      </c>
      <c r="L185" s="2">
        <v>0</v>
      </c>
      <c r="M185" s="2" t="s">
        <v>41</v>
      </c>
      <c r="N185" s="2" t="s">
        <v>52</v>
      </c>
    </row>
    <row r="186" spans="1:14" x14ac:dyDescent="0.2">
      <c r="A186" s="13">
        <v>101667</v>
      </c>
      <c r="B186" s="5">
        <v>45373</v>
      </c>
      <c r="C186" s="5" t="str">
        <f t="shared" si="4"/>
        <v>Mar</v>
      </c>
      <c r="D186" s="2" t="s">
        <v>315</v>
      </c>
      <c r="E186" s="2" t="s">
        <v>27</v>
      </c>
      <c r="F186" s="2" t="s">
        <v>133</v>
      </c>
      <c r="G186" s="2" t="s">
        <v>50</v>
      </c>
      <c r="H186" s="2" t="s">
        <v>207</v>
      </c>
      <c r="I186" s="13">
        <v>5</v>
      </c>
      <c r="J186" s="10">
        <v>11804.7</v>
      </c>
      <c r="K186" s="10">
        <f t="shared" si="5"/>
        <v>59023.5</v>
      </c>
      <c r="L186" s="2">
        <v>0.15</v>
      </c>
      <c r="M186" s="2" t="s">
        <v>29</v>
      </c>
      <c r="N186" s="2" t="s">
        <v>143</v>
      </c>
    </row>
    <row r="187" spans="1:14" x14ac:dyDescent="0.2">
      <c r="A187" s="13">
        <v>100883</v>
      </c>
      <c r="B187" s="5">
        <v>45465</v>
      </c>
      <c r="C187" s="5" t="str">
        <f t="shared" si="4"/>
        <v>Jun</v>
      </c>
      <c r="D187" s="2" t="s">
        <v>317</v>
      </c>
      <c r="E187" s="2" t="s">
        <v>61</v>
      </c>
      <c r="F187" s="2" t="s">
        <v>119</v>
      </c>
      <c r="G187" s="2" t="s">
        <v>33</v>
      </c>
      <c r="H187" s="2" t="s">
        <v>158</v>
      </c>
      <c r="I187" s="13">
        <v>12</v>
      </c>
      <c r="J187" s="10">
        <v>394.5</v>
      </c>
      <c r="K187" s="10">
        <f t="shared" si="5"/>
        <v>4734</v>
      </c>
      <c r="L187" s="2">
        <v>0.2</v>
      </c>
      <c r="M187" s="2" t="s">
        <v>83</v>
      </c>
      <c r="N187" s="2" t="s">
        <v>35</v>
      </c>
    </row>
    <row r="188" spans="1:14" x14ac:dyDescent="0.2">
      <c r="A188" s="13">
        <v>100456</v>
      </c>
      <c r="B188" s="5">
        <v>45539</v>
      </c>
      <c r="C188" s="5" t="str">
        <f t="shared" si="4"/>
        <v>Sep</v>
      </c>
      <c r="D188" s="2" t="s">
        <v>318</v>
      </c>
      <c r="E188" s="2" t="s">
        <v>140</v>
      </c>
      <c r="F188" s="2" t="s">
        <v>79</v>
      </c>
      <c r="G188" s="2" t="s">
        <v>50</v>
      </c>
      <c r="H188" s="2" t="s">
        <v>56</v>
      </c>
      <c r="I188" s="13">
        <v>5</v>
      </c>
      <c r="J188" s="10">
        <v>0</v>
      </c>
      <c r="K188" s="10">
        <f t="shared" si="5"/>
        <v>0</v>
      </c>
      <c r="L188" s="2">
        <v>0</v>
      </c>
      <c r="M188" s="2" t="s">
        <v>83</v>
      </c>
      <c r="N188" s="2" t="s">
        <v>52</v>
      </c>
    </row>
    <row r="189" spans="1:14" x14ac:dyDescent="0.2">
      <c r="A189" s="13">
        <v>100147</v>
      </c>
      <c r="B189" s="5">
        <v>45373</v>
      </c>
      <c r="C189" s="5" t="str">
        <f t="shared" si="4"/>
        <v>Mar</v>
      </c>
      <c r="D189" s="2" t="s">
        <v>319</v>
      </c>
      <c r="E189" s="2" t="s">
        <v>31</v>
      </c>
      <c r="F189" s="2" t="s">
        <v>32</v>
      </c>
      <c r="G189" s="2" t="s">
        <v>45</v>
      </c>
      <c r="H189" s="2" t="s">
        <v>97</v>
      </c>
      <c r="I189" s="13">
        <v>1</v>
      </c>
      <c r="J189" s="10">
        <v>11027.38</v>
      </c>
      <c r="K189" s="10">
        <f t="shared" si="5"/>
        <v>11027.38</v>
      </c>
      <c r="L189" s="2">
        <v>0.15</v>
      </c>
      <c r="M189" s="2" t="s">
        <v>29</v>
      </c>
      <c r="N189" s="2" t="s">
        <v>143</v>
      </c>
    </row>
    <row r="190" spans="1:14" x14ac:dyDescent="0.2">
      <c r="A190" s="13">
        <v>100312</v>
      </c>
      <c r="B190" s="5">
        <v>45393</v>
      </c>
      <c r="C190" s="5" t="str">
        <f t="shared" si="4"/>
        <v>Apr</v>
      </c>
      <c r="D190" s="2" t="s">
        <v>320</v>
      </c>
      <c r="E190" s="2" t="s">
        <v>140</v>
      </c>
      <c r="F190" s="2" t="s">
        <v>49</v>
      </c>
      <c r="G190" s="2" t="s">
        <v>106</v>
      </c>
      <c r="H190" s="2" t="s">
        <v>137</v>
      </c>
      <c r="I190" s="13">
        <v>2</v>
      </c>
      <c r="J190" s="10">
        <v>976.87</v>
      </c>
      <c r="K190" s="10">
        <f t="shared" si="5"/>
        <v>1953.74</v>
      </c>
      <c r="L190" s="2">
        <v>0</v>
      </c>
      <c r="M190" s="2" t="s">
        <v>17</v>
      </c>
      <c r="N190" s="2" t="s">
        <v>25</v>
      </c>
    </row>
    <row r="191" spans="1:14" x14ac:dyDescent="0.2">
      <c r="A191" s="13">
        <v>100464</v>
      </c>
      <c r="B191" s="5">
        <v>45511</v>
      </c>
      <c r="C191" s="5" t="str">
        <f t="shared" si="4"/>
        <v>Aug</v>
      </c>
      <c r="D191" s="2" t="s">
        <v>192</v>
      </c>
      <c r="E191" s="2" t="s">
        <v>37</v>
      </c>
      <c r="F191" s="2" t="s">
        <v>38</v>
      </c>
      <c r="G191" s="2" t="s">
        <v>45</v>
      </c>
      <c r="H191" s="2" t="s">
        <v>149</v>
      </c>
      <c r="I191" s="13">
        <v>8</v>
      </c>
      <c r="J191" s="10">
        <v>13414.88</v>
      </c>
      <c r="K191" s="10">
        <f t="shared" si="5"/>
        <v>107319.03999999999</v>
      </c>
      <c r="L191" s="2">
        <v>0</v>
      </c>
      <c r="M191" s="2" t="s">
        <v>24</v>
      </c>
      <c r="N191" s="2" t="s">
        <v>35</v>
      </c>
    </row>
    <row r="192" spans="1:14" x14ac:dyDescent="0.2">
      <c r="A192" s="13">
        <v>100439</v>
      </c>
      <c r="B192" s="5">
        <v>45515</v>
      </c>
      <c r="C192" s="5" t="str">
        <f t="shared" si="4"/>
        <v>Aug</v>
      </c>
      <c r="D192" s="2" t="s">
        <v>321</v>
      </c>
      <c r="E192" s="2" t="s">
        <v>140</v>
      </c>
      <c r="F192" s="2" t="s">
        <v>79</v>
      </c>
      <c r="G192" s="2" t="s">
        <v>64</v>
      </c>
      <c r="H192" s="2" t="s">
        <v>165</v>
      </c>
      <c r="I192" s="13">
        <v>9</v>
      </c>
      <c r="J192" s="10">
        <v>807.85</v>
      </c>
      <c r="K192" s="10">
        <f t="shared" si="5"/>
        <v>7270.6500000000005</v>
      </c>
      <c r="L192" s="2">
        <v>0.25</v>
      </c>
      <c r="M192" s="2" t="s">
        <v>41</v>
      </c>
      <c r="N192" s="2" t="s">
        <v>121</v>
      </c>
    </row>
    <row r="193" spans="1:14" x14ac:dyDescent="0.2">
      <c r="A193" s="13">
        <v>101680</v>
      </c>
      <c r="B193" s="5">
        <v>45475</v>
      </c>
      <c r="C193" s="5" t="str">
        <f t="shared" si="4"/>
        <v>Jul</v>
      </c>
      <c r="D193" s="2" t="s">
        <v>139</v>
      </c>
      <c r="E193" s="2" t="s">
        <v>37</v>
      </c>
      <c r="F193" s="2" t="s">
        <v>38</v>
      </c>
      <c r="G193" s="2" t="s">
        <v>64</v>
      </c>
      <c r="H193" s="2" t="s">
        <v>40</v>
      </c>
      <c r="I193" s="13">
        <v>7</v>
      </c>
      <c r="J193" s="10">
        <v>120.08</v>
      </c>
      <c r="K193" s="10">
        <f t="shared" si="5"/>
        <v>840.56</v>
      </c>
      <c r="L193" s="2">
        <v>0.25</v>
      </c>
      <c r="M193" s="2" t="s">
        <v>29</v>
      </c>
      <c r="N193" s="2" t="s">
        <v>18</v>
      </c>
    </row>
    <row r="194" spans="1:14" x14ac:dyDescent="0.2">
      <c r="A194" s="13">
        <v>100726</v>
      </c>
      <c r="B194" s="5">
        <v>45641</v>
      </c>
      <c r="C194" s="5" t="str">
        <f t="shared" ref="C194:C257" si="6">TEXT(B194,"mmm")</f>
        <v>Dec</v>
      </c>
      <c r="D194" s="2" t="s">
        <v>1069</v>
      </c>
      <c r="E194" s="2" t="s">
        <v>140</v>
      </c>
      <c r="F194" s="2" t="s">
        <v>79</v>
      </c>
      <c r="G194" s="2" t="s">
        <v>15</v>
      </c>
      <c r="H194" s="2" t="s">
        <v>16</v>
      </c>
      <c r="I194" s="13">
        <v>8</v>
      </c>
      <c r="J194" s="10">
        <v>18116.04</v>
      </c>
      <c r="K194" s="10">
        <f t="shared" ref="K194:K257" si="7">I194*J194</f>
        <v>144928.32000000001</v>
      </c>
      <c r="L194" s="2">
        <v>0</v>
      </c>
      <c r="M194" s="2" t="s">
        <v>83</v>
      </c>
      <c r="N194" s="2" t="s">
        <v>42</v>
      </c>
    </row>
    <row r="195" spans="1:14" x14ac:dyDescent="0.2">
      <c r="A195" s="13">
        <v>100870</v>
      </c>
      <c r="B195" s="5">
        <v>45639</v>
      </c>
      <c r="C195" s="5" t="str">
        <f t="shared" si="6"/>
        <v>Dec</v>
      </c>
      <c r="D195" s="2" t="s">
        <v>168</v>
      </c>
      <c r="E195" s="2" t="s">
        <v>61</v>
      </c>
      <c r="F195" s="2" t="s">
        <v>14</v>
      </c>
      <c r="G195" s="2" t="s">
        <v>15</v>
      </c>
      <c r="H195" s="2" t="s">
        <v>205</v>
      </c>
      <c r="I195" s="13">
        <v>8</v>
      </c>
      <c r="J195" s="10">
        <v>22387.16</v>
      </c>
      <c r="K195" s="10">
        <f t="shared" si="7"/>
        <v>179097.28</v>
      </c>
      <c r="L195" s="2">
        <v>0</v>
      </c>
      <c r="M195" s="2" t="s">
        <v>66</v>
      </c>
      <c r="N195" s="2" t="s">
        <v>35</v>
      </c>
    </row>
    <row r="196" spans="1:14" x14ac:dyDescent="0.2">
      <c r="A196" s="13">
        <v>101885</v>
      </c>
      <c r="B196" s="5">
        <v>45597</v>
      </c>
      <c r="C196" s="5" t="str">
        <f t="shared" si="6"/>
        <v>Nov</v>
      </c>
      <c r="D196" s="2" t="s">
        <v>1069</v>
      </c>
      <c r="E196" s="2" t="s">
        <v>37</v>
      </c>
      <c r="F196" s="2" t="s">
        <v>38</v>
      </c>
      <c r="G196" s="2" t="s">
        <v>33</v>
      </c>
      <c r="H196" s="2" t="s">
        <v>81</v>
      </c>
      <c r="I196" s="13">
        <v>9</v>
      </c>
      <c r="J196" s="10">
        <v>331.3</v>
      </c>
      <c r="K196" s="10">
        <f t="shared" si="7"/>
        <v>2981.7000000000003</v>
      </c>
      <c r="L196" s="2">
        <v>0</v>
      </c>
      <c r="M196" s="2" t="s">
        <v>83</v>
      </c>
      <c r="N196" s="2" t="s">
        <v>143</v>
      </c>
    </row>
    <row r="197" spans="1:14" x14ac:dyDescent="0.2">
      <c r="A197" s="13">
        <v>100397</v>
      </c>
      <c r="B197" s="5">
        <v>45547</v>
      </c>
      <c r="C197" s="5" t="str">
        <f t="shared" si="6"/>
        <v>Sep</v>
      </c>
      <c r="D197" s="2" t="s">
        <v>322</v>
      </c>
      <c r="E197" s="2" t="s">
        <v>31</v>
      </c>
      <c r="F197" s="2" t="s">
        <v>32</v>
      </c>
      <c r="G197" s="2" t="s">
        <v>15</v>
      </c>
      <c r="H197" s="2" t="s">
        <v>16</v>
      </c>
      <c r="I197" s="13">
        <v>7</v>
      </c>
      <c r="J197" s="10">
        <v>19455.64</v>
      </c>
      <c r="K197" s="10">
        <f t="shared" si="7"/>
        <v>136189.47999999998</v>
      </c>
      <c r="L197" s="2">
        <v>0</v>
      </c>
      <c r="M197" s="2" t="s">
        <v>17</v>
      </c>
      <c r="N197" s="2" t="s">
        <v>35</v>
      </c>
    </row>
    <row r="198" spans="1:14" x14ac:dyDescent="0.2">
      <c r="A198" s="13">
        <v>100739</v>
      </c>
      <c r="B198" s="5">
        <v>45400</v>
      </c>
      <c r="C198" s="5" t="str">
        <f t="shared" si="6"/>
        <v>Apr</v>
      </c>
      <c r="D198" s="2" t="s">
        <v>323</v>
      </c>
      <c r="E198" s="2" t="s">
        <v>37</v>
      </c>
      <c r="F198" s="2" t="s">
        <v>69</v>
      </c>
      <c r="G198" s="2" t="s">
        <v>15</v>
      </c>
      <c r="H198" s="2" t="s">
        <v>152</v>
      </c>
      <c r="I198" s="13">
        <v>3</v>
      </c>
      <c r="J198" s="10">
        <v>21173.25</v>
      </c>
      <c r="K198" s="10">
        <f t="shared" si="7"/>
        <v>63519.75</v>
      </c>
      <c r="L198" s="2">
        <v>0.2</v>
      </c>
      <c r="M198" s="2" t="s">
        <v>17</v>
      </c>
      <c r="N198" s="2" t="s">
        <v>52</v>
      </c>
    </row>
    <row r="199" spans="1:14" x14ac:dyDescent="0.2">
      <c r="A199" s="13">
        <v>100958</v>
      </c>
      <c r="B199" s="5">
        <v>45557</v>
      </c>
      <c r="C199" s="5" t="str">
        <f t="shared" si="6"/>
        <v>Sep</v>
      </c>
      <c r="D199" s="2" t="s">
        <v>1069</v>
      </c>
      <c r="E199" s="2" t="s">
        <v>61</v>
      </c>
      <c r="F199" s="2" t="s">
        <v>14</v>
      </c>
      <c r="G199" s="2" t="s">
        <v>64</v>
      </c>
      <c r="H199" s="2" t="s">
        <v>292</v>
      </c>
      <c r="I199" s="13">
        <v>8</v>
      </c>
      <c r="J199" s="10">
        <v>824.21</v>
      </c>
      <c r="K199" s="10">
        <f t="shared" si="7"/>
        <v>6593.68</v>
      </c>
      <c r="L199" s="2">
        <v>0.15</v>
      </c>
      <c r="M199" s="2" t="s">
        <v>24</v>
      </c>
      <c r="N199" s="2" t="s">
        <v>35</v>
      </c>
    </row>
    <row r="200" spans="1:14" x14ac:dyDescent="0.2">
      <c r="A200" s="13">
        <v>100675</v>
      </c>
      <c r="B200" s="5">
        <v>45464</v>
      </c>
      <c r="C200" s="5" t="str">
        <f t="shared" si="6"/>
        <v>Jun</v>
      </c>
      <c r="D200" s="2" t="s">
        <v>1069</v>
      </c>
      <c r="E200" s="2" t="s">
        <v>31</v>
      </c>
      <c r="F200" s="2" t="s">
        <v>54</v>
      </c>
      <c r="G200" s="2" t="s">
        <v>45</v>
      </c>
      <c r="H200" s="2" t="s">
        <v>149</v>
      </c>
      <c r="I200" s="13">
        <v>5</v>
      </c>
      <c r="J200" s="10">
        <v>43380.42</v>
      </c>
      <c r="K200" s="10">
        <f t="shared" si="7"/>
        <v>216902.09999999998</v>
      </c>
      <c r="L200" s="2">
        <v>0</v>
      </c>
      <c r="M200" s="2" t="s">
        <v>29</v>
      </c>
      <c r="N200" s="2" t="s">
        <v>35</v>
      </c>
    </row>
    <row r="201" spans="1:14" x14ac:dyDescent="0.2">
      <c r="A201" s="13">
        <v>101939</v>
      </c>
      <c r="B201" s="5">
        <v>45361</v>
      </c>
      <c r="C201" s="5" t="str">
        <f t="shared" si="6"/>
        <v>Mar</v>
      </c>
      <c r="D201" s="2" t="s">
        <v>325</v>
      </c>
      <c r="E201" s="2" t="s">
        <v>27</v>
      </c>
      <c r="F201" s="2" t="s">
        <v>21</v>
      </c>
      <c r="G201" s="2" t="s">
        <v>33</v>
      </c>
      <c r="H201" s="2" t="s">
        <v>34</v>
      </c>
      <c r="I201" s="13">
        <v>12</v>
      </c>
      <c r="J201" s="10">
        <v>410.62</v>
      </c>
      <c r="K201" s="10">
        <f t="shared" si="7"/>
        <v>4927.4400000000005</v>
      </c>
      <c r="L201" s="2">
        <v>0</v>
      </c>
      <c r="M201" s="2" t="s">
        <v>17</v>
      </c>
      <c r="N201" s="2" t="s">
        <v>18</v>
      </c>
    </row>
    <row r="202" spans="1:14" x14ac:dyDescent="0.2">
      <c r="A202" s="13">
        <v>100526</v>
      </c>
      <c r="B202" s="5">
        <v>45295</v>
      </c>
      <c r="C202" s="5" t="str">
        <f t="shared" si="6"/>
        <v>Jan</v>
      </c>
      <c r="D202" s="2" t="s">
        <v>326</v>
      </c>
      <c r="E202" s="2" t="s">
        <v>31</v>
      </c>
      <c r="F202" s="2" t="s">
        <v>54</v>
      </c>
      <c r="G202" s="2" t="s">
        <v>33</v>
      </c>
      <c r="H202" s="2" t="s">
        <v>81</v>
      </c>
      <c r="I202" s="13">
        <v>12</v>
      </c>
      <c r="J202" s="10">
        <v>461.87</v>
      </c>
      <c r="K202" s="10">
        <f t="shared" si="7"/>
        <v>5542.4400000000005</v>
      </c>
      <c r="L202" s="2">
        <v>0</v>
      </c>
      <c r="M202" s="2" t="s">
        <v>83</v>
      </c>
      <c r="N202" s="2" t="s">
        <v>35</v>
      </c>
    </row>
    <row r="203" spans="1:14" x14ac:dyDescent="0.2">
      <c r="A203" s="13">
        <v>101337</v>
      </c>
      <c r="B203" s="5">
        <v>45365</v>
      </c>
      <c r="C203" s="5" t="str">
        <f t="shared" si="6"/>
        <v>Mar</v>
      </c>
      <c r="D203" s="2" t="s">
        <v>327</v>
      </c>
      <c r="E203" s="2" t="s">
        <v>37</v>
      </c>
      <c r="F203" s="2" t="s">
        <v>69</v>
      </c>
      <c r="G203" s="2" t="s">
        <v>15</v>
      </c>
      <c r="H203" s="2" t="s">
        <v>152</v>
      </c>
      <c r="I203" s="13">
        <v>9</v>
      </c>
      <c r="J203" s="10">
        <v>24122.47</v>
      </c>
      <c r="K203" s="10">
        <f t="shared" si="7"/>
        <v>217102.23</v>
      </c>
      <c r="L203" s="2">
        <v>0.15</v>
      </c>
      <c r="M203" s="2" t="s">
        <v>24</v>
      </c>
      <c r="N203" s="2" t="s">
        <v>52</v>
      </c>
    </row>
    <row r="204" spans="1:14" x14ac:dyDescent="0.2">
      <c r="A204" s="13">
        <v>101786</v>
      </c>
      <c r="B204" s="5">
        <v>45345</v>
      </c>
      <c r="C204" s="5" t="str">
        <f t="shared" si="6"/>
        <v>Feb</v>
      </c>
      <c r="D204" s="2" t="s">
        <v>328</v>
      </c>
      <c r="E204" s="2" t="s">
        <v>140</v>
      </c>
      <c r="F204" s="2" t="s">
        <v>49</v>
      </c>
      <c r="G204" s="2" t="s">
        <v>50</v>
      </c>
      <c r="H204" s="2" t="s">
        <v>56</v>
      </c>
      <c r="I204" s="13">
        <v>6</v>
      </c>
      <c r="J204" s="10">
        <v>6558.77</v>
      </c>
      <c r="K204" s="10">
        <f t="shared" si="7"/>
        <v>39352.620000000003</v>
      </c>
      <c r="L204" s="2">
        <v>0.15</v>
      </c>
      <c r="M204" s="2" t="s">
        <v>24</v>
      </c>
      <c r="N204" s="2" t="s">
        <v>35</v>
      </c>
    </row>
    <row r="205" spans="1:14" x14ac:dyDescent="0.2">
      <c r="A205" s="13">
        <v>101556</v>
      </c>
      <c r="B205" s="5">
        <v>45526</v>
      </c>
      <c r="C205" s="5" t="str">
        <f t="shared" si="6"/>
        <v>Aug</v>
      </c>
      <c r="D205" s="2" t="s">
        <v>659</v>
      </c>
      <c r="E205" s="2" t="s">
        <v>31</v>
      </c>
      <c r="F205" s="2" t="s">
        <v>32</v>
      </c>
      <c r="G205" s="2" t="s">
        <v>33</v>
      </c>
      <c r="H205" s="2" t="s">
        <v>158</v>
      </c>
      <c r="I205" s="13">
        <v>9</v>
      </c>
      <c r="J205" s="10">
        <v>262.04000000000002</v>
      </c>
      <c r="K205" s="10">
        <f t="shared" si="7"/>
        <v>2358.36</v>
      </c>
      <c r="L205" s="2">
        <v>0</v>
      </c>
      <c r="M205" s="2" t="s">
        <v>24</v>
      </c>
      <c r="N205" s="2" t="s">
        <v>42</v>
      </c>
    </row>
    <row r="206" spans="1:14" x14ac:dyDescent="0.2">
      <c r="A206" s="13">
        <v>100453</v>
      </c>
      <c r="B206" s="5">
        <v>45519</v>
      </c>
      <c r="C206" s="5" t="str">
        <f t="shared" si="6"/>
        <v>Aug</v>
      </c>
      <c r="D206" s="2" t="s">
        <v>331</v>
      </c>
      <c r="E206" s="2" t="s">
        <v>37</v>
      </c>
      <c r="F206" s="2" t="s">
        <v>38</v>
      </c>
      <c r="G206" s="2" t="s">
        <v>15</v>
      </c>
      <c r="H206" s="2" t="s">
        <v>152</v>
      </c>
      <c r="I206" s="13">
        <v>3</v>
      </c>
      <c r="J206" s="10">
        <v>15091.21</v>
      </c>
      <c r="K206" s="10">
        <f t="shared" si="7"/>
        <v>45273.63</v>
      </c>
      <c r="L206" s="2">
        <v>0.1</v>
      </c>
      <c r="M206" s="2" t="s">
        <v>41</v>
      </c>
      <c r="N206" s="2" t="s">
        <v>121</v>
      </c>
    </row>
    <row r="207" spans="1:14" x14ac:dyDescent="0.2">
      <c r="A207" s="13">
        <v>100591</v>
      </c>
      <c r="B207" s="5">
        <v>45510</v>
      </c>
      <c r="C207" s="5" t="str">
        <f t="shared" si="6"/>
        <v>Aug</v>
      </c>
      <c r="D207" s="2" t="s">
        <v>332</v>
      </c>
      <c r="E207" s="2" t="s">
        <v>37</v>
      </c>
      <c r="F207" s="2" t="s">
        <v>38</v>
      </c>
      <c r="G207" s="2" t="s">
        <v>64</v>
      </c>
      <c r="H207" s="2" t="s">
        <v>165</v>
      </c>
      <c r="I207" s="13">
        <v>10</v>
      </c>
      <c r="J207" s="10">
        <v>219.14</v>
      </c>
      <c r="K207" s="10">
        <f t="shared" si="7"/>
        <v>2191.3999999999996</v>
      </c>
      <c r="L207" s="2">
        <v>0</v>
      </c>
      <c r="M207" s="2" t="s">
        <v>41</v>
      </c>
      <c r="N207" s="2" t="s">
        <v>18</v>
      </c>
    </row>
    <row r="208" spans="1:14" x14ac:dyDescent="0.2">
      <c r="A208" s="13">
        <v>101068</v>
      </c>
      <c r="B208" s="5">
        <v>45370</v>
      </c>
      <c r="C208" s="5" t="str">
        <f t="shared" si="6"/>
        <v>Mar</v>
      </c>
      <c r="D208" s="2" t="s">
        <v>313</v>
      </c>
      <c r="E208" s="2" t="s">
        <v>37</v>
      </c>
      <c r="F208" s="2" t="s">
        <v>38</v>
      </c>
      <c r="G208" s="2" t="s">
        <v>45</v>
      </c>
      <c r="H208" s="2" t="s">
        <v>71</v>
      </c>
      <c r="I208" s="13">
        <v>8</v>
      </c>
      <c r="J208" s="10">
        <v>30161.360000000001</v>
      </c>
      <c r="K208" s="10">
        <f t="shared" si="7"/>
        <v>241290.88</v>
      </c>
      <c r="L208" s="2">
        <v>0.2</v>
      </c>
      <c r="M208" s="2" t="s">
        <v>83</v>
      </c>
      <c r="N208" s="2" t="s">
        <v>35</v>
      </c>
    </row>
    <row r="209" spans="1:14" x14ac:dyDescent="0.2">
      <c r="A209" s="13">
        <v>101150</v>
      </c>
      <c r="B209" s="5">
        <v>45579</v>
      </c>
      <c r="C209" s="5" t="str">
        <f t="shared" si="6"/>
        <v>Oct</v>
      </c>
      <c r="D209" s="2" t="s">
        <v>333</v>
      </c>
      <c r="E209" s="2" t="s">
        <v>140</v>
      </c>
      <c r="F209" s="2" t="s">
        <v>79</v>
      </c>
      <c r="G209" s="2" t="s">
        <v>22</v>
      </c>
      <c r="H209" s="2" t="s">
        <v>145</v>
      </c>
      <c r="I209" s="13">
        <v>5</v>
      </c>
      <c r="J209" s="10">
        <v>0</v>
      </c>
      <c r="K209" s="10">
        <f t="shared" si="7"/>
        <v>0</v>
      </c>
      <c r="L209" s="2">
        <v>0</v>
      </c>
      <c r="M209" s="2" t="s">
        <v>66</v>
      </c>
      <c r="N209" s="2" t="s">
        <v>143</v>
      </c>
    </row>
    <row r="210" spans="1:14" x14ac:dyDescent="0.2">
      <c r="A210" s="13">
        <v>100741</v>
      </c>
      <c r="B210" s="5">
        <v>45317</v>
      </c>
      <c r="C210" s="5" t="str">
        <f t="shared" si="6"/>
        <v>Jan</v>
      </c>
      <c r="D210" s="2" t="s">
        <v>334</v>
      </c>
      <c r="E210" s="2" t="s">
        <v>27</v>
      </c>
      <c r="F210" s="2" t="s">
        <v>21</v>
      </c>
      <c r="G210" s="2" t="s">
        <v>33</v>
      </c>
      <c r="H210" s="2" t="s">
        <v>93</v>
      </c>
      <c r="I210" s="13">
        <v>3</v>
      </c>
      <c r="J210" s="10">
        <v>254.93</v>
      </c>
      <c r="K210" s="10">
        <f t="shared" si="7"/>
        <v>764.79</v>
      </c>
      <c r="L210" s="2">
        <v>0.05</v>
      </c>
      <c r="M210" s="2" t="s">
        <v>66</v>
      </c>
      <c r="N210" s="2" t="s">
        <v>87</v>
      </c>
    </row>
    <row r="211" spans="1:14" x14ac:dyDescent="0.2">
      <c r="A211" s="13">
        <v>101606</v>
      </c>
      <c r="B211" s="5">
        <v>45635</v>
      </c>
      <c r="C211" s="5" t="str">
        <f t="shared" si="6"/>
        <v>Dec</v>
      </c>
      <c r="D211" s="2" t="s">
        <v>1069</v>
      </c>
      <c r="E211" s="2" t="s">
        <v>61</v>
      </c>
      <c r="F211" s="2" t="s">
        <v>119</v>
      </c>
      <c r="G211" s="2" t="s">
        <v>45</v>
      </c>
      <c r="H211" s="2" t="s">
        <v>149</v>
      </c>
      <c r="I211" s="13">
        <v>12</v>
      </c>
      <c r="J211" s="10">
        <v>43735.65</v>
      </c>
      <c r="K211" s="10">
        <f t="shared" si="7"/>
        <v>524827.80000000005</v>
      </c>
      <c r="L211" s="2">
        <v>0.25</v>
      </c>
      <c r="M211" s="2" t="s">
        <v>41</v>
      </c>
      <c r="N211" s="2" t="s">
        <v>25</v>
      </c>
    </row>
    <row r="212" spans="1:14" x14ac:dyDescent="0.2">
      <c r="A212" s="13">
        <v>101871</v>
      </c>
      <c r="B212" s="5">
        <v>45300</v>
      </c>
      <c r="C212" s="5" t="str">
        <f t="shared" si="6"/>
        <v>Jan</v>
      </c>
      <c r="D212" s="2" t="s">
        <v>335</v>
      </c>
      <c r="E212" s="2" t="s">
        <v>31</v>
      </c>
      <c r="F212" s="2" t="s">
        <v>54</v>
      </c>
      <c r="G212" s="2" t="s">
        <v>45</v>
      </c>
      <c r="H212" s="2" t="s">
        <v>111</v>
      </c>
      <c r="I212" s="13">
        <v>6</v>
      </c>
      <c r="J212" s="10">
        <v>26019.759999999998</v>
      </c>
      <c r="K212" s="10">
        <f t="shared" si="7"/>
        <v>156118.56</v>
      </c>
      <c r="L212" s="2">
        <v>0.05</v>
      </c>
      <c r="M212" s="2" t="s">
        <v>41</v>
      </c>
      <c r="N212" s="2" t="s">
        <v>35</v>
      </c>
    </row>
    <row r="213" spans="1:14" x14ac:dyDescent="0.2">
      <c r="A213" s="13">
        <v>100142</v>
      </c>
      <c r="B213" s="5">
        <v>45591</v>
      </c>
      <c r="C213" s="5" t="str">
        <f t="shared" si="6"/>
        <v>Oct</v>
      </c>
      <c r="D213" s="2" t="s">
        <v>336</v>
      </c>
      <c r="E213" s="2" t="s">
        <v>27</v>
      </c>
      <c r="F213" s="2" t="s">
        <v>133</v>
      </c>
      <c r="G213" s="2" t="s">
        <v>50</v>
      </c>
      <c r="H213" s="2" t="s">
        <v>62</v>
      </c>
      <c r="I213" s="13">
        <v>5</v>
      </c>
      <c r="J213" s="10">
        <v>8678.0499999999993</v>
      </c>
      <c r="K213" s="10">
        <f t="shared" si="7"/>
        <v>43390.25</v>
      </c>
      <c r="L213" s="2">
        <v>0</v>
      </c>
      <c r="M213" s="2" t="s">
        <v>24</v>
      </c>
      <c r="N213" s="2" t="s">
        <v>87</v>
      </c>
    </row>
    <row r="214" spans="1:14" x14ac:dyDescent="0.2">
      <c r="A214" s="13">
        <v>100362</v>
      </c>
      <c r="B214" s="5">
        <v>45353</v>
      </c>
      <c r="C214" s="5" t="str">
        <f t="shared" si="6"/>
        <v>Mar</v>
      </c>
      <c r="D214" s="2" t="s">
        <v>337</v>
      </c>
      <c r="E214" s="2" t="s">
        <v>37</v>
      </c>
      <c r="F214" s="2" t="s">
        <v>38</v>
      </c>
      <c r="G214" s="2" t="s">
        <v>45</v>
      </c>
      <c r="H214" s="2" t="s">
        <v>46</v>
      </c>
      <c r="I214" s="13">
        <v>7</v>
      </c>
      <c r="J214" s="10">
        <v>2681.95</v>
      </c>
      <c r="K214" s="10">
        <f t="shared" si="7"/>
        <v>18773.649999999998</v>
      </c>
      <c r="L214" s="2">
        <v>0.15</v>
      </c>
      <c r="M214" s="2" t="s">
        <v>24</v>
      </c>
      <c r="N214" s="2" t="s">
        <v>25</v>
      </c>
    </row>
    <row r="215" spans="1:14" x14ac:dyDescent="0.2">
      <c r="A215" s="13">
        <v>100836</v>
      </c>
      <c r="B215" s="5">
        <v>45429</v>
      </c>
      <c r="C215" s="5" t="str">
        <f t="shared" si="6"/>
        <v>May</v>
      </c>
      <c r="D215" s="2" t="s">
        <v>339</v>
      </c>
      <c r="E215" s="2" t="s">
        <v>31</v>
      </c>
      <c r="F215" s="2" t="s">
        <v>32</v>
      </c>
      <c r="G215" s="2" t="s">
        <v>22</v>
      </c>
      <c r="H215" s="2" t="s">
        <v>145</v>
      </c>
      <c r="I215" s="13">
        <v>12</v>
      </c>
      <c r="J215" s="10">
        <v>941.97</v>
      </c>
      <c r="K215" s="10">
        <f t="shared" si="7"/>
        <v>11303.64</v>
      </c>
      <c r="L215" s="2">
        <v>0.1</v>
      </c>
      <c r="M215" s="2" t="s">
        <v>83</v>
      </c>
      <c r="N215" s="2" t="s">
        <v>35</v>
      </c>
    </row>
    <row r="216" spans="1:14" x14ac:dyDescent="0.2">
      <c r="A216" s="13">
        <v>101881</v>
      </c>
      <c r="B216" s="5">
        <v>45353</v>
      </c>
      <c r="C216" s="5" t="str">
        <f t="shared" si="6"/>
        <v>Mar</v>
      </c>
      <c r="D216" s="2" t="s">
        <v>310</v>
      </c>
      <c r="E216" s="2" t="s">
        <v>61</v>
      </c>
      <c r="F216" s="2" t="s">
        <v>14</v>
      </c>
      <c r="G216" s="2" t="s">
        <v>45</v>
      </c>
      <c r="H216" s="2" t="s">
        <v>111</v>
      </c>
      <c r="I216" s="13">
        <v>2</v>
      </c>
      <c r="J216" s="10">
        <v>31872.34</v>
      </c>
      <c r="K216" s="10">
        <f t="shared" si="7"/>
        <v>63744.68</v>
      </c>
      <c r="L216" s="2">
        <v>0.2</v>
      </c>
      <c r="M216" s="2" t="s">
        <v>66</v>
      </c>
      <c r="N216" s="2" t="s">
        <v>35</v>
      </c>
    </row>
    <row r="217" spans="1:14" x14ac:dyDescent="0.2">
      <c r="A217" s="13">
        <v>101917</v>
      </c>
      <c r="B217" s="5">
        <v>45419</v>
      </c>
      <c r="C217" s="5" t="str">
        <f t="shared" si="6"/>
        <v>May</v>
      </c>
      <c r="D217" s="2" t="s">
        <v>341</v>
      </c>
      <c r="E217" s="2" t="s">
        <v>27</v>
      </c>
      <c r="F217" s="2" t="s">
        <v>21</v>
      </c>
      <c r="G217" s="2" t="s">
        <v>22</v>
      </c>
      <c r="H217" s="2" t="s">
        <v>75</v>
      </c>
      <c r="I217" s="13">
        <v>9</v>
      </c>
      <c r="J217" s="10">
        <v>3326.02</v>
      </c>
      <c r="K217" s="10">
        <f t="shared" si="7"/>
        <v>29934.18</v>
      </c>
      <c r="L217" s="2">
        <v>0.2</v>
      </c>
      <c r="M217" s="2" t="s">
        <v>41</v>
      </c>
      <c r="N217" s="2" t="s">
        <v>87</v>
      </c>
    </row>
    <row r="218" spans="1:14" x14ac:dyDescent="0.2">
      <c r="A218" s="13">
        <v>101386</v>
      </c>
      <c r="B218" s="5">
        <v>45345</v>
      </c>
      <c r="C218" s="5" t="str">
        <f t="shared" si="6"/>
        <v>Feb</v>
      </c>
      <c r="D218" s="2" t="s">
        <v>342</v>
      </c>
      <c r="E218" s="2" t="s">
        <v>140</v>
      </c>
      <c r="F218" s="2" t="s">
        <v>49</v>
      </c>
      <c r="G218" s="2" t="s">
        <v>106</v>
      </c>
      <c r="H218" s="2" t="s">
        <v>156</v>
      </c>
      <c r="I218" s="13">
        <v>12</v>
      </c>
      <c r="J218" s="10">
        <v>2038.91</v>
      </c>
      <c r="K218" s="10">
        <f t="shared" si="7"/>
        <v>24466.920000000002</v>
      </c>
      <c r="L218" s="2">
        <v>0.25</v>
      </c>
      <c r="M218" s="2" t="s">
        <v>29</v>
      </c>
      <c r="N218" s="2" t="s">
        <v>121</v>
      </c>
    </row>
    <row r="219" spans="1:14" x14ac:dyDescent="0.2">
      <c r="A219" s="13">
        <v>101873</v>
      </c>
      <c r="B219" s="5">
        <v>45405</v>
      </c>
      <c r="C219" s="5" t="str">
        <f t="shared" si="6"/>
        <v>Apr</v>
      </c>
      <c r="D219" s="2" t="s">
        <v>343</v>
      </c>
      <c r="E219" s="2" t="s">
        <v>37</v>
      </c>
      <c r="F219" s="2" t="s">
        <v>38</v>
      </c>
      <c r="G219" s="2" t="s">
        <v>64</v>
      </c>
      <c r="H219" s="2" t="s">
        <v>292</v>
      </c>
      <c r="I219" s="13">
        <v>8</v>
      </c>
      <c r="J219" s="10">
        <v>322.11</v>
      </c>
      <c r="K219" s="10">
        <f t="shared" si="7"/>
        <v>2576.88</v>
      </c>
      <c r="L219" s="2">
        <v>0</v>
      </c>
      <c r="M219" s="2" t="s">
        <v>41</v>
      </c>
      <c r="N219" s="2" t="s">
        <v>87</v>
      </c>
    </row>
    <row r="220" spans="1:14" x14ac:dyDescent="0.2">
      <c r="A220" s="13">
        <v>100368</v>
      </c>
      <c r="B220" s="5">
        <v>45618</v>
      </c>
      <c r="C220" s="5" t="str">
        <f t="shared" si="6"/>
        <v>Nov</v>
      </c>
      <c r="D220" s="2" t="s">
        <v>344</v>
      </c>
      <c r="E220" s="2" t="s">
        <v>27</v>
      </c>
      <c r="F220" s="2" t="s">
        <v>133</v>
      </c>
      <c r="G220" s="2" t="s">
        <v>50</v>
      </c>
      <c r="H220" s="2" t="s">
        <v>56</v>
      </c>
      <c r="I220" s="13">
        <v>8</v>
      </c>
      <c r="J220" s="10">
        <v>0</v>
      </c>
      <c r="K220" s="10">
        <f t="shared" si="7"/>
        <v>0</v>
      </c>
      <c r="L220" s="2">
        <v>0.05</v>
      </c>
      <c r="M220" s="2" t="s">
        <v>66</v>
      </c>
      <c r="N220" s="2" t="s">
        <v>42</v>
      </c>
    </row>
    <row r="221" spans="1:14" x14ac:dyDescent="0.2">
      <c r="A221" s="13">
        <v>101994</v>
      </c>
      <c r="B221" s="5">
        <v>45385</v>
      </c>
      <c r="C221" s="5" t="str">
        <f t="shared" si="6"/>
        <v>Apr</v>
      </c>
      <c r="D221" s="2" t="s">
        <v>234</v>
      </c>
      <c r="E221" s="2" t="s">
        <v>61</v>
      </c>
      <c r="F221" s="2" t="s">
        <v>14</v>
      </c>
      <c r="G221" s="2" t="s">
        <v>15</v>
      </c>
      <c r="H221" s="2" t="s">
        <v>16</v>
      </c>
      <c r="I221" s="13">
        <v>4</v>
      </c>
      <c r="J221" s="10">
        <v>3114.05</v>
      </c>
      <c r="K221" s="10">
        <f t="shared" si="7"/>
        <v>12456.2</v>
      </c>
      <c r="L221" s="2">
        <v>0</v>
      </c>
      <c r="M221" s="2" t="s">
        <v>41</v>
      </c>
      <c r="N221" s="2" t="s">
        <v>121</v>
      </c>
    </row>
    <row r="222" spans="1:14" x14ac:dyDescent="0.2">
      <c r="A222" s="13">
        <v>101188</v>
      </c>
      <c r="B222" s="5">
        <v>45563</v>
      </c>
      <c r="C222" s="5" t="str">
        <f t="shared" si="6"/>
        <v>Sep</v>
      </c>
      <c r="D222" s="2" t="s">
        <v>345</v>
      </c>
      <c r="E222" s="2" t="s">
        <v>37</v>
      </c>
      <c r="F222" s="2" t="s">
        <v>38</v>
      </c>
      <c r="G222" s="2" t="s">
        <v>106</v>
      </c>
      <c r="H222" s="2" t="s">
        <v>135</v>
      </c>
      <c r="I222" s="13">
        <v>1</v>
      </c>
      <c r="J222" s="10">
        <v>699.67</v>
      </c>
      <c r="K222" s="10">
        <f t="shared" si="7"/>
        <v>699.67</v>
      </c>
      <c r="L222" s="2">
        <v>0.1</v>
      </c>
      <c r="M222" s="2" t="s">
        <v>66</v>
      </c>
      <c r="N222" s="2" t="s">
        <v>143</v>
      </c>
    </row>
    <row r="223" spans="1:14" x14ac:dyDescent="0.2">
      <c r="A223" s="13">
        <v>100831</v>
      </c>
      <c r="B223" s="5">
        <v>45306</v>
      </c>
      <c r="C223" s="5" t="str">
        <f t="shared" si="6"/>
        <v>Jan</v>
      </c>
      <c r="D223" s="2" t="s">
        <v>346</v>
      </c>
      <c r="E223" s="2" t="s">
        <v>31</v>
      </c>
      <c r="F223" s="2" t="s">
        <v>54</v>
      </c>
      <c r="G223" s="2" t="s">
        <v>45</v>
      </c>
      <c r="H223" s="2" t="s">
        <v>71</v>
      </c>
      <c r="I223" s="13">
        <v>5</v>
      </c>
      <c r="J223" s="10">
        <v>12902.69</v>
      </c>
      <c r="K223" s="10">
        <f t="shared" si="7"/>
        <v>64513.450000000004</v>
      </c>
      <c r="L223" s="2">
        <v>0.25</v>
      </c>
      <c r="M223" s="2" t="s">
        <v>17</v>
      </c>
      <c r="N223" s="2" t="s">
        <v>143</v>
      </c>
    </row>
    <row r="224" spans="1:14" x14ac:dyDescent="0.2">
      <c r="A224" s="13">
        <v>101636</v>
      </c>
      <c r="B224" s="5">
        <v>45300</v>
      </c>
      <c r="C224" s="5" t="str">
        <f t="shared" si="6"/>
        <v>Jan</v>
      </c>
      <c r="D224" s="2" t="s">
        <v>348</v>
      </c>
      <c r="E224" s="2" t="s">
        <v>27</v>
      </c>
      <c r="F224" s="2" t="s">
        <v>133</v>
      </c>
      <c r="G224" s="2" t="s">
        <v>106</v>
      </c>
      <c r="H224" s="2" t="s">
        <v>156</v>
      </c>
      <c r="I224" s="13">
        <v>2</v>
      </c>
      <c r="J224" s="10">
        <v>3529.68</v>
      </c>
      <c r="K224" s="10">
        <f t="shared" si="7"/>
        <v>7059.36</v>
      </c>
      <c r="L224" s="2">
        <v>0.05</v>
      </c>
      <c r="M224" s="2" t="s">
        <v>24</v>
      </c>
      <c r="N224" s="2" t="s">
        <v>18</v>
      </c>
    </row>
    <row r="225" spans="1:14" x14ac:dyDescent="0.2">
      <c r="A225" s="13">
        <v>101978</v>
      </c>
      <c r="B225" s="5">
        <v>45385</v>
      </c>
      <c r="C225" s="5" t="str">
        <f t="shared" si="6"/>
        <v>Apr</v>
      </c>
      <c r="D225" s="2" t="s">
        <v>349</v>
      </c>
      <c r="E225" s="2" t="s">
        <v>61</v>
      </c>
      <c r="F225" s="2" t="s">
        <v>119</v>
      </c>
      <c r="G225" s="2" t="s">
        <v>33</v>
      </c>
      <c r="H225" s="2" t="s">
        <v>93</v>
      </c>
      <c r="I225" s="13">
        <v>9</v>
      </c>
      <c r="J225" s="10">
        <v>480.86</v>
      </c>
      <c r="K225" s="10">
        <f t="shared" si="7"/>
        <v>4327.74</v>
      </c>
      <c r="L225" s="2">
        <v>0</v>
      </c>
      <c r="M225" s="2" t="s">
        <v>17</v>
      </c>
      <c r="N225" s="2" t="s">
        <v>25</v>
      </c>
    </row>
    <row r="226" spans="1:14" x14ac:dyDescent="0.2">
      <c r="A226" s="13">
        <v>100352</v>
      </c>
      <c r="B226" s="5">
        <v>45468</v>
      </c>
      <c r="C226" s="5" t="str">
        <f t="shared" si="6"/>
        <v>Jun</v>
      </c>
      <c r="D226" s="2" t="s">
        <v>351</v>
      </c>
      <c r="E226" s="2" t="s">
        <v>140</v>
      </c>
      <c r="F226" s="2" t="s">
        <v>79</v>
      </c>
      <c r="G226" s="2" t="s">
        <v>33</v>
      </c>
      <c r="H226" s="2" t="s">
        <v>34</v>
      </c>
      <c r="I226" s="13">
        <v>9</v>
      </c>
      <c r="J226" s="10">
        <v>587.30999999999995</v>
      </c>
      <c r="K226" s="10">
        <f t="shared" si="7"/>
        <v>5285.7899999999991</v>
      </c>
      <c r="L226" s="2">
        <v>0.1</v>
      </c>
      <c r="M226" s="2" t="s">
        <v>17</v>
      </c>
      <c r="N226" s="2" t="s">
        <v>25</v>
      </c>
    </row>
    <row r="227" spans="1:14" x14ac:dyDescent="0.2">
      <c r="A227" s="13">
        <v>100545</v>
      </c>
      <c r="B227" s="5">
        <v>45595</v>
      </c>
      <c r="C227" s="5" t="str">
        <f t="shared" si="6"/>
        <v>Oct</v>
      </c>
      <c r="D227" s="2" t="s">
        <v>352</v>
      </c>
      <c r="E227" s="2" t="s">
        <v>37</v>
      </c>
      <c r="F227" s="2" t="s">
        <v>38</v>
      </c>
      <c r="G227" s="2" t="s">
        <v>106</v>
      </c>
      <c r="H227" s="2" t="s">
        <v>137</v>
      </c>
      <c r="I227" s="13">
        <v>2</v>
      </c>
      <c r="J227" s="10">
        <v>3422.63</v>
      </c>
      <c r="K227" s="10">
        <f t="shared" si="7"/>
        <v>6845.26</v>
      </c>
      <c r="L227" s="2">
        <v>0.2</v>
      </c>
      <c r="M227" s="2" t="s">
        <v>17</v>
      </c>
      <c r="N227" s="2" t="s">
        <v>143</v>
      </c>
    </row>
    <row r="228" spans="1:14" x14ac:dyDescent="0.2">
      <c r="A228" s="13">
        <v>101168</v>
      </c>
      <c r="B228" s="5">
        <v>45432</v>
      </c>
      <c r="C228" s="5" t="str">
        <f t="shared" si="6"/>
        <v>May</v>
      </c>
      <c r="D228" s="2" t="s">
        <v>353</v>
      </c>
      <c r="E228" s="2" t="s">
        <v>31</v>
      </c>
      <c r="F228" s="2" t="s">
        <v>54</v>
      </c>
      <c r="G228" s="2" t="s">
        <v>50</v>
      </c>
      <c r="H228" s="2" t="s">
        <v>51</v>
      </c>
      <c r="I228" s="13">
        <v>5</v>
      </c>
      <c r="J228" s="10">
        <v>4030.02</v>
      </c>
      <c r="K228" s="10">
        <f t="shared" si="7"/>
        <v>20150.099999999999</v>
      </c>
      <c r="L228" s="2">
        <v>0</v>
      </c>
      <c r="M228" s="2" t="s">
        <v>83</v>
      </c>
      <c r="N228" s="2" t="s">
        <v>42</v>
      </c>
    </row>
    <row r="229" spans="1:14" x14ac:dyDescent="0.2">
      <c r="A229" s="13">
        <v>101924</v>
      </c>
      <c r="B229" s="5">
        <v>45620</v>
      </c>
      <c r="C229" s="5" t="str">
        <f t="shared" si="6"/>
        <v>Nov</v>
      </c>
      <c r="D229" s="2" t="s">
        <v>354</v>
      </c>
      <c r="E229" s="2" t="s">
        <v>31</v>
      </c>
      <c r="F229" s="2" t="s">
        <v>54</v>
      </c>
      <c r="G229" s="2" t="s">
        <v>45</v>
      </c>
      <c r="H229" s="2" t="s">
        <v>149</v>
      </c>
      <c r="I229" s="13">
        <v>2</v>
      </c>
      <c r="J229" s="10">
        <v>35392.07</v>
      </c>
      <c r="K229" s="10">
        <f t="shared" si="7"/>
        <v>70784.14</v>
      </c>
      <c r="L229" s="2">
        <v>0</v>
      </c>
      <c r="M229" s="2" t="s">
        <v>29</v>
      </c>
      <c r="N229" s="2" t="s">
        <v>87</v>
      </c>
    </row>
    <row r="230" spans="1:14" x14ac:dyDescent="0.2">
      <c r="A230" s="13">
        <v>101677</v>
      </c>
      <c r="B230" s="5">
        <v>45411</v>
      </c>
      <c r="C230" s="5" t="str">
        <f t="shared" si="6"/>
        <v>Apr</v>
      </c>
      <c r="D230" s="2" t="s">
        <v>356</v>
      </c>
      <c r="E230" s="2" t="s">
        <v>37</v>
      </c>
      <c r="F230" s="2" t="s">
        <v>69</v>
      </c>
      <c r="G230" s="2" t="s">
        <v>15</v>
      </c>
      <c r="H230" s="2" t="s">
        <v>205</v>
      </c>
      <c r="I230" s="13">
        <v>9</v>
      </c>
      <c r="J230" s="10">
        <v>21610.6</v>
      </c>
      <c r="K230" s="10">
        <f t="shared" si="7"/>
        <v>194495.4</v>
      </c>
      <c r="L230" s="2">
        <v>0.15</v>
      </c>
      <c r="M230" s="2" t="s">
        <v>24</v>
      </c>
      <c r="N230" s="2" t="s">
        <v>143</v>
      </c>
    </row>
    <row r="231" spans="1:14" x14ac:dyDescent="0.2">
      <c r="A231" s="13">
        <v>101157</v>
      </c>
      <c r="B231" s="5">
        <v>45386</v>
      </c>
      <c r="C231" s="5" t="str">
        <f t="shared" si="6"/>
        <v>Apr</v>
      </c>
      <c r="D231" s="2" t="s">
        <v>358</v>
      </c>
      <c r="E231" s="2" t="s">
        <v>140</v>
      </c>
      <c r="F231" s="2" t="s">
        <v>49</v>
      </c>
      <c r="G231" s="2" t="s">
        <v>45</v>
      </c>
      <c r="H231" s="2" t="s">
        <v>71</v>
      </c>
      <c r="I231" s="13">
        <v>4</v>
      </c>
      <c r="J231" s="10">
        <v>21136.67</v>
      </c>
      <c r="K231" s="10">
        <f t="shared" si="7"/>
        <v>84546.68</v>
      </c>
      <c r="L231" s="2">
        <v>0.1</v>
      </c>
      <c r="M231" s="2" t="s">
        <v>17</v>
      </c>
      <c r="N231" s="2" t="s">
        <v>18</v>
      </c>
    </row>
    <row r="232" spans="1:14" x14ac:dyDescent="0.2">
      <c r="A232" s="13">
        <v>101852</v>
      </c>
      <c r="B232" s="5">
        <v>45307</v>
      </c>
      <c r="C232" s="5" t="str">
        <f t="shared" si="6"/>
        <v>Jan</v>
      </c>
      <c r="D232" s="2" t="s">
        <v>359</v>
      </c>
      <c r="E232" s="2" t="s">
        <v>37</v>
      </c>
      <c r="F232" s="2" t="s">
        <v>69</v>
      </c>
      <c r="G232" s="2" t="s">
        <v>106</v>
      </c>
      <c r="H232" s="2" t="s">
        <v>103</v>
      </c>
      <c r="I232" s="13">
        <v>-3</v>
      </c>
      <c r="J232" s="10">
        <v>2715.82</v>
      </c>
      <c r="K232" s="10">
        <f t="shared" si="7"/>
        <v>-8147.4600000000009</v>
      </c>
      <c r="L232" s="2">
        <v>0</v>
      </c>
      <c r="M232" s="2" t="s">
        <v>29</v>
      </c>
      <c r="N232" s="2" t="s">
        <v>25</v>
      </c>
    </row>
    <row r="233" spans="1:14" x14ac:dyDescent="0.2">
      <c r="A233" s="13">
        <v>101668</v>
      </c>
      <c r="B233" s="5">
        <v>45354</v>
      </c>
      <c r="C233" s="5" t="str">
        <f t="shared" si="6"/>
        <v>Mar</v>
      </c>
      <c r="D233" s="2" t="s">
        <v>360</v>
      </c>
      <c r="E233" s="2" t="s">
        <v>61</v>
      </c>
      <c r="F233" s="2" t="s">
        <v>14</v>
      </c>
      <c r="G233" s="2" t="s">
        <v>106</v>
      </c>
      <c r="H233" s="2" t="s">
        <v>137</v>
      </c>
      <c r="I233" s="13">
        <v>3</v>
      </c>
      <c r="J233" s="10">
        <v>501.03</v>
      </c>
      <c r="K233" s="10">
        <f t="shared" si="7"/>
        <v>1503.09</v>
      </c>
      <c r="L233" s="2">
        <v>0.25</v>
      </c>
      <c r="M233" s="2" t="s">
        <v>29</v>
      </c>
      <c r="N233" s="2" t="s">
        <v>18</v>
      </c>
    </row>
    <row r="234" spans="1:14" x14ac:dyDescent="0.2">
      <c r="A234" s="13">
        <v>100180</v>
      </c>
      <c r="B234" s="5">
        <v>45388</v>
      </c>
      <c r="C234" s="5" t="str">
        <f t="shared" si="6"/>
        <v>Apr</v>
      </c>
      <c r="D234" s="2" t="s">
        <v>362</v>
      </c>
      <c r="E234" s="2" t="s">
        <v>37</v>
      </c>
      <c r="F234" s="2" t="s">
        <v>69</v>
      </c>
      <c r="G234" s="2" t="s">
        <v>106</v>
      </c>
      <c r="H234" s="2" t="s">
        <v>135</v>
      </c>
      <c r="I234" s="13">
        <v>3</v>
      </c>
      <c r="J234" s="10">
        <v>3308.38</v>
      </c>
      <c r="K234" s="10">
        <f t="shared" si="7"/>
        <v>9925.14</v>
      </c>
      <c r="L234" s="2">
        <v>0.2</v>
      </c>
      <c r="M234" s="2" t="s">
        <v>17</v>
      </c>
      <c r="N234" s="2" t="s">
        <v>18</v>
      </c>
    </row>
    <row r="235" spans="1:14" x14ac:dyDescent="0.2">
      <c r="A235" s="13">
        <v>101446</v>
      </c>
      <c r="B235" s="5">
        <v>45589</v>
      </c>
      <c r="C235" s="5" t="str">
        <f t="shared" si="6"/>
        <v>Oct</v>
      </c>
      <c r="D235" s="2" t="s">
        <v>267</v>
      </c>
      <c r="E235" s="2" t="s">
        <v>31</v>
      </c>
      <c r="F235" s="2" t="s">
        <v>54</v>
      </c>
      <c r="G235" s="2" t="s">
        <v>22</v>
      </c>
      <c r="H235" s="2" t="s">
        <v>145</v>
      </c>
      <c r="I235" s="13"/>
      <c r="J235" s="10">
        <v>1199.75</v>
      </c>
      <c r="K235" s="10">
        <f t="shared" si="7"/>
        <v>0</v>
      </c>
      <c r="L235" s="2">
        <v>0</v>
      </c>
      <c r="M235" s="2" t="s">
        <v>24</v>
      </c>
      <c r="N235" s="2" t="s">
        <v>121</v>
      </c>
    </row>
    <row r="236" spans="1:14" x14ac:dyDescent="0.2">
      <c r="A236" s="13">
        <v>101886</v>
      </c>
      <c r="B236" s="5">
        <v>45337</v>
      </c>
      <c r="C236" s="5" t="str">
        <f t="shared" si="6"/>
        <v>Feb</v>
      </c>
      <c r="D236" s="2" t="s">
        <v>1069</v>
      </c>
      <c r="E236" s="2" t="s">
        <v>31</v>
      </c>
      <c r="F236" s="2" t="s">
        <v>32</v>
      </c>
      <c r="G236" s="2" t="s">
        <v>45</v>
      </c>
      <c r="H236" s="2" t="s">
        <v>71</v>
      </c>
      <c r="I236" s="13">
        <v>11</v>
      </c>
      <c r="J236" s="10">
        <v>2099.31</v>
      </c>
      <c r="K236" s="10">
        <f t="shared" si="7"/>
        <v>23092.41</v>
      </c>
      <c r="L236" s="2">
        <v>0.15</v>
      </c>
      <c r="M236" s="2" t="s">
        <v>29</v>
      </c>
      <c r="N236" s="2" t="s">
        <v>18</v>
      </c>
    </row>
    <row r="237" spans="1:14" x14ac:dyDescent="0.2">
      <c r="A237" s="13">
        <v>101692</v>
      </c>
      <c r="B237" s="5">
        <v>45388</v>
      </c>
      <c r="C237" s="5" t="str">
        <f t="shared" si="6"/>
        <v>Apr</v>
      </c>
      <c r="D237" s="2" t="s">
        <v>366</v>
      </c>
      <c r="E237" s="2" t="s">
        <v>140</v>
      </c>
      <c r="F237" s="2" t="s">
        <v>79</v>
      </c>
      <c r="G237" s="2" t="s">
        <v>33</v>
      </c>
      <c r="H237" s="2" t="s">
        <v>34</v>
      </c>
      <c r="I237" s="13">
        <v>10</v>
      </c>
      <c r="J237" s="10">
        <v>375.83</v>
      </c>
      <c r="K237" s="10">
        <f t="shared" si="7"/>
        <v>3758.2999999999997</v>
      </c>
      <c r="L237" s="2">
        <v>0</v>
      </c>
      <c r="M237" s="2" t="s">
        <v>41</v>
      </c>
      <c r="N237" s="2" t="s">
        <v>18</v>
      </c>
    </row>
    <row r="238" spans="1:14" x14ac:dyDescent="0.2">
      <c r="A238" s="13">
        <v>100411</v>
      </c>
      <c r="B238" s="5">
        <v>45629</v>
      </c>
      <c r="C238" s="5" t="str">
        <f t="shared" si="6"/>
        <v>Dec</v>
      </c>
      <c r="D238" s="2" t="s">
        <v>499</v>
      </c>
      <c r="E238" s="2" t="s">
        <v>27</v>
      </c>
      <c r="F238" s="2" t="s">
        <v>21</v>
      </c>
      <c r="G238" s="2" t="s">
        <v>22</v>
      </c>
      <c r="H238" s="2" t="s">
        <v>145</v>
      </c>
      <c r="I238" s="13">
        <v>2</v>
      </c>
      <c r="J238" s="10">
        <v>3460.38</v>
      </c>
      <c r="K238" s="10">
        <f t="shared" si="7"/>
        <v>6920.76</v>
      </c>
      <c r="L238" s="2">
        <v>0.05</v>
      </c>
      <c r="M238" s="2" t="s">
        <v>83</v>
      </c>
      <c r="N238" s="2" t="s">
        <v>25</v>
      </c>
    </row>
    <row r="239" spans="1:14" x14ac:dyDescent="0.2">
      <c r="A239" s="13">
        <v>100661</v>
      </c>
      <c r="B239" s="5">
        <v>45649</v>
      </c>
      <c r="C239" s="5" t="str">
        <f t="shared" si="6"/>
        <v>Dec</v>
      </c>
      <c r="D239" s="2" t="s">
        <v>1069</v>
      </c>
      <c r="E239" s="2" t="s">
        <v>61</v>
      </c>
      <c r="F239" s="2" t="s">
        <v>14</v>
      </c>
      <c r="G239" s="2" t="s">
        <v>33</v>
      </c>
      <c r="H239" s="2" t="s">
        <v>34</v>
      </c>
      <c r="I239" s="13">
        <v>5</v>
      </c>
      <c r="J239" s="10">
        <v>494.19</v>
      </c>
      <c r="K239" s="10">
        <f t="shared" si="7"/>
        <v>2470.9499999999998</v>
      </c>
      <c r="L239" s="2">
        <v>0</v>
      </c>
      <c r="M239" s="2" t="s">
        <v>17</v>
      </c>
      <c r="N239" s="2" t="s">
        <v>121</v>
      </c>
    </row>
    <row r="240" spans="1:14" x14ac:dyDescent="0.2">
      <c r="A240" s="13">
        <v>100351</v>
      </c>
      <c r="B240" s="5">
        <v>45297</v>
      </c>
      <c r="C240" s="5" t="str">
        <f t="shared" si="6"/>
        <v>Jan</v>
      </c>
      <c r="D240" s="2" t="s">
        <v>370</v>
      </c>
      <c r="E240" s="2" t="s">
        <v>37</v>
      </c>
      <c r="F240" s="2" t="s">
        <v>38</v>
      </c>
      <c r="G240" s="2" t="s">
        <v>50</v>
      </c>
      <c r="H240" s="2" t="s">
        <v>56</v>
      </c>
      <c r="I240" s="13">
        <v>8</v>
      </c>
      <c r="J240" s="10">
        <v>2431.7399999999998</v>
      </c>
      <c r="K240" s="10">
        <f t="shared" si="7"/>
        <v>19453.919999999998</v>
      </c>
      <c r="L240" s="2">
        <v>0.15</v>
      </c>
      <c r="M240" s="2" t="s">
        <v>17</v>
      </c>
      <c r="N240" s="2" t="s">
        <v>25</v>
      </c>
    </row>
    <row r="241" spans="1:14" x14ac:dyDescent="0.2">
      <c r="A241" s="13">
        <v>101274</v>
      </c>
      <c r="B241" s="5">
        <v>45336</v>
      </c>
      <c r="C241" s="5" t="str">
        <f t="shared" si="6"/>
        <v>Feb</v>
      </c>
      <c r="D241" s="2" t="s">
        <v>60</v>
      </c>
      <c r="E241" s="2" t="s">
        <v>140</v>
      </c>
      <c r="F241" s="2" t="s">
        <v>49</v>
      </c>
      <c r="G241" s="2" t="s">
        <v>106</v>
      </c>
      <c r="H241" s="2" t="s">
        <v>135</v>
      </c>
      <c r="I241" s="13">
        <v>10</v>
      </c>
      <c r="J241" s="10">
        <v>3797.89</v>
      </c>
      <c r="K241" s="10">
        <f t="shared" si="7"/>
        <v>37978.9</v>
      </c>
      <c r="L241" s="2">
        <v>0.2</v>
      </c>
      <c r="M241" s="2" t="s">
        <v>24</v>
      </c>
      <c r="N241" s="2" t="s">
        <v>52</v>
      </c>
    </row>
    <row r="242" spans="1:14" x14ac:dyDescent="0.2">
      <c r="A242" s="13">
        <v>100378</v>
      </c>
      <c r="B242" s="5">
        <v>45638</v>
      </c>
      <c r="C242" s="5" t="str">
        <f t="shared" si="6"/>
        <v>Dec</v>
      </c>
      <c r="D242" s="2" t="s">
        <v>150</v>
      </c>
      <c r="E242" s="2" t="s">
        <v>27</v>
      </c>
      <c r="F242" s="2" t="s">
        <v>21</v>
      </c>
      <c r="G242" s="2" t="s">
        <v>15</v>
      </c>
      <c r="H242" s="2" t="s">
        <v>205</v>
      </c>
      <c r="I242" s="13">
        <v>1</v>
      </c>
      <c r="J242" s="10">
        <v>9815.7999999999993</v>
      </c>
      <c r="K242" s="10">
        <f t="shared" si="7"/>
        <v>9815.7999999999993</v>
      </c>
      <c r="L242" s="2">
        <v>0</v>
      </c>
      <c r="M242" s="2" t="s">
        <v>24</v>
      </c>
      <c r="N242" s="2" t="s">
        <v>42</v>
      </c>
    </row>
    <row r="243" spans="1:14" x14ac:dyDescent="0.2">
      <c r="A243" s="13">
        <v>100740</v>
      </c>
      <c r="B243" s="5">
        <v>45597</v>
      </c>
      <c r="C243" s="5" t="str">
        <f t="shared" si="6"/>
        <v>Nov</v>
      </c>
      <c r="D243" s="2" t="s">
        <v>208</v>
      </c>
      <c r="E243" s="2" t="s">
        <v>61</v>
      </c>
      <c r="F243" s="2" t="s">
        <v>14</v>
      </c>
      <c r="G243" s="2" t="s">
        <v>15</v>
      </c>
      <c r="H243" s="2" t="s">
        <v>16</v>
      </c>
      <c r="I243" s="13">
        <v>3</v>
      </c>
      <c r="J243" s="10">
        <v>17191.88</v>
      </c>
      <c r="K243" s="10">
        <f t="shared" si="7"/>
        <v>51575.64</v>
      </c>
      <c r="L243" s="2">
        <v>0.1</v>
      </c>
      <c r="M243" s="2" t="s">
        <v>41</v>
      </c>
      <c r="N243" s="2" t="s">
        <v>87</v>
      </c>
    </row>
    <row r="244" spans="1:14" x14ac:dyDescent="0.2">
      <c r="A244" s="13">
        <v>100451</v>
      </c>
      <c r="B244" s="5">
        <v>45577</v>
      </c>
      <c r="C244" s="5" t="str">
        <f t="shared" si="6"/>
        <v>Oct</v>
      </c>
      <c r="D244" s="2" t="s">
        <v>1069</v>
      </c>
      <c r="E244" s="2" t="s">
        <v>61</v>
      </c>
      <c r="F244" s="2" t="s">
        <v>14</v>
      </c>
      <c r="G244" s="2" t="s">
        <v>45</v>
      </c>
      <c r="H244" s="2" t="s">
        <v>97</v>
      </c>
      <c r="I244" s="13">
        <v>12</v>
      </c>
      <c r="J244" s="10">
        <v>26637.63</v>
      </c>
      <c r="K244" s="10">
        <f t="shared" si="7"/>
        <v>319651.56</v>
      </c>
      <c r="L244" s="2">
        <v>0</v>
      </c>
      <c r="M244" s="2" t="s">
        <v>17</v>
      </c>
      <c r="N244" s="2" t="s">
        <v>52</v>
      </c>
    </row>
    <row r="245" spans="1:14" x14ac:dyDescent="0.2">
      <c r="A245" s="13">
        <v>101719</v>
      </c>
      <c r="B245" s="5">
        <v>45362</v>
      </c>
      <c r="C245" s="5" t="str">
        <f t="shared" si="6"/>
        <v>Mar</v>
      </c>
      <c r="D245" s="2" t="s">
        <v>228</v>
      </c>
      <c r="E245" s="2" t="s">
        <v>61</v>
      </c>
      <c r="F245" s="2" t="s">
        <v>119</v>
      </c>
      <c r="G245" s="2" t="s">
        <v>22</v>
      </c>
      <c r="H245" s="2" t="s">
        <v>145</v>
      </c>
      <c r="I245" s="13">
        <v>2</v>
      </c>
      <c r="J245" s="10">
        <v>2388.69</v>
      </c>
      <c r="K245" s="10">
        <f t="shared" si="7"/>
        <v>4777.38</v>
      </c>
      <c r="L245" s="2">
        <v>0</v>
      </c>
      <c r="M245" s="2" t="s">
        <v>17</v>
      </c>
      <c r="N245" s="2" t="s">
        <v>18</v>
      </c>
    </row>
    <row r="246" spans="1:14" x14ac:dyDescent="0.2">
      <c r="A246" s="13">
        <v>100745</v>
      </c>
      <c r="B246" s="5">
        <v>45617</v>
      </c>
      <c r="C246" s="5" t="str">
        <f t="shared" si="6"/>
        <v>Nov</v>
      </c>
      <c r="D246" s="2" t="s">
        <v>372</v>
      </c>
      <c r="E246" s="2" t="s">
        <v>27</v>
      </c>
      <c r="F246" s="2" t="s">
        <v>133</v>
      </c>
      <c r="G246" s="2" t="s">
        <v>106</v>
      </c>
      <c r="H246" s="2" t="s">
        <v>137</v>
      </c>
      <c r="I246" s="13">
        <v>-3</v>
      </c>
      <c r="J246" s="10">
        <v>1756.45</v>
      </c>
      <c r="K246" s="10">
        <f t="shared" si="7"/>
        <v>-5269.35</v>
      </c>
      <c r="L246" s="2">
        <v>0.1</v>
      </c>
      <c r="M246" s="2" t="s">
        <v>17</v>
      </c>
      <c r="N246" s="2" t="s">
        <v>25</v>
      </c>
    </row>
    <row r="247" spans="1:14" x14ac:dyDescent="0.2">
      <c r="A247" s="13">
        <v>101781</v>
      </c>
      <c r="B247" s="5">
        <v>45309</v>
      </c>
      <c r="C247" s="5" t="str">
        <f t="shared" si="6"/>
        <v>Jan</v>
      </c>
      <c r="D247" s="2" t="s">
        <v>373</v>
      </c>
      <c r="E247" s="2" t="s">
        <v>37</v>
      </c>
      <c r="F247" s="2" t="s">
        <v>38</v>
      </c>
      <c r="G247" s="2" t="s">
        <v>50</v>
      </c>
      <c r="H247" s="2" t="s">
        <v>62</v>
      </c>
      <c r="I247" s="13">
        <v>-1</v>
      </c>
      <c r="J247" s="10">
        <v>2255.87</v>
      </c>
      <c r="K247" s="10">
        <f t="shared" si="7"/>
        <v>-2255.87</v>
      </c>
      <c r="L247" s="2">
        <v>0</v>
      </c>
      <c r="M247" s="2" t="s">
        <v>24</v>
      </c>
      <c r="N247" s="2" t="s">
        <v>35</v>
      </c>
    </row>
    <row r="248" spans="1:14" x14ac:dyDescent="0.2">
      <c r="A248" s="13">
        <v>100072</v>
      </c>
      <c r="B248" s="5">
        <v>45526</v>
      </c>
      <c r="C248" s="5" t="str">
        <f t="shared" si="6"/>
        <v>Aug</v>
      </c>
      <c r="D248" s="2" t="s">
        <v>454</v>
      </c>
      <c r="E248" s="2" t="s">
        <v>140</v>
      </c>
      <c r="F248" s="2" t="s">
        <v>49</v>
      </c>
      <c r="G248" s="2" t="s">
        <v>15</v>
      </c>
      <c r="H248" s="2" t="s">
        <v>16</v>
      </c>
      <c r="I248" s="13">
        <v>5</v>
      </c>
      <c r="J248" s="10">
        <v>23625.200000000001</v>
      </c>
      <c r="K248" s="10">
        <f t="shared" si="7"/>
        <v>118126</v>
      </c>
      <c r="L248" s="2">
        <v>0.05</v>
      </c>
      <c r="M248" s="2" t="s">
        <v>66</v>
      </c>
      <c r="N248" s="2" t="s">
        <v>42</v>
      </c>
    </row>
    <row r="249" spans="1:14" x14ac:dyDescent="0.2">
      <c r="A249" s="13">
        <v>101277</v>
      </c>
      <c r="B249" s="5">
        <v>45484</v>
      </c>
      <c r="C249" s="5" t="str">
        <f t="shared" si="6"/>
        <v>Jul</v>
      </c>
      <c r="D249" s="2" t="s">
        <v>190</v>
      </c>
      <c r="E249" s="2" t="s">
        <v>140</v>
      </c>
      <c r="F249" s="2" t="s">
        <v>49</v>
      </c>
      <c r="G249" s="2" t="s">
        <v>50</v>
      </c>
      <c r="H249" s="2" t="s">
        <v>56</v>
      </c>
      <c r="I249" s="13">
        <v>2</v>
      </c>
      <c r="J249" s="10">
        <v>7816.87</v>
      </c>
      <c r="K249" s="10">
        <f t="shared" si="7"/>
        <v>15633.74</v>
      </c>
      <c r="L249" s="2">
        <v>0.05</v>
      </c>
      <c r="M249" s="2" t="s">
        <v>17</v>
      </c>
      <c r="N249" s="2" t="s">
        <v>87</v>
      </c>
    </row>
    <row r="250" spans="1:14" x14ac:dyDescent="0.2">
      <c r="A250" s="13">
        <v>101276</v>
      </c>
      <c r="B250" s="5">
        <v>45646</v>
      </c>
      <c r="C250" s="5" t="str">
        <f t="shared" si="6"/>
        <v>Dec</v>
      </c>
      <c r="D250" s="2" t="s">
        <v>376</v>
      </c>
      <c r="E250" s="2" t="s">
        <v>61</v>
      </c>
      <c r="F250" s="2" t="s">
        <v>14</v>
      </c>
      <c r="G250" s="2" t="s">
        <v>33</v>
      </c>
      <c r="H250" s="2" t="s">
        <v>81</v>
      </c>
      <c r="I250" s="13">
        <v>1</v>
      </c>
      <c r="J250" s="10">
        <v>260.35000000000002</v>
      </c>
      <c r="K250" s="10">
        <f t="shared" si="7"/>
        <v>260.35000000000002</v>
      </c>
      <c r="L250" s="2">
        <v>0.1</v>
      </c>
      <c r="M250" s="2" t="s">
        <v>24</v>
      </c>
      <c r="N250" s="2" t="s">
        <v>52</v>
      </c>
    </row>
    <row r="251" spans="1:14" x14ac:dyDescent="0.2">
      <c r="A251" s="13">
        <v>100588</v>
      </c>
      <c r="B251" s="5">
        <v>45387</v>
      </c>
      <c r="C251" s="5" t="str">
        <f t="shared" si="6"/>
        <v>Apr</v>
      </c>
      <c r="D251" s="2" t="s">
        <v>377</v>
      </c>
      <c r="E251" s="2" t="s">
        <v>27</v>
      </c>
      <c r="F251" s="2" t="s">
        <v>133</v>
      </c>
      <c r="G251" s="2" t="s">
        <v>50</v>
      </c>
      <c r="H251" s="2" t="s">
        <v>207</v>
      </c>
      <c r="I251" s="13">
        <v>9</v>
      </c>
      <c r="J251" s="10">
        <v>4472.49</v>
      </c>
      <c r="K251" s="10">
        <f t="shared" si="7"/>
        <v>40252.409999999996</v>
      </c>
      <c r="L251" s="2">
        <v>0.25</v>
      </c>
      <c r="M251" s="2" t="s">
        <v>41</v>
      </c>
      <c r="N251" s="2" t="s">
        <v>25</v>
      </c>
    </row>
    <row r="252" spans="1:14" x14ac:dyDescent="0.2">
      <c r="A252" s="13">
        <v>101158</v>
      </c>
      <c r="B252" s="5">
        <v>45552</v>
      </c>
      <c r="C252" s="5" t="str">
        <f t="shared" si="6"/>
        <v>Sep</v>
      </c>
      <c r="D252" s="2" t="s">
        <v>378</v>
      </c>
      <c r="E252" s="2" t="s">
        <v>31</v>
      </c>
      <c r="F252" s="2" t="s">
        <v>32</v>
      </c>
      <c r="G252" s="2" t="s">
        <v>22</v>
      </c>
      <c r="H252" s="2" t="s">
        <v>23</v>
      </c>
      <c r="I252" s="13">
        <v>11</v>
      </c>
      <c r="J252" s="10">
        <v>1876.87</v>
      </c>
      <c r="K252" s="10">
        <f t="shared" si="7"/>
        <v>20645.57</v>
      </c>
      <c r="L252" s="2">
        <v>0.05</v>
      </c>
      <c r="M252" s="2" t="s">
        <v>66</v>
      </c>
      <c r="N252" s="2" t="s">
        <v>35</v>
      </c>
    </row>
    <row r="253" spans="1:14" x14ac:dyDescent="0.2">
      <c r="A253" s="13">
        <v>101535</v>
      </c>
      <c r="B253" s="5">
        <v>45517</v>
      </c>
      <c r="C253" s="5" t="str">
        <f t="shared" si="6"/>
        <v>Aug</v>
      </c>
      <c r="D253" s="2" t="s">
        <v>321</v>
      </c>
      <c r="E253" s="2" t="s">
        <v>61</v>
      </c>
      <c r="F253" s="2" t="s">
        <v>14</v>
      </c>
      <c r="G253" s="2" t="s">
        <v>45</v>
      </c>
      <c r="H253" s="2" t="s">
        <v>153</v>
      </c>
      <c r="I253" s="13">
        <v>3</v>
      </c>
      <c r="J253" s="10">
        <v>16133.81</v>
      </c>
      <c r="K253" s="10">
        <f t="shared" si="7"/>
        <v>48401.43</v>
      </c>
      <c r="L253" s="2">
        <v>0</v>
      </c>
      <c r="M253" s="2" t="s">
        <v>41</v>
      </c>
      <c r="N253" s="2" t="s">
        <v>121</v>
      </c>
    </row>
    <row r="254" spans="1:14" x14ac:dyDescent="0.2">
      <c r="A254" s="13">
        <v>101970</v>
      </c>
      <c r="B254" s="5">
        <v>45511</v>
      </c>
      <c r="C254" s="5" t="str">
        <f t="shared" si="6"/>
        <v>Aug</v>
      </c>
      <c r="D254" s="2" t="s">
        <v>112</v>
      </c>
      <c r="E254" s="2" t="s">
        <v>31</v>
      </c>
      <c r="F254" s="2" t="s">
        <v>32</v>
      </c>
      <c r="G254" s="2" t="s">
        <v>64</v>
      </c>
      <c r="H254" s="2" t="s">
        <v>40</v>
      </c>
      <c r="I254" s="13">
        <v>4</v>
      </c>
      <c r="J254" s="10">
        <v>499.74</v>
      </c>
      <c r="K254" s="10">
        <f t="shared" si="7"/>
        <v>1998.96</v>
      </c>
      <c r="L254" s="2">
        <v>0</v>
      </c>
      <c r="M254" s="2" t="s">
        <v>41</v>
      </c>
      <c r="N254" s="2" t="s">
        <v>18</v>
      </c>
    </row>
    <row r="255" spans="1:14" x14ac:dyDescent="0.2">
      <c r="A255" s="13">
        <v>101375</v>
      </c>
      <c r="B255" s="5">
        <v>45486</v>
      </c>
      <c r="C255" s="5" t="str">
        <f t="shared" si="6"/>
        <v>Jul</v>
      </c>
      <c r="D255" s="2" t="s">
        <v>379</v>
      </c>
      <c r="E255" s="2" t="s">
        <v>27</v>
      </c>
      <c r="F255" s="2" t="s">
        <v>21</v>
      </c>
      <c r="G255" s="2" t="s">
        <v>64</v>
      </c>
      <c r="H255" s="2" t="s">
        <v>165</v>
      </c>
      <c r="I255" s="13">
        <v>2</v>
      </c>
      <c r="J255" s="10">
        <v>361.94</v>
      </c>
      <c r="K255" s="10">
        <f t="shared" si="7"/>
        <v>723.88</v>
      </c>
      <c r="L255" s="2">
        <v>0</v>
      </c>
      <c r="M255" s="2" t="s">
        <v>66</v>
      </c>
      <c r="N255" s="2" t="s">
        <v>42</v>
      </c>
    </row>
    <row r="256" spans="1:14" x14ac:dyDescent="0.2">
      <c r="A256" s="13">
        <v>101443</v>
      </c>
      <c r="B256" s="5">
        <v>45461</v>
      </c>
      <c r="C256" s="5" t="str">
        <f t="shared" si="6"/>
        <v>Jun</v>
      </c>
      <c r="D256" s="2" t="s">
        <v>380</v>
      </c>
      <c r="E256" s="2" t="s">
        <v>27</v>
      </c>
      <c r="F256" s="2" t="s">
        <v>21</v>
      </c>
      <c r="G256" s="2" t="s">
        <v>50</v>
      </c>
      <c r="H256" s="2" t="s">
        <v>56</v>
      </c>
      <c r="I256" s="13">
        <v>6</v>
      </c>
      <c r="J256" s="10">
        <v>2540.54</v>
      </c>
      <c r="K256" s="10">
        <f t="shared" si="7"/>
        <v>15243.24</v>
      </c>
      <c r="L256" s="2">
        <v>0</v>
      </c>
      <c r="M256" s="2" t="s">
        <v>24</v>
      </c>
      <c r="N256" s="2" t="s">
        <v>87</v>
      </c>
    </row>
    <row r="257" spans="1:14" x14ac:dyDescent="0.2">
      <c r="A257" s="13">
        <v>101597</v>
      </c>
      <c r="B257" s="5">
        <v>45448</v>
      </c>
      <c r="C257" s="5" t="str">
        <f t="shared" si="6"/>
        <v>Jun</v>
      </c>
      <c r="D257" s="2" t="s">
        <v>381</v>
      </c>
      <c r="E257" s="2" t="s">
        <v>31</v>
      </c>
      <c r="F257" s="2" t="s">
        <v>54</v>
      </c>
      <c r="G257" s="2" t="s">
        <v>33</v>
      </c>
      <c r="H257" s="2" t="s">
        <v>34</v>
      </c>
      <c r="I257" s="13">
        <v>2</v>
      </c>
      <c r="J257" s="10">
        <v>111.33</v>
      </c>
      <c r="K257" s="10">
        <f t="shared" si="7"/>
        <v>222.66</v>
      </c>
      <c r="L257" s="2">
        <v>0</v>
      </c>
      <c r="M257" s="2" t="s">
        <v>66</v>
      </c>
      <c r="N257" s="2" t="s">
        <v>42</v>
      </c>
    </row>
    <row r="258" spans="1:14" x14ac:dyDescent="0.2">
      <c r="A258" s="13">
        <v>101163</v>
      </c>
      <c r="B258" s="5">
        <v>45357</v>
      </c>
      <c r="C258" s="5" t="str">
        <f t="shared" ref="C258:C321" si="8">TEXT(B258,"mmm")</f>
        <v>Mar</v>
      </c>
      <c r="D258" s="2" t="s">
        <v>383</v>
      </c>
      <c r="E258" s="2" t="s">
        <v>37</v>
      </c>
      <c r="F258" s="2" t="s">
        <v>69</v>
      </c>
      <c r="G258" s="2" t="s">
        <v>50</v>
      </c>
      <c r="H258" s="2" t="s">
        <v>51</v>
      </c>
      <c r="I258" s="13">
        <v>5</v>
      </c>
      <c r="J258" s="10">
        <v>9346.5499999999993</v>
      </c>
      <c r="K258" s="10">
        <f t="shared" ref="K258:K321" si="9">I258*J258</f>
        <v>46732.75</v>
      </c>
      <c r="L258" s="2">
        <v>0.25</v>
      </c>
      <c r="M258" s="2" t="s">
        <v>66</v>
      </c>
      <c r="N258" s="2" t="s">
        <v>42</v>
      </c>
    </row>
    <row r="259" spans="1:14" x14ac:dyDescent="0.2">
      <c r="A259" s="13">
        <v>101083</v>
      </c>
      <c r="B259" s="5">
        <v>45300</v>
      </c>
      <c r="C259" s="5" t="str">
        <f t="shared" si="8"/>
        <v>Jan</v>
      </c>
      <c r="D259" s="2" t="s">
        <v>226</v>
      </c>
      <c r="E259" s="2" t="s">
        <v>37</v>
      </c>
      <c r="F259" s="2" t="s">
        <v>69</v>
      </c>
      <c r="G259" s="2" t="s">
        <v>33</v>
      </c>
      <c r="H259" s="2" t="s">
        <v>34</v>
      </c>
      <c r="I259" s="13">
        <v>5</v>
      </c>
      <c r="J259" s="10">
        <v>211.84</v>
      </c>
      <c r="K259" s="10">
        <f t="shared" si="9"/>
        <v>1059.2</v>
      </c>
      <c r="L259" s="2">
        <v>0.05</v>
      </c>
      <c r="M259" s="2" t="s">
        <v>83</v>
      </c>
      <c r="N259" s="2" t="s">
        <v>42</v>
      </c>
    </row>
    <row r="260" spans="1:14" x14ac:dyDescent="0.2">
      <c r="A260" s="13">
        <v>100796</v>
      </c>
      <c r="B260" s="5">
        <v>45547</v>
      </c>
      <c r="C260" s="5" t="str">
        <f t="shared" si="8"/>
        <v>Sep</v>
      </c>
      <c r="D260" s="2" t="s">
        <v>384</v>
      </c>
      <c r="E260" s="2" t="s">
        <v>37</v>
      </c>
      <c r="F260" s="2" t="s">
        <v>38</v>
      </c>
      <c r="G260" s="2" t="s">
        <v>64</v>
      </c>
      <c r="H260" s="2" t="s">
        <v>40</v>
      </c>
      <c r="I260" s="13">
        <v>7</v>
      </c>
      <c r="J260" s="10">
        <v>676.55</v>
      </c>
      <c r="K260" s="10">
        <f t="shared" si="9"/>
        <v>4735.8499999999995</v>
      </c>
      <c r="L260" s="2">
        <v>0.15</v>
      </c>
      <c r="M260" s="2" t="s">
        <v>66</v>
      </c>
      <c r="N260" s="2" t="s">
        <v>35</v>
      </c>
    </row>
    <row r="261" spans="1:14" x14ac:dyDescent="0.2">
      <c r="A261" s="13">
        <v>100766</v>
      </c>
      <c r="B261" s="5">
        <v>45312</v>
      </c>
      <c r="C261" s="5" t="str">
        <f t="shared" si="8"/>
        <v>Jan</v>
      </c>
      <c r="D261" s="2" t="s">
        <v>385</v>
      </c>
      <c r="E261" s="2" t="s">
        <v>27</v>
      </c>
      <c r="F261" s="2" t="s">
        <v>133</v>
      </c>
      <c r="G261" s="2" t="s">
        <v>106</v>
      </c>
      <c r="H261" s="2" t="s">
        <v>137</v>
      </c>
      <c r="I261" s="13">
        <v>9</v>
      </c>
      <c r="J261" s="10">
        <v>1507.72</v>
      </c>
      <c r="K261" s="10">
        <f t="shared" si="9"/>
        <v>13569.48</v>
      </c>
      <c r="L261" s="2">
        <v>0.1</v>
      </c>
      <c r="M261" s="2" t="s">
        <v>41</v>
      </c>
      <c r="N261" s="2" t="s">
        <v>25</v>
      </c>
    </row>
    <row r="262" spans="1:14" x14ac:dyDescent="0.2">
      <c r="A262" s="13">
        <v>100986</v>
      </c>
      <c r="B262" s="5">
        <v>45490</v>
      </c>
      <c r="C262" s="5" t="str">
        <f t="shared" si="8"/>
        <v>Jul</v>
      </c>
      <c r="D262" s="2" t="s">
        <v>335</v>
      </c>
      <c r="E262" s="2" t="s">
        <v>140</v>
      </c>
      <c r="F262" s="2" t="s">
        <v>79</v>
      </c>
      <c r="G262" s="2" t="s">
        <v>64</v>
      </c>
      <c r="H262" s="2" t="s">
        <v>242</v>
      </c>
      <c r="I262" s="13">
        <v>8</v>
      </c>
      <c r="J262" s="10">
        <v>747.34</v>
      </c>
      <c r="K262" s="10">
        <f t="shared" si="9"/>
        <v>5978.72</v>
      </c>
      <c r="L262" s="2">
        <v>0.25</v>
      </c>
      <c r="M262" s="2" t="s">
        <v>41</v>
      </c>
      <c r="N262" s="2" t="s">
        <v>25</v>
      </c>
    </row>
    <row r="263" spans="1:14" x14ac:dyDescent="0.2">
      <c r="A263" s="13">
        <v>100117</v>
      </c>
      <c r="B263" s="5">
        <v>45501</v>
      </c>
      <c r="C263" s="5" t="str">
        <f t="shared" si="8"/>
        <v>Jul</v>
      </c>
      <c r="D263" s="2" t="s">
        <v>386</v>
      </c>
      <c r="E263" s="2" t="s">
        <v>140</v>
      </c>
      <c r="F263" s="2" t="s">
        <v>79</v>
      </c>
      <c r="G263" s="2" t="s">
        <v>106</v>
      </c>
      <c r="H263" s="2" t="s">
        <v>156</v>
      </c>
      <c r="I263" s="13">
        <v>8</v>
      </c>
      <c r="J263" s="10">
        <v>3226.85</v>
      </c>
      <c r="K263" s="10">
        <f t="shared" si="9"/>
        <v>25814.799999999999</v>
      </c>
      <c r="L263" s="2">
        <v>0</v>
      </c>
      <c r="M263" s="2" t="s">
        <v>29</v>
      </c>
      <c r="N263" s="2" t="s">
        <v>25</v>
      </c>
    </row>
    <row r="264" spans="1:14" x14ac:dyDescent="0.2">
      <c r="A264" s="13">
        <v>101691</v>
      </c>
      <c r="B264" s="5">
        <v>45594</v>
      </c>
      <c r="C264" s="5" t="str">
        <f t="shared" si="8"/>
        <v>Oct</v>
      </c>
      <c r="D264" s="2" t="s">
        <v>272</v>
      </c>
      <c r="E264" s="2" t="s">
        <v>31</v>
      </c>
      <c r="F264" s="2" t="s">
        <v>32</v>
      </c>
      <c r="G264" s="2" t="s">
        <v>106</v>
      </c>
      <c r="H264" s="2" t="s">
        <v>103</v>
      </c>
      <c r="I264" s="13">
        <v>3</v>
      </c>
      <c r="J264" s="10">
        <v>3706.83</v>
      </c>
      <c r="K264" s="10">
        <f t="shared" si="9"/>
        <v>11120.49</v>
      </c>
      <c r="L264" s="2">
        <v>0</v>
      </c>
      <c r="M264" s="2" t="s">
        <v>66</v>
      </c>
      <c r="N264" s="2" t="s">
        <v>143</v>
      </c>
    </row>
    <row r="265" spans="1:14" x14ac:dyDescent="0.2">
      <c r="A265" s="13">
        <v>100413</v>
      </c>
      <c r="B265" s="5">
        <v>45357</v>
      </c>
      <c r="C265" s="5" t="str">
        <f t="shared" si="8"/>
        <v>Mar</v>
      </c>
      <c r="D265" s="2" t="s">
        <v>387</v>
      </c>
      <c r="E265" s="2" t="s">
        <v>61</v>
      </c>
      <c r="F265" s="2" t="s">
        <v>119</v>
      </c>
      <c r="G265" s="2" t="s">
        <v>15</v>
      </c>
      <c r="H265" s="2" t="s">
        <v>152</v>
      </c>
      <c r="I265" s="13">
        <v>10</v>
      </c>
      <c r="J265" s="10">
        <v>8692.4599999999991</v>
      </c>
      <c r="K265" s="10">
        <f t="shared" si="9"/>
        <v>86924.599999999991</v>
      </c>
      <c r="L265" s="2">
        <v>0</v>
      </c>
      <c r="M265" s="2" t="s">
        <v>66</v>
      </c>
      <c r="N265" s="2" t="s">
        <v>42</v>
      </c>
    </row>
    <row r="266" spans="1:14" x14ac:dyDescent="0.2">
      <c r="A266" s="13">
        <v>100005</v>
      </c>
      <c r="B266" s="5">
        <v>45362</v>
      </c>
      <c r="C266" s="5" t="str">
        <f t="shared" si="8"/>
        <v>Mar</v>
      </c>
      <c r="D266" s="2" t="s">
        <v>130</v>
      </c>
      <c r="E266" s="2" t="s">
        <v>27</v>
      </c>
      <c r="F266" s="2" t="s">
        <v>133</v>
      </c>
      <c r="G266" s="2" t="s">
        <v>33</v>
      </c>
      <c r="H266" s="2" t="s">
        <v>158</v>
      </c>
      <c r="I266" s="13">
        <v>5</v>
      </c>
      <c r="J266" s="10">
        <v>180.98</v>
      </c>
      <c r="K266" s="10">
        <f t="shared" si="9"/>
        <v>904.9</v>
      </c>
      <c r="L266" s="2">
        <v>0.2</v>
      </c>
      <c r="M266" s="2" t="s">
        <v>17</v>
      </c>
      <c r="N266" s="2" t="s">
        <v>121</v>
      </c>
    </row>
    <row r="267" spans="1:14" x14ac:dyDescent="0.2">
      <c r="A267" s="13">
        <v>100309</v>
      </c>
      <c r="B267" s="5">
        <v>45588</v>
      </c>
      <c r="C267" s="5" t="str">
        <f t="shared" si="8"/>
        <v>Oct</v>
      </c>
      <c r="D267" s="2" t="s">
        <v>388</v>
      </c>
      <c r="E267" s="2" t="s">
        <v>61</v>
      </c>
      <c r="F267" s="2" t="s">
        <v>119</v>
      </c>
      <c r="G267" s="2" t="s">
        <v>33</v>
      </c>
      <c r="H267" s="2" t="s">
        <v>34</v>
      </c>
      <c r="I267" s="13">
        <v>10</v>
      </c>
      <c r="J267" s="10">
        <v>81.739999999999995</v>
      </c>
      <c r="K267" s="10">
        <f t="shared" si="9"/>
        <v>817.4</v>
      </c>
      <c r="L267" s="2">
        <v>0</v>
      </c>
      <c r="M267" s="2" t="s">
        <v>17</v>
      </c>
      <c r="N267" s="2" t="s">
        <v>143</v>
      </c>
    </row>
    <row r="268" spans="1:14" x14ac:dyDescent="0.2">
      <c r="A268" s="13">
        <v>100047</v>
      </c>
      <c r="B268" s="5">
        <v>45363</v>
      </c>
      <c r="C268" s="5" t="str">
        <f t="shared" si="8"/>
        <v>Mar</v>
      </c>
      <c r="D268" s="2" t="s">
        <v>273</v>
      </c>
      <c r="E268" s="2" t="s">
        <v>140</v>
      </c>
      <c r="F268" s="2" t="s">
        <v>49</v>
      </c>
      <c r="G268" s="2" t="s">
        <v>45</v>
      </c>
      <c r="H268" s="2" t="s">
        <v>97</v>
      </c>
      <c r="I268" s="13">
        <v>4</v>
      </c>
      <c r="J268" s="10">
        <v>33914.99</v>
      </c>
      <c r="K268" s="10">
        <f t="shared" si="9"/>
        <v>135659.96</v>
      </c>
      <c r="L268" s="2">
        <v>0.05</v>
      </c>
      <c r="M268" s="2" t="s">
        <v>83</v>
      </c>
      <c r="N268" s="2" t="s">
        <v>35</v>
      </c>
    </row>
    <row r="269" spans="1:14" x14ac:dyDescent="0.2">
      <c r="A269" s="13">
        <v>101154</v>
      </c>
      <c r="B269" s="5">
        <v>45486</v>
      </c>
      <c r="C269" s="5" t="str">
        <f t="shared" si="8"/>
        <v>Jul</v>
      </c>
      <c r="D269" s="2" t="s">
        <v>389</v>
      </c>
      <c r="E269" s="2" t="s">
        <v>31</v>
      </c>
      <c r="F269" s="2" t="s">
        <v>54</v>
      </c>
      <c r="G269" s="2" t="s">
        <v>50</v>
      </c>
      <c r="H269" s="2" t="s">
        <v>56</v>
      </c>
      <c r="I269" s="13">
        <v>2</v>
      </c>
      <c r="J269" s="10">
        <v>7617.68</v>
      </c>
      <c r="K269" s="10">
        <f t="shared" si="9"/>
        <v>15235.36</v>
      </c>
      <c r="L269" s="2">
        <v>0.1</v>
      </c>
      <c r="M269" s="2" t="s">
        <v>29</v>
      </c>
      <c r="N269" s="2" t="s">
        <v>121</v>
      </c>
    </row>
    <row r="270" spans="1:14" x14ac:dyDescent="0.2">
      <c r="A270" s="13">
        <v>100639</v>
      </c>
      <c r="B270" s="5">
        <v>45541</v>
      </c>
      <c r="C270" s="5" t="str">
        <f t="shared" si="8"/>
        <v>Sep</v>
      </c>
      <c r="D270" s="2" t="s">
        <v>390</v>
      </c>
      <c r="E270" s="2" t="s">
        <v>61</v>
      </c>
      <c r="F270" s="2" t="s">
        <v>14</v>
      </c>
      <c r="G270" s="2" t="s">
        <v>33</v>
      </c>
      <c r="H270" s="2" t="s">
        <v>93</v>
      </c>
      <c r="I270" s="13">
        <v>6</v>
      </c>
      <c r="J270" s="10">
        <v>357.79</v>
      </c>
      <c r="K270" s="10">
        <f t="shared" si="9"/>
        <v>2146.7400000000002</v>
      </c>
      <c r="L270" s="2">
        <v>0</v>
      </c>
      <c r="M270" s="2" t="s">
        <v>41</v>
      </c>
      <c r="N270" s="2" t="s">
        <v>87</v>
      </c>
    </row>
    <row r="271" spans="1:14" x14ac:dyDescent="0.2">
      <c r="A271" s="13">
        <v>101206</v>
      </c>
      <c r="B271" s="5">
        <v>45337</v>
      </c>
      <c r="C271" s="5" t="str">
        <f t="shared" si="8"/>
        <v>Feb</v>
      </c>
      <c r="D271" s="2" t="s">
        <v>391</v>
      </c>
      <c r="E271" s="2" t="s">
        <v>37</v>
      </c>
      <c r="F271" s="2" t="s">
        <v>69</v>
      </c>
      <c r="G271" s="2" t="s">
        <v>106</v>
      </c>
      <c r="H271" s="2" t="s">
        <v>156</v>
      </c>
      <c r="I271" s="13">
        <v>12</v>
      </c>
      <c r="J271" s="10">
        <v>2999.97</v>
      </c>
      <c r="K271" s="10">
        <f t="shared" si="9"/>
        <v>35999.64</v>
      </c>
      <c r="L271" s="2">
        <v>0.05</v>
      </c>
      <c r="M271" s="2" t="s">
        <v>29</v>
      </c>
      <c r="N271" s="2" t="s">
        <v>143</v>
      </c>
    </row>
    <row r="272" spans="1:14" x14ac:dyDescent="0.2">
      <c r="A272" s="13">
        <v>101400</v>
      </c>
      <c r="B272" s="5">
        <v>45650</v>
      </c>
      <c r="C272" s="5" t="str">
        <f t="shared" si="8"/>
        <v>Dec</v>
      </c>
      <c r="D272" s="2" t="s">
        <v>304</v>
      </c>
      <c r="E272" s="2" t="s">
        <v>140</v>
      </c>
      <c r="F272" s="2" t="s">
        <v>49</v>
      </c>
      <c r="G272" s="2" t="s">
        <v>106</v>
      </c>
      <c r="H272" s="2" t="s">
        <v>156</v>
      </c>
      <c r="I272" s="13">
        <v>1</v>
      </c>
      <c r="J272" s="10">
        <v>1321.15</v>
      </c>
      <c r="K272" s="10">
        <f t="shared" si="9"/>
        <v>1321.15</v>
      </c>
      <c r="L272" s="2">
        <v>0.05</v>
      </c>
      <c r="M272" s="2" t="s">
        <v>66</v>
      </c>
      <c r="N272" s="2" t="s">
        <v>121</v>
      </c>
    </row>
    <row r="273" spans="1:14" x14ac:dyDescent="0.2">
      <c r="A273" s="13">
        <v>101398</v>
      </c>
      <c r="B273" s="5">
        <v>45584</v>
      </c>
      <c r="C273" s="5" t="str">
        <f t="shared" si="8"/>
        <v>Oct</v>
      </c>
      <c r="D273" s="2" t="s">
        <v>396</v>
      </c>
      <c r="E273" s="2" t="s">
        <v>37</v>
      </c>
      <c r="F273" s="2" t="s">
        <v>38</v>
      </c>
      <c r="G273" s="2" t="s">
        <v>106</v>
      </c>
      <c r="H273" s="2" t="s">
        <v>156</v>
      </c>
      <c r="I273" s="13">
        <v>10</v>
      </c>
      <c r="J273" s="10">
        <v>2989.96</v>
      </c>
      <c r="K273" s="10">
        <f t="shared" si="9"/>
        <v>29899.599999999999</v>
      </c>
      <c r="L273" s="2">
        <v>0.05</v>
      </c>
      <c r="M273" s="2" t="s">
        <v>83</v>
      </c>
      <c r="N273" s="2" t="s">
        <v>18</v>
      </c>
    </row>
    <row r="274" spans="1:14" x14ac:dyDescent="0.2">
      <c r="A274" s="13">
        <v>101814</v>
      </c>
      <c r="B274" s="5">
        <v>45600</v>
      </c>
      <c r="C274" s="5" t="str">
        <f t="shared" si="8"/>
        <v>Nov</v>
      </c>
      <c r="D274" s="2" t="s">
        <v>302</v>
      </c>
      <c r="E274" s="2" t="s">
        <v>140</v>
      </c>
      <c r="F274" s="2" t="s">
        <v>49</v>
      </c>
      <c r="G274" s="2" t="s">
        <v>15</v>
      </c>
      <c r="H274" s="2" t="s">
        <v>16</v>
      </c>
      <c r="I274" s="13">
        <v>5</v>
      </c>
      <c r="J274" s="10">
        <v>20533.27</v>
      </c>
      <c r="K274" s="10">
        <f t="shared" si="9"/>
        <v>102666.35</v>
      </c>
      <c r="L274" s="2">
        <v>0</v>
      </c>
      <c r="M274" s="2" t="s">
        <v>29</v>
      </c>
      <c r="N274" s="2" t="s">
        <v>35</v>
      </c>
    </row>
    <row r="275" spans="1:14" x14ac:dyDescent="0.2">
      <c r="A275" s="13">
        <v>101629</v>
      </c>
      <c r="B275" s="5">
        <v>45527</v>
      </c>
      <c r="C275" s="5" t="str">
        <f t="shared" si="8"/>
        <v>Aug</v>
      </c>
      <c r="D275" s="2" t="s">
        <v>354</v>
      </c>
      <c r="E275" s="2" t="s">
        <v>61</v>
      </c>
      <c r="F275" s="2" t="s">
        <v>119</v>
      </c>
      <c r="G275" s="2" t="s">
        <v>15</v>
      </c>
      <c r="H275" s="2" t="s">
        <v>152</v>
      </c>
      <c r="I275" s="13">
        <v>10</v>
      </c>
      <c r="J275" s="10">
        <v>20513.57</v>
      </c>
      <c r="K275" s="10">
        <f t="shared" si="9"/>
        <v>205135.7</v>
      </c>
      <c r="L275" s="2">
        <v>0.05</v>
      </c>
      <c r="M275" s="2" t="s">
        <v>29</v>
      </c>
      <c r="N275" s="2" t="s">
        <v>143</v>
      </c>
    </row>
    <row r="276" spans="1:14" x14ac:dyDescent="0.2">
      <c r="A276" s="13">
        <v>101107</v>
      </c>
      <c r="B276" s="5">
        <v>45338</v>
      </c>
      <c r="C276" s="5" t="str">
        <f t="shared" si="8"/>
        <v>Feb</v>
      </c>
      <c r="D276" s="2" t="s">
        <v>63</v>
      </c>
      <c r="E276" s="2" t="s">
        <v>140</v>
      </c>
      <c r="F276" s="2" t="s">
        <v>79</v>
      </c>
      <c r="G276" s="2" t="s">
        <v>15</v>
      </c>
      <c r="H276" s="2" t="s">
        <v>116</v>
      </c>
      <c r="I276" s="13">
        <v>3</v>
      </c>
      <c r="J276" s="10">
        <v>2025.06</v>
      </c>
      <c r="K276" s="10">
        <f t="shared" si="9"/>
        <v>6075.18</v>
      </c>
      <c r="L276" s="2">
        <v>0</v>
      </c>
      <c r="M276" s="2" t="s">
        <v>83</v>
      </c>
      <c r="N276" s="2" t="s">
        <v>52</v>
      </c>
    </row>
    <row r="277" spans="1:14" x14ac:dyDescent="0.2">
      <c r="A277" s="13">
        <v>101940</v>
      </c>
      <c r="B277" s="5">
        <v>45300</v>
      </c>
      <c r="C277" s="5" t="str">
        <f t="shared" si="8"/>
        <v>Jan</v>
      </c>
      <c r="D277" s="2" t="s">
        <v>397</v>
      </c>
      <c r="E277" s="2" t="s">
        <v>61</v>
      </c>
      <c r="F277" s="2" t="s">
        <v>14</v>
      </c>
      <c r="G277" s="2" t="s">
        <v>15</v>
      </c>
      <c r="H277" s="2" t="s">
        <v>152</v>
      </c>
      <c r="I277" s="13">
        <v>6</v>
      </c>
      <c r="J277" s="10">
        <v>24818.39</v>
      </c>
      <c r="K277" s="10">
        <f t="shared" si="9"/>
        <v>148910.34</v>
      </c>
      <c r="L277" s="2">
        <v>0</v>
      </c>
      <c r="M277" s="2" t="s">
        <v>29</v>
      </c>
      <c r="N277" s="2" t="s">
        <v>25</v>
      </c>
    </row>
    <row r="278" spans="1:14" x14ac:dyDescent="0.2">
      <c r="A278" s="13">
        <v>101021</v>
      </c>
      <c r="B278" s="5">
        <v>45471</v>
      </c>
      <c r="C278" s="5" t="str">
        <f t="shared" si="8"/>
        <v>Jun</v>
      </c>
      <c r="D278" s="2" t="s">
        <v>398</v>
      </c>
      <c r="E278" s="2" t="s">
        <v>31</v>
      </c>
      <c r="F278" s="2" t="s">
        <v>32</v>
      </c>
      <c r="G278" s="2" t="s">
        <v>106</v>
      </c>
      <c r="H278" s="2" t="s">
        <v>156</v>
      </c>
      <c r="I278" s="13">
        <v>7</v>
      </c>
      <c r="J278" s="10">
        <v>4331.6099999999997</v>
      </c>
      <c r="K278" s="10">
        <f t="shared" si="9"/>
        <v>30321.269999999997</v>
      </c>
      <c r="L278" s="2">
        <v>0</v>
      </c>
      <c r="M278" s="2" t="s">
        <v>41</v>
      </c>
      <c r="N278" s="2" t="s">
        <v>42</v>
      </c>
    </row>
    <row r="279" spans="1:14" x14ac:dyDescent="0.2">
      <c r="A279" s="13">
        <v>100493</v>
      </c>
      <c r="B279" s="5">
        <v>45524</v>
      </c>
      <c r="C279" s="5" t="str">
        <f t="shared" si="8"/>
        <v>Aug</v>
      </c>
      <c r="D279" s="2" t="s">
        <v>400</v>
      </c>
      <c r="E279" s="2" t="s">
        <v>37</v>
      </c>
      <c r="F279" s="2" t="s">
        <v>69</v>
      </c>
      <c r="G279" s="2" t="s">
        <v>64</v>
      </c>
      <c r="H279" s="2" t="s">
        <v>40</v>
      </c>
      <c r="I279" s="13">
        <v>10</v>
      </c>
      <c r="J279" s="10">
        <v>853.48</v>
      </c>
      <c r="K279" s="10">
        <f t="shared" si="9"/>
        <v>8534.7999999999993</v>
      </c>
      <c r="L279" s="2">
        <v>0</v>
      </c>
      <c r="M279" s="2" t="s">
        <v>24</v>
      </c>
      <c r="N279" s="2" t="s">
        <v>121</v>
      </c>
    </row>
    <row r="280" spans="1:14" x14ac:dyDescent="0.2">
      <c r="A280" s="13">
        <v>100195</v>
      </c>
      <c r="B280" s="5">
        <v>45551</v>
      </c>
      <c r="C280" s="5" t="str">
        <f t="shared" si="8"/>
        <v>Sep</v>
      </c>
      <c r="D280" s="2" t="s">
        <v>401</v>
      </c>
      <c r="E280" s="2" t="s">
        <v>61</v>
      </c>
      <c r="F280" s="2" t="s">
        <v>119</v>
      </c>
      <c r="G280" s="2" t="s">
        <v>33</v>
      </c>
      <c r="H280" s="2" t="s">
        <v>81</v>
      </c>
      <c r="I280" s="13">
        <v>5</v>
      </c>
      <c r="J280" s="10">
        <v>519.47</v>
      </c>
      <c r="K280" s="10">
        <f t="shared" si="9"/>
        <v>2597.3500000000004</v>
      </c>
      <c r="L280" s="2">
        <v>0</v>
      </c>
      <c r="M280" s="2" t="s">
        <v>17</v>
      </c>
      <c r="N280" s="2" t="s">
        <v>143</v>
      </c>
    </row>
    <row r="281" spans="1:14" x14ac:dyDescent="0.2">
      <c r="A281" s="13">
        <v>100329</v>
      </c>
      <c r="B281" s="5">
        <v>45406</v>
      </c>
      <c r="C281" s="5" t="str">
        <f t="shared" si="8"/>
        <v>Apr</v>
      </c>
      <c r="D281" s="2" t="s">
        <v>402</v>
      </c>
      <c r="E281" s="2" t="s">
        <v>31</v>
      </c>
      <c r="F281" s="2" t="s">
        <v>54</v>
      </c>
      <c r="G281" s="2" t="s">
        <v>15</v>
      </c>
      <c r="H281" s="2" t="s">
        <v>16</v>
      </c>
      <c r="I281" s="13">
        <v>7</v>
      </c>
      <c r="J281" s="10">
        <v>21015.68</v>
      </c>
      <c r="K281" s="10">
        <f t="shared" si="9"/>
        <v>147109.76000000001</v>
      </c>
      <c r="L281" s="2">
        <v>0.2</v>
      </c>
      <c r="M281" s="2" t="s">
        <v>41</v>
      </c>
      <c r="N281" s="2" t="s">
        <v>35</v>
      </c>
    </row>
    <row r="282" spans="1:14" x14ac:dyDescent="0.2">
      <c r="A282" s="13">
        <v>101793</v>
      </c>
      <c r="B282" s="5">
        <v>45326</v>
      </c>
      <c r="C282" s="5" t="str">
        <f t="shared" si="8"/>
        <v>Feb</v>
      </c>
      <c r="D282" s="2" t="s">
        <v>1069</v>
      </c>
      <c r="E282" s="2" t="s">
        <v>31</v>
      </c>
      <c r="F282" s="2" t="s">
        <v>54</v>
      </c>
      <c r="G282" s="2" t="s">
        <v>45</v>
      </c>
      <c r="H282" s="2" t="s">
        <v>46</v>
      </c>
      <c r="I282" s="13">
        <v>7</v>
      </c>
      <c r="J282" s="10">
        <v>32613.66</v>
      </c>
      <c r="K282" s="10">
        <f t="shared" si="9"/>
        <v>228295.62</v>
      </c>
      <c r="L282" s="2">
        <v>0.1</v>
      </c>
      <c r="M282" s="2" t="s">
        <v>83</v>
      </c>
      <c r="N282" s="2" t="s">
        <v>52</v>
      </c>
    </row>
    <row r="283" spans="1:14" x14ac:dyDescent="0.2">
      <c r="A283" s="13">
        <v>101517</v>
      </c>
      <c r="B283" s="5">
        <v>45564</v>
      </c>
      <c r="C283" s="5" t="str">
        <f t="shared" si="8"/>
        <v>Sep</v>
      </c>
      <c r="D283" s="2" t="s">
        <v>403</v>
      </c>
      <c r="E283" s="2" t="s">
        <v>61</v>
      </c>
      <c r="F283" s="2" t="s">
        <v>119</v>
      </c>
      <c r="G283" s="2" t="s">
        <v>15</v>
      </c>
      <c r="H283" s="2" t="s">
        <v>59</v>
      </c>
      <c r="I283" s="13">
        <v>2</v>
      </c>
      <c r="J283" s="10">
        <v>2832.19</v>
      </c>
      <c r="K283" s="10">
        <f t="shared" si="9"/>
        <v>5664.38</v>
      </c>
      <c r="L283" s="2">
        <v>0.05</v>
      </c>
      <c r="M283" s="2" t="s">
        <v>41</v>
      </c>
      <c r="N283" s="2" t="s">
        <v>35</v>
      </c>
    </row>
    <row r="284" spans="1:14" x14ac:dyDescent="0.2">
      <c r="A284" s="13">
        <v>101648</v>
      </c>
      <c r="B284" s="5">
        <v>45629</v>
      </c>
      <c r="C284" s="5" t="str">
        <f t="shared" si="8"/>
        <v>Dec</v>
      </c>
      <c r="D284" s="2" t="s">
        <v>170</v>
      </c>
      <c r="E284" s="2" t="s">
        <v>31</v>
      </c>
      <c r="F284" s="2" t="s">
        <v>32</v>
      </c>
      <c r="G284" s="2" t="s">
        <v>50</v>
      </c>
      <c r="H284" s="2" t="s">
        <v>207</v>
      </c>
      <c r="I284" s="13">
        <v>4</v>
      </c>
      <c r="J284" s="10">
        <v>0</v>
      </c>
      <c r="K284" s="10">
        <f t="shared" si="9"/>
        <v>0</v>
      </c>
      <c r="L284" s="2">
        <v>0</v>
      </c>
      <c r="M284" s="2" t="s">
        <v>24</v>
      </c>
      <c r="N284" s="2" t="s">
        <v>25</v>
      </c>
    </row>
    <row r="285" spans="1:14" x14ac:dyDescent="0.2">
      <c r="A285" s="13">
        <v>101147</v>
      </c>
      <c r="B285" s="5">
        <v>45636</v>
      </c>
      <c r="C285" s="5" t="str">
        <f t="shared" si="8"/>
        <v>Dec</v>
      </c>
      <c r="D285" s="2" t="s">
        <v>404</v>
      </c>
      <c r="E285" s="2" t="s">
        <v>27</v>
      </c>
      <c r="F285" s="2" t="s">
        <v>133</v>
      </c>
      <c r="G285" s="2" t="s">
        <v>106</v>
      </c>
      <c r="H285" s="2" t="s">
        <v>137</v>
      </c>
      <c r="I285" s="13">
        <v>12</v>
      </c>
      <c r="J285" s="10">
        <v>4473.8999999999996</v>
      </c>
      <c r="K285" s="10">
        <f t="shared" si="9"/>
        <v>53686.799999999996</v>
      </c>
      <c r="L285" s="2">
        <v>0.25</v>
      </c>
      <c r="M285" s="2" t="s">
        <v>66</v>
      </c>
      <c r="N285" s="2" t="s">
        <v>87</v>
      </c>
    </row>
    <row r="286" spans="1:14" x14ac:dyDescent="0.2">
      <c r="A286" s="13">
        <v>100501</v>
      </c>
      <c r="B286" s="5">
        <v>45544</v>
      </c>
      <c r="C286" s="5" t="str">
        <f t="shared" si="8"/>
        <v>Sep</v>
      </c>
      <c r="D286" s="2" t="s">
        <v>220</v>
      </c>
      <c r="E286" s="2" t="s">
        <v>31</v>
      </c>
      <c r="F286" s="2" t="s">
        <v>32</v>
      </c>
      <c r="G286" s="2" t="s">
        <v>15</v>
      </c>
      <c r="H286" s="2" t="s">
        <v>205</v>
      </c>
      <c r="I286" s="13">
        <v>8</v>
      </c>
      <c r="J286" s="10">
        <v>5927.84</v>
      </c>
      <c r="K286" s="10">
        <f t="shared" si="9"/>
        <v>47422.720000000001</v>
      </c>
      <c r="L286" s="2">
        <v>0</v>
      </c>
      <c r="M286" s="2" t="s">
        <v>41</v>
      </c>
      <c r="N286" s="2" t="s">
        <v>35</v>
      </c>
    </row>
    <row r="287" spans="1:14" x14ac:dyDescent="0.2">
      <c r="A287" s="13">
        <v>101813</v>
      </c>
      <c r="B287" s="5">
        <v>45399</v>
      </c>
      <c r="C287" s="5" t="str">
        <f t="shared" si="8"/>
        <v>Apr</v>
      </c>
      <c r="D287" s="2" t="s">
        <v>259</v>
      </c>
      <c r="E287" s="2" t="s">
        <v>31</v>
      </c>
      <c r="F287" s="2" t="s">
        <v>32</v>
      </c>
      <c r="G287" s="2" t="s">
        <v>22</v>
      </c>
      <c r="H287" s="2" t="s">
        <v>145</v>
      </c>
      <c r="I287" s="13">
        <v>5</v>
      </c>
      <c r="J287" s="10">
        <v>607.87</v>
      </c>
      <c r="K287" s="10">
        <f t="shared" si="9"/>
        <v>3039.35</v>
      </c>
      <c r="L287" s="2">
        <v>0.05</v>
      </c>
      <c r="M287" s="2" t="s">
        <v>29</v>
      </c>
      <c r="N287" s="2" t="s">
        <v>25</v>
      </c>
    </row>
    <row r="288" spans="1:14" x14ac:dyDescent="0.2">
      <c r="A288" s="13">
        <v>101134</v>
      </c>
      <c r="B288" s="5">
        <v>45572</v>
      </c>
      <c r="C288" s="5" t="str">
        <f t="shared" si="8"/>
        <v>Oct</v>
      </c>
      <c r="D288" s="2" t="s">
        <v>323</v>
      </c>
      <c r="E288" s="2" t="s">
        <v>140</v>
      </c>
      <c r="F288" s="2" t="s">
        <v>79</v>
      </c>
      <c r="G288" s="2" t="s">
        <v>106</v>
      </c>
      <c r="H288" s="2" t="s">
        <v>137</v>
      </c>
      <c r="I288" s="13">
        <v>6</v>
      </c>
      <c r="J288" s="10">
        <v>681.35</v>
      </c>
      <c r="K288" s="10">
        <f t="shared" si="9"/>
        <v>4088.1000000000004</v>
      </c>
      <c r="L288" s="2">
        <v>0.25</v>
      </c>
      <c r="M288" s="2" t="s">
        <v>17</v>
      </c>
      <c r="N288" s="2" t="s">
        <v>87</v>
      </c>
    </row>
    <row r="289" spans="1:14" x14ac:dyDescent="0.2">
      <c r="A289" s="13">
        <v>100886</v>
      </c>
      <c r="B289" s="5">
        <v>45448</v>
      </c>
      <c r="C289" s="5" t="str">
        <f t="shared" si="8"/>
        <v>Jun</v>
      </c>
      <c r="D289" s="2" t="s">
        <v>405</v>
      </c>
      <c r="E289" s="2" t="s">
        <v>61</v>
      </c>
      <c r="F289" s="2" t="s">
        <v>119</v>
      </c>
      <c r="G289" s="2" t="s">
        <v>64</v>
      </c>
      <c r="H289" s="2" t="s">
        <v>165</v>
      </c>
      <c r="I289" s="13">
        <v>1</v>
      </c>
      <c r="J289" s="10">
        <v>157.5</v>
      </c>
      <c r="K289" s="10">
        <f t="shared" si="9"/>
        <v>157.5</v>
      </c>
      <c r="L289" s="2">
        <v>0.15</v>
      </c>
      <c r="M289" s="2" t="s">
        <v>17</v>
      </c>
      <c r="N289" s="2" t="s">
        <v>18</v>
      </c>
    </row>
    <row r="290" spans="1:14" x14ac:dyDescent="0.2">
      <c r="A290" s="13">
        <v>101325</v>
      </c>
      <c r="B290" s="5">
        <v>45390</v>
      </c>
      <c r="C290" s="5" t="str">
        <f t="shared" si="8"/>
        <v>Apr</v>
      </c>
      <c r="D290" s="2" t="s">
        <v>1069</v>
      </c>
      <c r="E290" s="2" t="s">
        <v>61</v>
      </c>
      <c r="F290" s="2" t="s">
        <v>14</v>
      </c>
      <c r="G290" s="2" t="s">
        <v>50</v>
      </c>
      <c r="H290" s="2" t="s">
        <v>51</v>
      </c>
      <c r="I290" s="13">
        <v>4</v>
      </c>
      <c r="J290" s="10">
        <v>1016.16</v>
      </c>
      <c r="K290" s="10">
        <f t="shared" si="9"/>
        <v>4064.64</v>
      </c>
      <c r="L290" s="2">
        <v>0.05</v>
      </c>
      <c r="M290" s="2" t="s">
        <v>17</v>
      </c>
      <c r="N290" s="2" t="s">
        <v>18</v>
      </c>
    </row>
    <row r="291" spans="1:14" x14ac:dyDescent="0.2">
      <c r="A291" s="13">
        <v>101183</v>
      </c>
      <c r="B291" s="5">
        <v>45392</v>
      </c>
      <c r="C291" s="5" t="str">
        <f t="shared" si="8"/>
        <v>Apr</v>
      </c>
      <c r="D291" s="2" t="s">
        <v>406</v>
      </c>
      <c r="E291" s="2" t="s">
        <v>61</v>
      </c>
      <c r="F291" s="2" t="s">
        <v>119</v>
      </c>
      <c r="G291" s="2" t="s">
        <v>22</v>
      </c>
      <c r="H291" s="2" t="s">
        <v>141</v>
      </c>
      <c r="I291" s="13">
        <v>10</v>
      </c>
      <c r="J291" s="10">
        <v>3086.07</v>
      </c>
      <c r="K291" s="10">
        <f t="shared" si="9"/>
        <v>30860.7</v>
      </c>
      <c r="L291" s="2">
        <v>0.15</v>
      </c>
      <c r="M291" s="2" t="s">
        <v>29</v>
      </c>
      <c r="N291" s="2" t="s">
        <v>143</v>
      </c>
    </row>
    <row r="292" spans="1:14" x14ac:dyDescent="0.2">
      <c r="A292" s="13">
        <v>101071</v>
      </c>
      <c r="B292" s="5">
        <v>45603</v>
      </c>
      <c r="C292" s="5" t="str">
        <f t="shared" si="8"/>
        <v>Nov</v>
      </c>
      <c r="D292" s="2" t="s">
        <v>332</v>
      </c>
      <c r="E292" s="2" t="s">
        <v>31</v>
      </c>
      <c r="F292" s="2" t="s">
        <v>32</v>
      </c>
      <c r="G292" s="2" t="s">
        <v>50</v>
      </c>
      <c r="H292" s="2" t="s">
        <v>99</v>
      </c>
      <c r="I292" s="13">
        <v>12</v>
      </c>
      <c r="J292" s="10">
        <v>11849.54</v>
      </c>
      <c r="K292" s="10">
        <f t="shared" si="9"/>
        <v>142194.48000000001</v>
      </c>
      <c r="L292" s="2">
        <v>0</v>
      </c>
      <c r="M292" s="2" t="s">
        <v>29</v>
      </c>
      <c r="N292" s="2" t="s">
        <v>18</v>
      </c>
    </row>
    <row r="293" spans="1:14" x14ac:dyDescent="0.2">
      <c r="A293" s="13">
        <v>101620</v>
      </c>
      <c r="B293" s="5">
        <v>45466</v>
      </c>
      <c r="C293" s="5" t="str">
        <f t="shared" si="8"/>
        <v>Jun</v>
      </c>
      <c r="D293" s="2" t="s">
        <v>408</v>
      </c>
      <c r="E293" s="2" t="s">
        <v>31</v>
      </c>
      <c r="F293" s="2" t="s">
        <v>32</v>
      </c>
      <c r="G293" s="2" t="s">
        <v>106</v>
      </c>
      <c r="H293" s="2" t="s">
        <v>135</v>
      </c>
      <c r="I293" s="13">
        <v>7</v>
      </c>
      <c r="J293" s="10">
        <v>1579.25</v>
      </c>
      <c r="K293" s="10">
        <f t="shared" si="9"/>
        <v>11054.75</v>
      </c>
      <c r="L293" s="2">
        <v>0</v>
      </c>
      <c r="M293" s="2" t="s">
        <v>83</v>
      </c>
      <c r="N293" s="2" t="s">
        <v>87</v>
      </c>
    </row>
    <row r="294" spans="1:14" x14ac:dyDescent="0.2">
      <c r="A294" s="13">
        <v>100110</v>
      </c>
      <c r="B294" s="5">
        <v>45379</v>
      </c>
      <c r="C294" s="5" t="str">
        <f t="shared" si="8"/>
        <v>Mar</v>
      </c>
      <c r="D294" s="2" t="s">
        <v>321</v>
      </c>
      <c r="E294" s="2" t="s">
        <v>31</v>
      </c>
      <c r="F294" s="2" t="s">
        <v>32</v>
      </c>
      <c r="G294" s="2" t="s">
        <v>22</v>
      </c>
      <c r="H294" s="2" t="s">
        <v>23</v>
      </c>
      <c r="I294" s="13">
        <v>2</v>
      </c>
      <c r="J294" s="10">
        <v>2426.58</v>
      </c>
      <c r="K294" s="10">
        <f t="shared" si="9"/>
        <v>4853.16</v>
      </c>
      <c r="L294" s="2">
        <v>0</v>
      </c>
      <c r="M294" s="2" t="s">
        <v>41</v>
      </c>
      <c r="N294" s="2" t="s">
        <v>143</v>
      </c>
    </row>
    <row r="295" spans="1:14" x14ac:dyDescent="0.2">
      <c r="A295" s="13">
        <v>100817</v>
      </c>
      <c r="B295" s="5">
        <v>45606</v>
      </c>
      <c r="C295" s="5" t="str">
        <f t="shared" si="8"/>
        <v>Nov</v>
      </c>
      <c r="D295" s="2" t="s">
        <v>409</v>
      </c>
      <c r="E295" s="2" t="s">
        <v>140</v>
      </c>
      <c r="F295" s="2" t="s">
        <v>79</v>
      </c>
      <c r="G295" s="2" t="s">
        <v>50</v>
      </c>
      <c r="H295" s="2" t="s">
        <v>207</v>
      </c>
      <c r="I295" s="13">
        <v>9</v>
      </c>
      <c r="J295" s="10">
        <v>7902.15</v>
      </c>
      <c r="K295" s="10">
        <f t="shared" si="9"/>
        <v>71119.349999999991</v>
      </c>
      <c r="L295" s="2">
        <v>0.05</v>
      </c>
      <c r="M295" s="2" t="s">
        <v>66</v>
      </c>
      <c r="N295" s="2" t="s">
        <v>35</v>
      </c>
    </row>
    <row r="296" spans="1:14" x14ac:dyDescent="0.2">
      <c r="A296" s="13">
        <v>101855</v>
      </c>
      <c r="B296" s="5">
        <v>45483</v>
      </c>
      <c r="C296" s="5" t="str">
        <f t="shared" si="8"/>
        <v>Jul</v>
      </c>
      <c r="D296" s="2" t="s">
        <v>410</v>
      </c>
      <c r="E296" s="2" t="s">
        <v>31</v>
      </c>
      <c r="F296" s="2" t="s">
        <v>54</v>
      </c>
      <c r="G296" s="2" t="s">
        <v>15</v>
      </c>
      <c r="H296" s="2" t="s">
        <v>59</v>
      </c>
      <c r="I296" s="13">
        <v>5</v>
      </c>
      <c r="J296" s="10">
        <v>3470.76</v>
      </c>
      <c r="K296" s="10">
        <f t="shared" si="9"/>
        <v>17353.800000000003</v>
      </c>
      <c r="L296" s="2">
        <v>0.15</v>
      </c>
      <c r="M296" s="2" t="s">
        <v>29</v>
      </c>
      <c r="N296" s="2" t="s">
        <v>121</v>
      </c>
    </row>
    <row r="297" spans="1:14" x14ac:dyDescent="0.2">
      <c r="A297" s="13">
        <v>100877</v>
      </c>
      <c r="B297" s="5">
        <v>45358</v>
      </c>
      <c r="C297" s="5" t="str">
        <f t="shared" si="8"/>
        <v>Mar</v>
      </c>
      <c r="D297" s="2" t="s">
        <v>411</v>
      </c>
      <c r="E297" s="2" t="s">
        <v>27</v>
      </c>
      <c r="F297" s="2" t="s">
        <v>21</v>
      </c>
      <c r="G297" s="2" t="s">
        <v>33</v>
      </c>
      <c r="H297" s="2" t="s">
        <v>93</v>
      </c>
      <c r="I297" s="13">
        <v>2</v>
      </c>
      <c r="J297" s="10">
        <v>234.73</v>
      </c>
      <c r="K297" s="10">
        <f t="shared" si="9"/>
        <v>469.46</v>
      </c>
      <c r="L297" s="2">
        <v>0</v>
      </c>
      <c r="M297" s="2" t="s">
        <v>83</v>
      </c>
      <c r="N297" s="2" t="s">
        <v>25</v>
      </c>
    </row>
    <row r="298" spans="1:14" x14ac:dyDescent="0.2">
      <c r="A298" s="13">
        <v>101986</v>
      </c>
      <c r="B298" s="5">
        <v>45433</v>
      </c>
      <c r="C298" s="5" t="str">
        <f t="shared" si="8"/>
        <v>May</v>
      </c>
      <c r="D298" s="2" t="s">
        <v>412</v>
      </c>
      <c r="E298" s="2" t="s">
        <v>27</v>
      </c>
      <c r="F298" s="2" t="s">
        <v>21</v>
      </c>
      <c r="G298" s="2" t="s">
        <v>15</v>
      </c>
      <c r="H298" s="2" t="s">
        <v>205</v>
      </c>
      <c r="I298" s="13">
        <v>3</v>
      </c>
      <c r="J298" s="10">
        <v>24558.799999999999</v>
      </c>
      <c r="K298" s="10">
        <f t="shared" si="9"/>
        <v>73676.399999999994</v>
      </c>
      <c r="L298" s="2">
        <v>0</v>
      </c>
      <c r="M298" s="2" t="s">
        <v>24</v>
      </c>
      <c r="N298" s="2" t="s">
        <v>52</v>
      </c>
    </row>
    <row r="299" spans="1:14" x14ac:dyDescent="0.2">
      <c r="A299" s="13">
        <v>100562</v>
      </c>
      <c r="B299" s="5">
        <v>45522</v>
      </c>
      <c r="C299" s="5" t="str">
        <f t="shared" si="8"/>
        <v>Aug</v>
      </c>
      <c r="D299" s="2" t="s">
        <v>413</v>
      </c>
      <c r="E299" s="2" t="s">
        <v>37</v>
      </c>
      <c r="F299" s="2" t="s">
        <v>69</v>
      </c>
      <c r="G299" s="2" t="s">
        <v>33</v>
      </c>
      <c r="H299" s="2" t="s">
        <v>34</v>
      </c>
      <c r="I299" s="13">
        <v>1</v>
      </c>
      <c r="J299" s="10">
        <v>307.10000000000002</v>
      </c>
      <c r="K299" s="10">
        <f t="shared" si="9"/>
        <v>307.10000000000002</v>
      </c>
      <c r="L299" s="2">
        <v>0</v>
      </c>
      <c r="M299" s="2" t="s">
        <v>83</v>
      </c>
      <c r="N299" s="2" t="s">
        <v>87</v>
      </c>
    </row>
    <row r="300" spans="1:14" x14ac:dyDescent="0.2">
      <c r="A300" s="13">
        <v>100354</v>
      </c>
      <c r="B300" s="5">
        <v>45625</v>
      </c>
      <c r="C300" s="5" t="str">
        <f t="shared" si="8"/>
        <v>Nov</v>
      </c>
      <c r="D300" s="2" t="s">
        <v>346</v>
      </c>
      <c r="E300" s="2" t="s">
        <v>140</v>
      </c>
      <c r="F300" s="2" t="s">
        <v>49</v>
      </c>
      <c r="G300" s="2" t="s">
        <v>15</v>
      </c>
      <c r="H300" s="2" t="s">
        <v>116</v>
      </c>
      <c r="I300" s="13">
        <v>6</v>
      </c>
      <c r="J300" s="10">
        <v>24699.96</v>
      </c>
      <c r="K300" s="10">
        <f t="shared" si="9"/>
        <v>148199.76</v>
      </c>
      <c r="L300" s="2">
        <v>0</v>
      </c>
      <c r="M300" s="2" t="s">
        <v>83</v>
      </c>
      <c r="N300" s="2" t="s">
        <v>42</v>
      </c>
    </row>
    <row r="301" spans="1:14" x14ac:dyDescent="0.2">
      <c r="A301" s="13">
        <v>101264</v>
      </c>
      <c r="B301" s="5">
        <v>45654</v>
      </c>
      <c r="C301" s="5" t="str">
        <f t="shared" si="8"/>
        <v>Dec</v>
      </c>
      <c r="D301" s="2" t="s">
        <v>174</v>
      </c>
      <c r="E301" s="2" t="s">
        <v>27</v>
      </c>
      <c r="F301" s="2" t="s">
        <v>21</v>
      </c>
      <c r="G301" s="2" t="s">
        <v>22</v>
      </c>
      <c r="H301" s="2" t="s">
        <v>75</v>
      </c>
      <c r="I301" s="13">
        <v>5</v>
      </c>
      <c r="J301" s="10">
        <v>2184</v>
      </c>
      <c r="K301" s="10">
        <f t="shared" si="9"/>
        <v>10920</v>
      </c>
      <c r="L301" s="2">
        <v>0.15</v>
      </c>
      <c r="M301" s="2" t="s">
        <v>17</v>
      </c>
      <c r="N301" s="2" t="s">
        <v>52</v>
      </c>
    </row>
    <row r="302" spans="1:14" x14ac:dyDescent="0.2">
      <c r="A302" s="13">
        <v>100096</v>
      </c>
      <c r="B302" s="5">
        <v>45323</v>
      </c>
      <c r="C302" s="5" t="str">
        <f t="shared" si="8"/>
        <v>Feb</v>
      </c>
      <c r="D302" s="2" t="s">
        <v>346</v>
      </c>
      <c r="E302" s="2" t="s">
        <v>31</v>
      </c>
      <c r="F302" s="2" t="s">
        <v>32</v>
      </c>
      <c r="G302" s="2" t="s">
        <v>45</v>
      </c>
      <c r="H302" s="2" t="s">
        <v>71</v>
      </c>
      <c r="I302" s="13">
        <v>5</v>
      </c>
      <c r="J302" s="10">
        <v>11745.17</v>
      </c>
      <c r="K302" s="10">
        <f t="shared" si="9"/>
        <v>58725.85</v>
      </c>
      <c r="L302" s="2">
        <v>0.1</v>
      </c>
      <c r="M302" s="2" t="s">
        <v>29</v>
      </c>
      <c r="N302" s="2" t="s">
        <v>52</v>
      </c>
    </row>
    <row r="303" spans="1:14" x14ac:dyDescent="0.2">
      <c r="A303" s="13">
        <v>100631</v>
      </c>
      <c r="B303" s="5">
        <v>45310</v>
      </c>
      <c r="C303" s="5" t="str">
        <f t="shared" si="8"/>
        <v>Jan</v>
      </c>
      <c r="D303" s="2" t="s">
        <v>341</v>
      </c>
      <c r="E303" s="2" t="s">
        <v>37</v>
      </c>
      <c r="F303" s="2" t="s">
        <v>69</v>
      </c>
      <c r="G303" s="2" t="s">
        <v>50</v>
      </c>
      <c r="H303" s="2" t="s">
        <v>207</v>
      </c>
      <c r="I303" s="13">
        <v>4</v>
      </c>
      <c r="J303" s="10">
        <v>9346.98</v>
      </c>
      <c r="K303" s="10">
        <f t="shared" si="9"/>
        <v>37387.919999999998</v>
      </c>
      <c r="L303" s="2">
        <v>0.25</v>
      </c>
      <c r="M303" s="2" t="s">
        <v>24</v>
      </c>
      <c r="N303" s="2" t="s">
        <v>121</v>
      </c>
    </row>
    <row r="304" spans="1:14" x14ac:dyDescent="0.2">
      <c r="A304" s="13">
        <v>100424</v>
      </c>
      <c r="B304" s="5">
        <v>45500</v>
      </c>
      <c r="C304" s="5" t="str">
        <f t="shared" si="8"/>
        <v>Jul</v>
      </c>
      <c r="D304" s="2" t="s">
        <v>415</v>
      </c>
      <c r="E304" s="2" t="s">
        <v>27</v>
      </c>
      <c r="F304" s="2" t="s">
        <v>21</v>
      </c>
      <c r="G304" s="2" t="s">
        <v>64</v>
      </c>
      <c r="H304" s="2" t="s">
        <v>165</v>
      </c>
      <c r="I304" s="13">
        <v>10</v>
      </c>
      <c r="J304" s="10">
        <v>0</v>
      </c>
      <c r="K304" s="10">
        <f t="shared" si="9"/>
        <v>0</v>
      </c>
      <c r="L304" s="2">
        <v>0</v>
      </c>
      <c r="M304" s="2" t="s">
        <v>83</v>
      </c>
      <c r="N304" s="2" t="s">
        <v>121</v>
      </c>
    </row>
    <row r="305" spans="1:14" x14ac:dyDescent="0.2">
      <c r="A305" s="13">
        <v>100020</v>
      </c>
      <c r="B305" s="5">
        <v>45632</v>
      </c>
      <c r="C305" s="5" t="str">
        <f t="shared" si="8"/>
        <v>Dec</v>
      </c>
      <c r="D305" s="2" t="s">
        <v>416</v>
      </c>
      <c r="E305" s="2" t="s">
        <v>31</v>
      </c>
      <c r="F305" s="2" t="s">
        <v>54</v>
      </c>
      <c r="G305" s="2" t="s">
        <v>106</v>
      </c>
      <c r="H305" s="2" t="s">
        <v>135</v>
      </c>
      <c r="I305" s="13">
        <v>9</v>
      </c>
      <c r="J305" s="10">
        <v>677.55</v>
      </c>
      <c r="K305" s="10">
        <f t="shared" si="9"/>
        <v>6097.95</v>
      </c>
      <c r="L305" s="2">
        <v>0</v>
      </c>
      <c r="M305" s="2" t="s">
        <v>83</v>
      </c>
      <c r="N305" s="2" t="s">
        <v>52</v>
      </c>
    </row>
    <row r="306" spans="1:14" x14ac:dyDescent="0.2">
      <c r="A306" s="13">
        <v>101742</v>
      </c>
      <c r="B306" s="5">
        <v>45542</v>
      </c>
      <c r="C306" s="5" t="str">
        <f t="shared" si="8"/>
        <v>Sep</v>
      </c>
      <c r="D306" s="2" t="s">
        <v>1072</v>
      </c>
      <c r="E306" s="2" t="s">
        <v>140</v>
      </c>
      <c r="F306" s="2" t="s">
        <v>49</v>
      </c>
      <c r="G306" s="2" t="s">
        <v>15</v>
      </c>
      <c r="H306" s="2" t="s">
        <v>59</v>
      </c>
      <c r="I306" s="13">
        <v>8</v>
      </c>
      <c r="J306" s="10">
        <v>19016.96</v>
      </c>
      <c r="K306" s="10">
        <f t="shared" si="9"/>
        <v>152135.67999999999</v>
      </c>
      <c r="L306" s="2">
        <v>0.2</v>
      </c>
      <c r="M306" s="2" t="s">
        <v>83</v>
      </c>
      <c r="N306" s="2" t="s">
        <v>35</v>
      </c>
    </row>
    <row r="307" spans="1:14" x14ac:dyDescent="0.2">
      <c r="A307" s="13">
        <v>101051</v>
      </c>
      <c r="B307" s="5">
        <v>45449</v>
      </c>
      <c r="C307" s="5" t="str">
        <f t="shared" si="8"/>
        <v>Jun</v>
      </c>
      <c r="D307" s="2" t="s">
        <v>418</v>
      </c>
      <c r="E307" s="2" t="s">
        <v>31</v>
      </c>
      <c r="F307" s="2" t="s">
        <v>32</v>
      </c>
      <c r="G307" s="2" t="s">
        <v>64</v>
      </c>
      <c r="H307" s="2" t="s">
        <v>165</v>
      </c>
      <c r="I307" s="13">
        <v>4</v>
      </c>
      <c r="J307" s="10">
        <v>870.91</v>
      </c>
      <c r="K307" s="10">
        <f t="shared" si="9"/>
        <v>3483.64</v>
      </c>
      <c r="L307" s="2">
        <v>0</v>
      </c>
      <c r="M307" s="2" t="s">
        <v>41</v>
      </c>
      <c r="N307" s="2" t="s">
        <v>42</v>
      </c>
    </row>
    <row r="308" spans="1:14" x14ac:dyDescent="0.2">
      <c r="A308" s="13">
        <v>100736</v>
      </c>
      <c r="B308" s="5">
        <v>45413</v>
      </c>
      <c r="C308" s="5" t="str">
        <f t="shared" si="8"/>
        <v>May</v>
      </c>
      <c r="D308" s="2" t="s">
        <v>164</v>
      </c>
      <c r="E308" s="2" t="s">
        <v>27</v>
      </c>
      <c r="F308" s="2" t="s">
        <v>21</v>
      </c>
      <c r="G308" s="2" t="s">
        <v>15</v>
      </c>
      <c r="H308" s="2" t="s">
        <v>152</v>
      </c>
      <c r="I308" s="13">
        <v>10</v>
      </c>
      <c r="J308" s="10">
        <v>2842.16</v>
      </c>
      <c r="K308" s="10">
        <f t="shared" si="9"/>
        <v>28421.599999999999</v>
      </c>
      <c r="L308" s="2">
        <v>0</v>
      </c>
      <c r="M308" s="2" t="s">
        <v>66</v>
      </c>
      <c r="N308" s="2" t="s">
        <v>42</v>
      </c>
    </row>
    <row r="309" spans="1:14" x14ac:dyDescent="0.2">
      <c r="A309" s="13">
        <v>100326</v>
      </c>
      <c r="B309" s="5">
        <v>45412</v>
      </c>
      <c r="C309" s="5" t="str">
        <f t="shared" si="8"/>
        <v>Apr</v>
      </c>
      <c r="D309" s="2" t="s">
        <v>420</v>
      </c>
      <c r="E309" s="2" t="s">
        <v>61</v>
      </c>
      <c r="F309" s="2" t="s">
        <v>14</v>
      </c>
      <c r="G309" s="2" t="s">
        <v>33</v>
      </c>
      <c r="H309" s="2" t="s">
        <v>34</v>
      </c>
      <c r="I309" s="13">
        <v>1</v>
      </c>
      <c r="J309" s="10">
        <v>334.9</v>
      </c>
      <c r="K309" s="10">
        <f t="shared" si="9"/>
        <v>334.9</v>
      </c>
      <c r="L309" s="2">
        <v>0.1</v>
      </c>
      <c r="M309" s="2" t="s">
        <v>29</v>
      </c>
      <c r="N309" s="2" t="s">
        <v>25</v>
      </c>
    </row>
    <row r="310" spans="1:14" x14ac:dyDescent="0.2">
      <c r="A310" s="13">
        <v>101280</v>
      </c>
      <c r="B310" s="5">
        <v>45506</v>
      </c>
      <c r="C310" s="5" t="str">
        <f t="shared" si="8"/>
        <v>Aug</v>
      </c>
      <c r="D310" s="2" t="s">
        <v>421</v>
      </c>
      <c r="E310" s="2" t="s">
        <v>27</v>
      </c>
      <c r="F310" s="2" t="s">
        <v>133</v>
      </c>
      <c r="G310" s="2" t="s">
        <v>33</v>
      </c>
      <c r="H310" s="2" t="s">
        <v>34</v>
      </c>
      <c r="I310" s="13">
        <v>10</v>
      </c>
      <c r="J310" s="10">
        <v>308.70999999999998</v>
      </c>
      <c r="K310" s="10">
        <f t="shared" si="9"/>
        <v>3087.1</v>
      </c>
      <c r="L310" s="2">
        <v>0.1</v>
      </c>
      <c r="M310" s="2" t="s">
        <v>41</v>
      </c>
      <c r="N310" s="2" t="s">
        <v>25</v>
      </c>
    </row>
    <row r="311" spans="1:14" x14ac:dyDescent="0.2">
      <c r="A311" s="13">
        <v>101828</v>
      </c>
      <c r="B311" s="5">
        <v>45613</v>
      </c>
      <c r="C311" s="5" t="str">
        <f t="shared" si="8"/>
        <v>Nov</v>
      </c>
      <c r="D311" s="2" t="s">
        <v>422</v>
      </c>
      <c r="E311" s="2" t="s">
        <v>140</v>
      </c>
      <c r="F311" s="2" t="s">
        <v>79</v>
      </c>
      <c r="G311" s="2" t="s">
        <v>50</v>
      </c>
      <c r="H311" s="2" t="s">
        <v>62</v>
      </c>
      <c r="I311" s="13">
        <v>5</v>
      </c>
      <c r="J311" s="10">
        <v>5161.05</v>
      </c>
      <c r="K311" s="10">
        <f t="shared" si="9"/>
        <v>25805.25</v>
      </c>
      <c r="L311" s="2">
        <v>0</v>
      </c>
      <c r="M311" s="2" t="s">
        <v>83</v>
      </c>
      <c r="N311" s="2" t="s">
        <v>42</v>
      </c>
    </row>
    <row r="312" spans="1:14" x14ac:dyDescent="0.2">
      <c r="A312" s="13">
        <v>101209</v>
      </c>
      <c r="B312" s="5">
        <v>45561</v>
      </c>
      <c r="C312" s="5" t="str">
        <f t="shared" si="8"/>
        <v>Sep</v>
      </c>
      <c r="D312" s="2" t="s">
        <v>299</v>
      </c>
      <c r="E312" s="2" t="s">
        <v>31</v>
      </c>
      <c r="F312" s="2" t="s">
        <v>54</v>
      </c>
      <c r="G312" s="2" t="s">
        <v>33</v>
      </c>
      <c r="H312" s="2" t="s">
        <v>93</v>
      </c>
      <c r="I312" s="13">
        <v>9</v>
      </c>
      <c r="J312" s="10">
        <v>302.87</v>
      </c>
      <c r="K312" s="10">
        <f t="shared" si="9"/>
        <v>2725.83</v>
      </c>
      <c r="L312" s="2">
        <v>0.2</v>
      </c>
      <c r="M312" s="2" t="s">
        <v>29</v>
      </c>
      <c r="N312" s="2" t="s">
        <v>121</v>
      </c>
    </row>
    <row r="313" spans="1:14" x14ac:dyDescent="0.2">
      <c r="A313" s="13">
        <v>100455</v>
      </c>
      <c r="B313" s="5">
        <v>45331</v>
      </c>
      <c r="C313" s="5" t="str">
        <f t="shared" si="8"/>
        <v>Feb</v>
      </c>
      <c r="D313" s="2" t="s">
        <v>1069</v>
      </c>
      <c r="E313" s="2" t="s">
        <v>31</v>
      </c>
      <c r="F313" s="2" t="s">
        <v>32</v>
      </c>
      <c r="G313" s="2" t="s">
        <v>50</v>
      </c>
      <c r="H313" s="2" t="s">
        <v>62</v>
      </c>
      <c r="I313" s="13">
        <v>3</v>
      </c>
      <c r="J313" s="10">
        <v>4376.41</v>
      </c>
      <c r="K313" s="10">
        <f t="shared" si="9"/>
        <v>13129.23</v>
      </c>
      <c r="L313" s="2">
        <v>0.2</v>
      </c>
      <c r="M313" s="2" t="s">
        <v>66</v>
      </c>
      <c r="N313" s="2" t="s">
        <v>87</v>
      </c>
    </row>
    <row r="314" spans="1:14" x14ac:dyDescent="0.2">
      <c r="A314" s="13">
        <v>101825</v>
      </c>
      <c r="B314" s="5">
        <v>45500</v>
      </c>
      <c r="C314" s="5" t="str">
        <f t="shared" si="8"/>
        <v>Jul</v>
      </c>
      <c r="D314" s="2" t="s">
        <v>281</v>
      </c>
      <c r="E314" s="2" t="s">
        <v>140</v>
      </c>
      <c r="F314" s="2" t="s">
        <v>49</v>
      </c>
      <c r="G314" s="2" t="s">
        <v>15</v>
      </c>
      <c r="H314" s="2" t="s">
        <v>116</v>
      </c>
      <c r="I314" s="13">
        <v>12</v>
      </c>
      <c r="J314" s="10">
        <v>5617.54</v>
      </c>
      <c r="K314" s="10">
        <f t="shared" si="9"/>
        <v>67410.48</v>
      </c>
      <c r="L314" s="2">
        <v>0</v>
      </c>
      <c r="M314" s="2" t="s">
        <v>24</v>
      </c>
      <c r="N314" s="2" t="s">
        <v>143</v>
      </c>
    </row>
    <row r="315" spans="1:14" x14ac:dyDescent="0.2">
      <c r="A315" s="13">
        <v>100223</v>
      </c>
      <c r="B315" s="5">
        <v>45413</v>
      </c>
      <c r="C315" s="5" t="str">
        <f t="shared" si="8"/>
        <v>May</v>
      </c>
      <c r="D315" s="2" t="s">
        <v>1069</v>
      </c>
      <c r="E315" s="2" t="s">
        <v>61</v>
      </c>
      <c r="F315" s="2" t="s">
        <v>14</v>
      </c>
      <c r="G315" s="2" t="s">
        <v>33</v>
      </c>
      <c r="H315" s="2" t="s">
        <v>158</v>
      </c>
      <c r="I315" s="13">
        <v>1</v>
      </c>
      <c r="J315" s="10">
        <v>212.77</v>
      </c>
      <c r="K315" s="10">
        <f t="shared" si="9"/>
        <v>212.77</v>
      </c>
      <c r="L315" s="2">
        <v>0.1</v>
      </c>
      <c r="M315" s="2" t="s">
        <v>24</v>
      </c>
      <c r="N315" s="2" t="s">
        <v>52</v>
      </c>
    </row>
    <row r="316" spans="1:14" x14ac:dyDescent="0.2">
      <c r="A316" s="13">
        <v>101754</v>
      </c>
      <c r="B316" s="5">
        <v>45317</v>
      </c>
      <c r="C316" s="5" t="str">
        <f t="shared" si="8"/>
        <v>Jan</v>
      </c>
      <c r="D316" s="2" t="s">
        <v>423</v>
      </c>
      <c r="E316" s="2" t="s">
        <v>37</v>
      </c>
      <c r="F316" s="2" t="s">
        <v>69</v>
      </c>
      <c r="G316" s="2" t="s">
        <v>50</v>
      </c>
      <c r="H316" s="2" t="s">
        <v>56</v>
      </c>
      <c r="I316" s="13">
        <v>1</v>
      </c>
      <c r="J316" s="10">
        <v>4876.33</v>
      </c>
      <c r="K316" s="10">
        <f t="shared" si="9"/>
        <v>4876.33</v>
      </c>
      <c r="L316" s="2">
        <v>0.15</v>
      </c>
      <c r="M316" s="2" t="s">
        <v>29</v>
      </c>
      <c r="N316" s="2" t="s">
        <v>87</v>
      </c>
    </row>
    <row r="317" spans="1:14" x14ac:dyDescent="0.2">
      <c r="A317" s="13">
        <v>100738</v>
      </c>
      <c r="B317" s="5">
        <v>45630</v>
      </c>
      <c r="C317" s="5" t="str">
        <f t="shared" si="8"/>
        <v>Dec</v>
      </c>
      <c r="D317" s="2" t="s">
        <v>424</v>
      </c>
      <c r="E317" s="2" t="s">
        <v>140</v>
      </c>
      <c r="F317" s="2" t="s">
        <v>79</v>
      </c>
      <c r="G317" s="2" t="s">
        <v>33</v>
      </c>
      <c r="H317" s="2" t="s">
        <v>158</v>
      </c>
      <c r="I317" s="13">
        <v>12</v>
      </c>
      <c r="J317" s="10">
        <v>128.08000000000001</v>
      </c>
      <c r="K317" s="10">
        <f t="shared" si="9"/>
        <v>1536.96</v>
      </c>
      <c r="L317" s="2">
        <v>0.05</v>
      </c>
      <c r="M317" s="2" t="s">
        <v>29</v>
      </c>
      <c r="N317" s="2" t="s">
        <v>42</v>
      </c>
    </row>
    <row r="318" spans="1:14" x14ac:dyDescent="0.2">
      <c r="A318" s="13">
        <v>101123</v>
      </c>
      <c r="B318" s="5">
        <v>45491</v>
      </c>
      <c r="C318" s="5" t="str">
        <f t="shared" si="8"/>
        <v>Jul</v>
      </c>
      <c r="D318" s="2" t="s">
        <v>426</v>
      </c>
      <c r="E318" s="2" t="s">
        <v>140</v>
      </c>
      <c r="F318" s="2" t="s">
        <v>49</v>
      </c>
      <c r="G318" s="2" t="s">
        <v>33</v>
      </c>
      <c r="H318" s="2" t="s">
        <v>158</v>
      </c>
      <c r="I318" s="13">
        <v>8</v>
      </c>
      <c r="J318" s="10">
        <v>0</v>
      </c>
      <c r="K318" s="10">
        <f t="shared" si="9"/>
        <v>0</v>
      </c>
      <c r="L318" s="2">
        <v>0.2</v>
      </c>
      <c r="M318" s="2" t="s">
        <v>83</v>
      </c>
      <c r="N318" s="2" t="s">
        <v>52</v>
      </c>
    </row>
    <row r="319" spans="1:14" x14ac:dyDescent="0.2">
      <c r="A319" s="13">
        <v>101835</v>
      </c>
      <c r="B319" s="5">
        <v>45627</v>
      </c>
      <c r="C319" s="5" t="str">
        <f t="shared" si="8"/>
        <v>Dec</v>
      </c>
      <c r="D319" s="2" t="s">
        <v>412</v>
      </c>
      <c r="E319" s="2" t="s">
        <v>27</v>
      </c>
      <c r="F319" s="2" t="s">
        <v>21</v>
      </c>
      <c r="G319" s="2" t="s">
        <v>64</v>
      </c>
      <c r="H319" s="2" t="s">
        <v>242</v>
      </c>
      <c r="I319" s="13">
        <v>1</v>
      </c>
      <c r="J319" s="10">
        <v>57.04</v>
      </c>
      <c r="K319" s="10">
        <f t="shared" si="9"/>
        <v>57.04</v>
      </c>
      <c r="L319" s="2">
        <v>0</v>
      </c>
      <c r="M319" s="2" t="s">
        <v>17</v>
      </c>
      <c r="N319" s="2" t="s">
        <v>52</v>
      </c>
    </row>
    <row r="320" spans="1:14" x14ac:dyDescent="0.2">
      <c r="A320" s="13">
        <v>100112</v>
      </c>
      <c r="B320" s="5">
        <v>45616</v>
      </c>
      <c r="C320" s="5" t="str">
        <f t="shared" si="8"/>
        <v>Nov</v>
      </c>
      <c r="D320" s="2" t="s">
        <v>429</v>
      </c>
      <c r="E320" s="2" t="s">
        <v>61</v>
      </c>
      <c r="F320" s="2" t="s">
        <v>14</v>
      </c>
      <c r="G320" s="2" t="s">
        <v>50</v>
      </c>
      <c r="H320" s="2" t="s">
        <v>207</v>
      </c>
      <c r="I320" s="13">
        <v>7</v>
      </c>
      <c r="J320" s="10">
        <v>6458.8</v>
      </c>
      <c r="K320" s="10">
        <f t="shared" si="9"/>
        <v>45211.6</v>
      </c>
      <c r="L320" s="2">
        <v>0.2</v>
      </c>
      <c r="M320" s="2" t="s">
        <v>24</v>
      </c>
      <c r="N320" s="2" t="s">
        <v>25</v>
      </c>
    </row>
    <row r="321" spans="1:14" x14ac:dyDescent="0.2">
      <c r="A321" s="13">
        <v>101566</v>
      </c>
      <c r="B321" s="5">
        <v>45475</v>
      </c>
      <c r="C321" s="5" t="str">
        <f t="shared" si="8"/>
        <v>Jul</v>
      </c>
      <c r="D321" s="2" t="s">
        <v>291</v>
      </c>
      <c r="E321" s="2" t="s">
        <v>27</v>
      </c>
      <c r="F321" s="2" t="s">
        <v>21</v>
      </c>
      <c r="G321" s="2" t="s">
        <v>15</v>
      </c>
      <c r="H321" s="2" t="s">
        <v>16</v>
      </c>
      <c r="I321" s="13">
        <v>1</v>
      </c>
      <c r="J321" s="10">
        <v>17143.12</v>
      </c>
      <c r="K321" s="10">
        <f t="shared" si="9"/>
        <v>17143.12</v>
      </c>
      <c r="L321" s="2">
        <v>0</v>
      </c>
      <c r="M321" s="2" t="s">
        <v>41</v>
      </c>
      <c r="N321" s="2" t="s">
        <v>35</v>
      </c>
    </row>
    <row r="322" spans="1:14" x14ac:dyDescent="0.2">
      <c r="A322" s="13">
        <v>100442</v>
      </c>
      <c r="B322" s="5">
        <v>45573</v>
      </c>
      <c r="C322" s="5" t="str">
        <f t="shared" ref="C322:C385" si="10">TEXT(B322,"mmm")</f>
        <v>Oct</v>
      </c>
      <c r="D322" s="2" t="s">
        <v>430</v>
      </c>
      <c r="E322" s="2" t="s">
        <v>37</v>
      </c>
      <c r="F322" s="2" t="s">
        <v>69</v>
      </c>
      <c r="G322" s="2" t="s">
        <v>50</v>
      </c>
      <c r="H322" s="2" t="s">
        <v>56</v>
      </c>
      <c r="I322" s="13">
        <v>11</v>
      </c>
      <c r="J322" s="10">
        <v>11883.85</v>
      </c>
      <c r="K322" s="10">
        <f t="shared" ref="K322:K385" si="11">I322*J322</f>
        <v>130722.35</v>
      </c>
      <c r="L322" s="2">
        <v>0.15</v>
      </c>
      <c r="M322" s="2" t="s">
        <v>83</v>
      </c>
      <c r="N322" s="2" t="s">
        <v>143</v>
      </c>
    </row>
    <row r="323" spans="1:14" x14ac:dyDescent="0.2">
      <c r="A323" s="13">
        <v>100621</v>
      </c>
      <c r="B323" s="5">
        <v>45534</v>
      </c>
      <c r="C323" s="5" t="str">
        <f t="shared" si="10"/>
        <v>Aug</v>
      </c>
      <c r="D323" s="2" t="s">
        <v>432</v>
      </c>
      <c r="E323" s="2" t="s">
        <v>27</v>
      </c>
      <c r="F323" s="2" t="s">
        <v>21</v>
      </c>
      <c r="G323" s="2" t="s">
        <v>50</v>
      </c>
      <c r="H323" s="2" t="s">
        <v>207</v>
      </c>
      <c r="I323" s="13">
        <v>2</v>
      </c>
      <c r="J323" s="10">
        <v>8108.42</v>
      </c>
      <c r="K323" s="10">
        <f t="shared" si="11"/>
        <v>16216.84</v>
      </c>
      <c r="L323" s="2">
        <v>0.2</v>
      </c>
      <c r="M323" s="2" t="s">
        <v>17</v>
      </c>
      <c r="N323" s="2" t="s">
        <v>25</v>
      </c>
    </row>
    <row r="324" spans="1:14" x14ac:dyDescent="0.2">
      <c r="A324" s="13">
        <v>101138</v>
      </c>
      <c r="B324" s="5">
        <v>45422</v>
      </c>
      <c r="C324" s="5" t="str">
        <f t="shared" si="10"/>
        <v>May</v>
      </c>
      <c r="D324" s="2" t="s">
        <v>433</v>
      </c>
      <c r="E324" s="2" t="s">
        <v>61</v>
      </c>
      <c r="F324" s="2" t="s">
        <v>119</v>
      </c>
      <c r="G324" s="2" t="s">
        <v>15</v>
      </c>
      <c r="H324" s="2" t="s">
        <v>152</v>
      </c>
      <c r="I324" s="13">
        <v>9</v>
      </c>
      <c r="J324" s="10">
        <v>6426.19</v>
      </c>
      <c r="K324" s="10">
        <f t="shared" si="11"/>
        <v>57835.71</v>
      </c>
      <c r="L324" s="2">
        <v>0.05</v>
      </c>
      <c r="M324" s="2" t="s">
        <v>17</v>
      </c>
      <c r="N324" s="2" t="s">
        <v>52</v>
      </c>
    </row>
    <row r="325" spans="1:14" x14ac:dyDescent="0.2">
      <c r="A325" s="13">
        <v>100314</v>
      </c>
      <c r="B325" s="5">
        <v>45630</v>
      </c>
      <c r="C325" s="5" t="str">
        <f t="shared" si="10"/>
        <v>Dec</v>
      </c>
      <c r="D325" s="2" t="s">
        <v>434</v>
      </c>
      <c r="E325" s="2" t="s">
        <v>140</v>
      </c>
      <c r="F325" s="2" t="s">
        <v>49</v>
      </c>
      <c r="G325" s="2" t="s">
        <v>106</v>
      </c>
      <c r="H325" s="2" t="s">
        <v>135</v>
      </c>
      <c r="I325" s="13">
        <v>2</v>
      </c>
      <c r="J325" s="10">
        <v>1110.95</v>
      </c>
      <c r="K325" s="10">
        <f t="shared" si="11"/>
        <v>2221.9</v>
      </c>
      <c r="L325" s="2">
        <v>0.25</v>
      </c>
      <c r="M325" s="2" t="s">
        <v>66</v>
      </c>
      <c r="N325" s="2" t="s">
        <v>143</v>
      </c>
    </row>
    <row r="326" spans="1:14" x14ac:dyDescent="0.2">
      <c r="A326" s="13">
        <v>100288</v>
      </c>
      <c r="B326" s="5">
        <v>45604</v>
      </c>
      <c r="C326" s="5" t="str">
        <f t="shared" si="10"/>
        <v>Nov</v>
      </c>
      <c r="D326" s="2" t="s">
        <v>320</v>
      </c>
      <c r="E326" s="2" t="s">
        <v>31</v>
      </c>
      <c r="F326" s="2" t="s">
        <v>54</v>
      </c>
      <c r="G326" s="2" t="s">
        <v>15</v>
      </c>
      <c r="H326" s="2" t="s">
        <v>59</v>
      </c>
      <c r="I326" s="13">
        <v>4</v>
      </c>
      <c r="J326" s="10">
        <v>7238.99</v>
      </c>
      <c r="K326" s="10">
        <f t="shared" si="11"/>
        <v>28955.96</v>
      </c>
      <c r="L326" s="2">
        <v>0</v>
      </c>
      <c r="M326" s="2" t="s">
        <v>17</v>
      </c>
      <c r="N326" s="2" t="s">
        <v>35</v>
      </c>
    </row>
    <row r="327" spans="1:14" x14ac:dyDescent="0.2">
      <c r="A327" s="13">
        <v>101698</v>
      </c>
      <c r="B327" s="5">
        <v>45570</v>
      </c>
      <c r="C327" s="5" t="str">
        <f t="shared" si="10"/>
        <v>Oct</v>
      </c>
      <c r="D327" s="2" t="s">
        <v>435</v>
      </c>
      <c r="E327" s="2" t="s">
        <v>61</v>
      </c>
      <c r="F327" s="2" t="s">
        <v>119</v>
      </c>
      <c r="G327" s="2" t="s">
        <v>106</v>
      </c>
      <c r="H327" s="2" t="s">
        <v>156</v>
      </c>
      <c r="I327" s="13">
        <v>3</v>
      </c>
      <c r="J327" s="10">
        <v>2350.69</v>
      </c>
      <c r="K327" s="10">
        <f t="shared" si="11"/>
        <v>7052.07</v>
      </c>
      <c r="L327" s="2">
        <v>0</v>
      </c>
      <c r="M327" s="2" t="s">
        <v>24</v>
      </c>
      <c r="N327" s="2" t="s">
        <v>18</v>
      </c>
    </row>
    <row r="328" spans="1:14" x14ac:dyDescent="0.2">
      <c r="A328" s="13">
        <v>100566</v>
      </c>
      <c r="B328" s="5">
        <v>45584</v>
      </c>
      <c r="C328" s="5" t="str">
        <f t="shared" si="10"/>
        <v>Oct</v>
      </c>
      <c r="D328" s="2" t="s">
        <v>437</v>
      </c>
      <c r="E328" s="2" t="s">
        <v>61</v>
      </c>
      <c r="F328" s="2" t="s">
        <v>14</v>
      </c>
      <c r="G328" s="2" t="s">
        <v>33</v>
      </c>
      <c r="H328" s="2" t="s">
        <v>93</v>
      </c>
      <c r="I328" s="13">
        <v>12</v>
      </c>
      <c r="J328" s="10">
        <v>258.42</v>
      </c>
      <c r="K328" s="10">
        <f t="shared" si="11"/>
        <v>3101.04</v>
      </c>
      <c r="L328" s="2">
        <v>0.2</v>
      </c>
      <c r="M328" s="2" t="s">
        <v>17</v>
      </c>
      <c r="N328" s="2" t="s">
        <v>143</v>
      </c>
    </row>
    <row r="329" spans="1:14" x14ac:dyDescent="0.2">
      <c r="A329" s="13">
        <v>100861</v>
      </c>
      <c r="B329" s="5">
        <v>45528</v>
      </c>
      <c r="C329" s="5" t="str">
        <f t="shared" si="10"/>
        <v>Aug</v>
      </c>
      <c r="D329" s="2" t="s">
        <v>150</v>
      </c>
      <c r="E329" s="2" t="s">
        <v>61</v>
      </c>
      <c r="F329" s="2" t="s">
        <v>14</v>
      </c>
      <c r="G329" s="2" t="s">
        <v>45</v>
      </c>
      <c r="H329" s="2" t="s">
        <v>71</v>
      </c>
      <c r="I329" s="13">
        <v>10</v>
      </c>
      <c r="J329" s="10">
        <v>0</v>
      </c>
      <c r="K329" s="10">
        <f t="shared" si="11"/>
        <v>0</v>
      </c>
      <c r="L329" s="2">
        <v>0</v>
      </c>
      <c r="M329" s="2" t="s">
        <v>17</v>
      </c>
      <c r="N329" s="2" t="s">
        <v>18</v>
      </c>
    </row>
    <row r="330" spans="1:14" x14ac:dyDescent="0.2">
      <c r="A330" s="13">
        <v>100518</v>
      </c>
      <c r="B330" s="5">
        <v>45424</v>
      </c>
      <c r="C330" s="5" t="str">
        <f t="shared" si="10"/>
        <v>May</v>
      </c>
      <c r="D330" s="2" t="s">
        <v>325</v>
      </c>
      <c r="E330" s="2" t="s">
        <v>140</v>
      </c>
      <c r="F330" s="2" t="s">
        <v>79</v>
      </c>
      <c r="G330" s="2" t="s">
        <v>22</v>
      </c>
      <c r="H330" s="2" t="s">
        <v>145</v>
      </c>
      <c r="I330" s="13">
        <v>2</v>
      </c>
      <c r="J330" s="10">
        <v>1075.31</v>
      </c>
      <c r="K330" s="10">
        <f t="shared" si="11"/>
        <v>2150.62</v>
      </c>
      <c r="L330" s="2">
        <v>0.15</v>
      </c>
      <c r="M330" s="2" t="s">
        <v>17</v>
      </c>
      <c r="N330" s="2" t="s">
        <v>143</v>
      </c>
    </row>
    <row r="331" spans="1:14" x14ac:dyDescent="0.2">
      <c r="A331" s="13">
        <v>100952</v>
      </c>
      <c r="B331" s="5">
        <v>45516</v>
      </c>
      <c r="C331" s="5" t="str">
        <f t="shared" si="10"/>
        <v>Aug</v>
      </c>
      <c r="D331" s="2" t="s">
        <v>439</v>
      </c>
      <c r="E331" s="2" t="s">
        <v>140</v>
      </c>
      <c r="F331" s="2" t="s">
        <v>79</v>
      </c>
      <c r="G331" s="2" t="s">
        <v>22</v>
      </c>
      <c r="H331" s="2" t="s">
        <v>145</v>
      </c>
      <c r="I331" s="13">
        <v>8</v>
      </c>
      <c r="J331" s="10">
        <v>687.51</v>
      </c>
      <c r="K331" s="10">
        <f t="shared" si="11"/>
        <v>5500.08</v>
      </c>
      <c r="L331" s="2">
        <v>0.05</v>
      </c>
      <c r="M331" s="2" t="s">
        <v>24</v>
      </c>
      <c r="N331" s="2" t="s">
        <v>87</v>
      </c>
    </row>
    <row r="332" spans="1:14" x14ac:dyDescent="0.2">
      <c r="A332" s="13">
        <v>101727</v>
      </c>
      <c r="B332" s="5">
        <v>45353</v>
      </c>
      <c r="C332" s="5" t="str">
        <f t="shared" si="10"/>
        <v>Mar</v>
      </c>
      <c r="D332" s="2" t="s">
        <v>98</v>
      </c>
      <c r="E332" s="2" t="s">
        <v>27</v>
      </c>
      <c r="F332" s="2" t="s">
        <v>21</v>
      </c>
      <c r="G332" s="2" t="s">
        <v>50</v>
      </c>
      <c r="H332" s="2" t="s">
        <v>207</v>
      </c>
      <c r="I332" s="13">
        <v>11</v>
      </c>
      <c r="J332" s="10">
        <v>0</v>
      </c>
      <c r="K332" s="10">
        <f t="shared" si="11"/>
        <v>0</v>
      </c>
      <c r="L332" s="2">
        <v>0.05</v>
      </c>
      <c r="M332" s="2" t="s">
        <v>83</v>
      </c>
      <c r="N332" s="2" t="s">
        <v>18</v>
      </c>
    </row>
    <row r="333" spans="1:14" x14ac:dyDescent="0.2">
      <c r="A333" s="13">
        <v>101510</v>
      </c>
      <c r="B333" s="5">
        <v>45656</v>
      </c>
      <c r="C333" s="5" t="str">
        <f t="shared" si="10"/>
        <v>Dec</v>
      </c>
      <c r="D333" s="2" t="s">
        <v>464</v>
      </c>
      <c r="E333" s="2" t="s">
        <v>37</v>
      </c>
      <c r="F333" s="2" t="s">
        <v>69</v>
      </c>
      <c r="G333" s="2" t="s">
        <v>106</v>
      </c>
      <c r="H333" s="2" t="s">
        <v>135</v>
      </c>
      <c r="I333" s="13">
        <v>4</v>
      </c>
      <c r="J333" s="10">
        <v>4156.67</v>
      </c>
      <c r="K333" s="10">
        <f t="shared" si="11"/>
        <v>16626.68</v>
      </c>
      <c r="L333" s="2">
        <v>0</v>
      </c>
      <c r="M333" s="2" t="s">
        <v>83</v>
      </c>
      <c r="N333" s="2" t="s">
        <v>25</v>
      </c>
    </row>
    <row r="334" spans="1:14" x14ac:dyDescent="0.2">
      <c r="A334" s="13">
        <v>100682</v>
      </c>
      <c r="B334" s="5">
        <v>45407</v>
      </c>
      <c r="C334" s="5" t="str">
        <f t="shared" si="10"/>
        <v>Apr</v>
      </c>
      <c r="D334" s="2" t="s">
        <v>241</v>
      </c>
      <c r="E334" s="2" t="s">
        <v>27</v>
      </c>
      <c r="F334" s="2" t="s">
        <v>133</v>
      </c>
      <c r="G334" s="2" t="s">
        <v>15</v>
      </c>
      <c r="H334" s="2" t="s">
        <v>116</v>
      </c>
      <c r="I334" s="13">
        <v>-3</v>
      </c>
      <c r="J334" s="10">
        <v>3372.48</v>
      </c>
      <c r="K334" s="10">
        <f t="shared" si="11"/>
        <v>-10117.44</v>
      </c>
      <c r="L334" s="2">
        <v>0.15</v>
      </c>
      <c r="M334" s="2" t="s">
        <v>24</v>
      </c>
      <c r="N334" s="2" t="s">
        <v>121</v>
      </c>
    </row>
    <row r="335" spans="1:14" x14ac:dyDescent="0.2">
      <c r="A335" s="13">
        <v>101332</v>
      </c>
      <c r="B335" s="5">
        <v>45396</v>
      </c>
      <c r="C335" s="5" t="str">
        <f t="shared" si="10"/>
        <v>Apr</v>
      </c>
      <c r="D335" s="2" t="s">
        <v>442</v>
      </c>
      <c r="E335" s="2" t="s">
        <v>31</v>
      </c>
      <c r="F335" s="2" t="s">
        <v>54</v>
      </c>
      <c r="G335" s="2" t="s">
        <v>15</v>
      </c>
      <c r="H335" s="2" t="s">
        <v>16</v>
      </c>
      <c r="I335" s="13">
        <v>10</v>
      </c>
      <c r="J335" s="10">
        <v>20175.72</v>
      </c>
      <c r="K335" s="10">
        <f t="shared" si="11"/>
        <v>201757.2</v>
      </c>
      <c r="L335" s="2">
        <v>0.1</v>
      </c>
      <c r="M335" s="2" t="s">
        <v>24</v>
      </c>
      <c r="N335" s="2" t="s">
        <v>18</v>
      </c>
    </row>
    <row r="336" spans="1:14" x14ac:dyDescent="0.2">
      <c r="A336" s="13">
        <v>100340</v>
      </c>
      <c r="B336" s="5">
        <v>45316</v>
      </c>
      <c r="C336" s="5" t="str">
        <f t="shared" si="10"/>
        <v>Jan</v>
      </c>
      <c r="D336" s="2" t="s">
        <v>443</v>
      </c>
      <c r="E336" s="2" t="s">
        <v>31</v>
      </c>
      <c r="F336" s="2" t="s">
        <v>54</v>
      </c>
      <c r="G336" s="2" t="s">
        <v>64</v>
      </c>
      <c r="H336" s="2" t="s">
        <v>114</v>
      </c>
      <c r="I336" s="13">
        <v>3</v>
      </c>
      <c r="J336" s="10">
        <v>821.13</v>
      </c>
      <c r="K336" s="10">
        <f t="shared" si="11"/>
        <v>2463.39</v>
      </c>
      <c r="L336" s="2">
        <v>0.05</v>
      </c>
      <c r="M336" s="2" t="s">
        <v>24</v>
      </c>
      <c r="N336" s="2" t="s">
        <v>87</v>
      </c>
    </row>
    <row r="337" spans="1:14" x14ac:dyDescent="0.2">
      <c r="A337" s="13">
        <v>100359</v>
      </c>
      <c r="B337" s="5">
        <v>45465</v>
      </c>
      <c r="C337" s="5" t="str">
        <f t="shared" si="10"/>
        <v>Jun</v>
      </c>
      <c r="D337" s="2" t="s">
        <v>444</v>
      </c>
      <c r="E337" s="2" t="s">
        <v>31</v>
      </c>
      <c r="F337" s="2" t="s">
        <v>32</v>
      </c>
      <c r="G337" s="2" t="s">
        <v>106</v>
      </c>
      <c r="H337" s="2" t="s">
        <v>103</v>
      </c>
      <c r="I337" s="13">
        <v>12</v>
      </c>
      <c r="J337" s="10">
        <v>3546.72</v>
      </c>
      <c r="K337" s="10">
        <f t="shared" si="11"/>
        <v>42560.639999999999</v>
      </c>
      <c r="L337" s="2">
        <v>0.2</v>
      </c>
      <c r="M337" s="2" t="s">
        <v>17</v>
      </c>
      <c r="N337" s="2" t="s">
        <v>143</v>
      </c>
    </row>
    <row r="338" spans="1:14" x14ac:dyDescent="0.2">
      <c r="A338" s="13">
        <v>101943</v>
      </c>
      <c r="B338" s="5">
        <v>45460</v>
      </c>
      <c r="C338" s="5" t="str">
        <f t="shared" si="10"/>
        <v>Jun</v>
      </c>
      <c r="D338" s="2" t="s">
        <v>1069</v>
      </c>
      <c r="E338" s="2" t="s">
        <v>31</v>
      </c>
      <c r="F338" s="2" t="s">
        <v>54</v>
      </c>
      <c r="G338" s="2" t="s">
        <v>64</v>
      </c>
      <c r="H338" s="2" t="s">
        <v>165</v>
      </c>
      <c r="I338" s="13">
        <v>8</v>
      </c>
      <c r="J338" s="10">
        <v>157.93</v>
      </c>
      <c r="K338" s="10">
        <f t="shared" si="11"/>
        <v>1263.44</v>
      </c>
      <c r="L338" s="2">
        <v>0.15</v>
      </c>
      <c r="M338" s="2" t="s">
        <v>17</v>
      </c>
      <c r="N338" s="2" t="s">
        <v>25</v>
      </c>
    </row>
    <row r="339" spans="1:14" x14ac:dyDescent="0.2">
      <c r="A339" s="13">
        <v>100612</v>
      </c>
      <c r="B339" s="5">
        <v>45460</v>
      </c>
      <c r="C339" s="5" t="str">
        <f t="shared" si="10"/>
        <v>Jun</v>
      </c>
      <c r="D339" s="2" t="s">
        <v>445</v>
      </c>
      <c r="E339" s="2" t="s">
        <v>37</v>
      </c>
      <c r="F339" s="2" t="s">
        <v>69</v>
      </c>
      <c r="G339" s="2" t="s">
        <v>106</v>
      </c>
      <c r="H339" s="2" t="s">
        <v>137</v>
      </c>
      <c r="I339" s="13">
        <v>7</v>
      </c>
      <c r="J339" s="10">
        <v>4260.79</v>
      </c>
      <c r="K339" s="10">
        <f t="shared" si="11"/>
        <v>29825.53</v>
      </c>
      <c r="L339" s="2">
        <v>0</v>
      </c>
      <c r="M339" s="2" t="s">
        <v>83</v>
      </c>
      <c r="N339" s="2" t="s">
        <v>18</v>
      </c>
    </row>
    <row r="340" spans="1:14" x14ac:dyDescent="0.2">
      <c r="A340" s="13">
        <v>100018</v>
      </c>
      <c r="B340" s="5">
        <v>45487</v>
      </c>
      <c r="C340" s="5" t="str">
        <f t="shared" si="10"/>
        <v>Jul</v>
      </c>
      <c r="D340" s="2" t="s">
        <v>446</v>
      </c>
      <c r="E340" s="2" t="s">
        <v>27</v>
      </c>
      <c r="F340" s="2" t="s">
        <v>21</v>
      </c>
      <c r="G340" s="2" t="s">
        <v>64</v>
      </c>
      <c r="H340" s="2" t="s">
        <v>242</v>
      </c>
      <c r="I340" s="13">
        <v>11</v>
      </c>
      <c r="J340" s="10">
        <v>676.08</v>
      </c>
      <c r="K340" s="10">
        <f t="shared" si="11"/>
        <v>7436.88</v>
      </c>
      <c r="L340" s="2">
        <v>0.1</v>
      </c>
      <c r="M340" s="2" t="s">
        <v>24</v>
      </c>
      <c r="N340" s="2" t="s">
        <v>18</v>
      </c>
    </row>
    <row r="341" spans="1:14" x14ac:dyDescent="0.2">
      <c r="A341" s="13">
        <v>101464</v>
      </c>
      <c r="B341" s="5">
        <v>45489</v>
      </c>
      <c r="C341" s="5" t="str">
        <f t="shared" si="10"/>
        <v>Jul</v>
      </c>
      <c r="D341" s="2" t="s">
        <v>148</v>
      </c>
      <c r="E341" s="2" t="s">
        <v>140</v>
      </c>
      <c r="F341" s="2" t="s">
        <v>49</v>
      </c>
      <c r="G341" s="2" t="s">
        <v>64</v>
      </c>
      <c r="H341" s="2" t="s">
        <v>165</v>
      </c>
      <c r="I341" s="13">
        <v>4</v>
      </c>
      <c r="J341" s="10">
        <v>321.72000000000003</v>
      </c>
      <c r="K341" s="10">
        <f t="shared" si="11"/>
        <v>1286.8800000000001</v>
      </c>
      <c r="L341" s="2">
        <v>0</v>
      </c>
      <c r="M341" s="2" t="s">
        <v>29</v>
      </c>
      <c r="N341" s="2" t="s">
        <v>121</v>
      </c>
    </row>
    <row r="342" spans="1:14" x14ac:dyDescent="0.2">
      <c r="A342" s="13">
        <v>101114</v>
      </c>
      <c r="B342" s="5">
        <v>45496</v>
      </c>
      <c r="C342" s="5" t="str">
        <f t="shared" si="10"/>
        <v>Jul</v>
      </c>
      <c r="D342" s="2" t="s">
        <v>449</v>
      </c>
      <c r="E342" s="2" t="s">
        <v>37</v>
      </c>
      <c r="F342" s="2" t="s">
        <v>38</v>
      </c>
      <c r="G342" s="2" t="s">
        <v>64</v>
      </c>
      <c r="H342" s="2" t="s">
        <v>242</v>
      </c>
      <c r="I342" s="13">
        <v>4</v>
      </c>
      <c r="J342" s="10">
        <v>479.7</v>
      </c>
      <c r="K342" s="10">
        <f t="shared" si="11"/>
        <v>1918.8</v>
      </c>
      <c r="L342" s="2">
        <v>0</v>
      </c>
      <c r="M342" s="2" t="s">
        <v>17</v>
      </c>
      <c r="N342" s="2" t="s">
        <v>87</v>
      </c>
    </row>
    <row r="343" spans="1:14" x14ac:dyDescent="0.2">
      <c r="A343" s="13">
        <v>100375</v>
      </c>
      <c r="B343" s="5">
        <v>45551</v>
      </c>
      <c r="C343" s="5" t="str">
        <f t="shared" si="10"/>
        <v>Sep</v>
      </c>
      <c r="D343" s="2" t="s">
        <v>450</v>
      </c>
      <c r="E343" s="2" t="s">
        <v>61</v>
      </c>
      <c r="F343" s="2" t="s">
        <v>14</v>
      </c>
      <c r="G343" s="2" t="s">
        <v>22</v>
      </c>
      <c r="H343" s="2" t="s">
        <v>145</v>
      </c>
      <c r="I343" s="13">
        <v>6</v>
      </c>
      <c r="J343" s="10">
        <v>2804.04</v>
      </c>
      <c r="K343" s="10">
        <f t="shared" si="11"/>
        <v>16824.239999999998</v>
      </c>
      <c r="L343" s="2">
        <v>0</v>
      </c>
      <c r="M343" s="2" t="s">
        <v>17</v>
      </c>
      <c r="N343" s="2" t="s">
        <v>42</v>
      </c>
    </row>
    <row r="344" spans="1:14" x14ac:dyDescent="0.2">
      <c r="A344" s="13">
        <v>101575</v>
      </c>
      <c r="B344" s="5">
        <v>45484</v>
      </c>
      <c r="C344" s="5" t="str">
        <f t="shared" si="10"/>
        <v>Jul</v>
      </c>
      <c r="D344" s="2" t="s">
        <v>246</v>
      </c>
      <c r="E344" s="2" t="s">
        <v>31</v>
      </c>
      <c r="F344" s="2" t="s">
        <v>32</v>
      </c>
      <c r="G344" s="2" t="s">
        <v>15</v>
      </c>
      <c r="H344" s="2" t="s">
        <v>59</v>
      </c>
      <c r="I344" s="13">
        <v>3</v>
      </c>
      <c r="J344" s="10">
        <v>0</v>
      </c>
      <c r="K344" s="10">
        <f t="shared" si="11"/>
        <v>0</v>
      </c>
      <c r="L344" s="2">
        <v>0.1</v>
      </c>
      <c r="M344" s="2" t="s">
        <v>24</v>
      </c>
      <c r="N344" s="2" t="s">
        <v>121</v>
      </c>
    </row>
    <row r="345" spans="1:14" x14ac:dyDescent="0.2">
      <c r="A345" s="13">
        <v>100620</v>
      </c>
      <c r="B345" s="5">
        <v>45475</v>
      </c>
      <c r="C345" s="5" t="str">
        <f t="shared" si="10"/>
        <v>Jul</v>
      </c>
      <c r="D345" s="2" t="s">
        <v>164</v>
      </c>
      <c r="E345" s="2" t="s">
        <v>61</v>
      </c>
      <c r="F345" s="2" t="s">
        <v>14</v>
      </c>
      <c r="G345" s="2" t="s">
        <v>15</v>
      </c>
      <c r="H345" s="2" t="s">
        <v>16</v>
      </c>
      <c r="I345" s="13">
        <v>11</v>
      </c>
      <c r="J345" s="10">
        <v>23764.16</v>
      </c>
      <c r="K345" s="10">
        <f t="shared" si="11"/>
        <v>261405.76</v>
      </c>
      <c r="L345" s="2">
        <v>0</v>
      </c>
      <c r="M345" s="2" t="s">
        <v>29</v>
      </c>
      <c r="N345" s="2" t="s">
        <v>121</v>
      </c>
    </row>
    <row r="346" spans="1:14" x14ac:dyDescent="0.2">
      <c r="A346" s="13">
        <v>101816</v>
      </c>
      <c r="B346" s="5">
        <v>45546</v>
      </c>
      <c r="C346" s="5" t="str">
        <f t="shared" si="10"/>
        <v>Sep</v>
      </c>
      <c r="D346" s="2" t="s">
        <v>451</v>
      </c>
      <c r="E346" s="2" t="s">
        <v>37</v>
      </c>
      <c r="F346" s="2" t="s">
        <v>69</v>
      </c>
      <c r="G346" s="2" t="s">
        <v>64</v>
      </c>
      <c r="H346" s="2" t="s">
        <v>40</v>
      </c>
      <c r="I346" s="13">
        <v>1</v>
      </c>
      <c r="J346" s="10">
        <v>510.22</v>
      </c>
      <c r="K346" s="10">
        <f t="shared" si="11"/>
        <v>510.22</v>
      </c>
      <c r="L346" s="2">
        <v>0.1</v>
      </c>
      <c r="M346" s="2" t="s">
        <v>41</v>
      </c>
      <c r="N346" s="2" t="s">
        <v>35</v>
      </c>
    </row>
    <row r="347" spans="1:14" x14ac:dyDescent="0.2">
      <c r="A347" s="13">
        <v>101307</v>
      </c>
      <c r="B347" s="5">
        <v>45629</v>
      </c>
      <c r="C347" s="5" t="str">
        <f t="shared" si="10"/>
        <v>Dec</v>
      </c>
      <c r="D347" s="2" t="s">
        <v>452</v>
      </c>
      <c r="E347" s="2" t="s">
        <v>140</v>
      </c>
      <c r="F347" s="2" t="s">
        <v>79</v>
      </c>
      <c r="G347" s="2" t="s">
        <v>45</v>
      </c>
      <c r="H347" s="2" t="s">
        <v>153</v>
      </c>
      <c r="I347" s="13">
        <v>5</v>
      </c>
      <c r="J347" s="10">
        <v>29490.03</v>
      </c>
      <c r="K347" s="10">
        <f t="shared" si="11"/>
        <v>147450.15</v>
      </c>
      <c r="L347" s="2">
        <v>0</v>
      </c>
      <c r="M347" s="2" t="s">
        <v>83</v>
      </c>
      <c r="N347" s="2" t="s">
        <v>35</v>
      </c>
    </row>
    <row r="348" spans="1:14" x14ac:dyDescent="0.2">
      <c r="A348" s="13">
        <v>101644</v>
      </c>
      <c r="B348" s="5">
        <v>45408</v>
      </c>
      <c r="C348" s="5" t="str">
        <f t="shared" si="10"/>
        <v>Apr</v>
      </c>
      <c r="D348" s="2" t="s">
        <v>195</v>
      </c>
      <c r="E348" s="2" t="s">
        <v>27</v>
      </c>
      <c r="F348" s="2" t="s">
        <v>21</v>
      </c>
      <c r="G348" s="2" t="s">
        <v>45</v>
      </c>
      <c r="H348" s="2" t="s">
        <v>153</v>
      </c>
      <c r="I348" s="13">
        <v>10</v>
      </c>
      <c r="J348" s="10">
        <v>37484.879999999997</v>
      </c>
      <c r="K348" s="10">
        <f t="shared" si="11"/>
        <v>374848.8</v>
      </c>
      <c r="L348" s="2">
        <v>0.15</v>
      </c>
      <c r="M348" s="2" t="s">
        <v>41</v>
      </c>
      <c r="N348" s="2" t="s">
        <v>35</v>
      </c>
    </row>
    <row r="349" spans="1:14" x14ac:dyDescent="0.2">
      <c r="A349" s="13">
        <v>101882</v>
      </c>
      <c r="B349" s="5">
        <v>45406</v>
      </c>
      <c r="C349" s="5" t="str">
        <f t="shared" si="10"/>
        <v>Apr</v>
      </c>
      <c r="D349" s="2" t="s">
        <v>454</v>
      </c>
      <c r="E349" s="2" t="s">
        <v>140</v>
      </c>
      <c r="F349" s="2" t="s">
        <v>49</v>
      </c>
      <c r="G349" s="2" t="s">
        <v>50</v>
      </c>
      <c r="H349" s="2" t="s">
        <v>56</v>
      </c>
      <c r="I349" s="13">
        <v>3</v>
      </c>
      <c r="J349" s="10">
        <v>5892.73</v>
      </c>
      <c r="K349" s="10">
        <f t="shared" si="11"/>
        <v>17678.189999999999</v>
      </c>
      <c r="L349" s="2">
        <v>0</v>
      </c>
      <c r="M349" s="2" t="s">
        <v>24</v>
      </c>
      <c r="N349" s="2" t="s">
        <v>42</v>
      </c>
    </row>
    <row r="350" spans="1:14" x14ac:dyDescent="0.2">
      <c r="A350" s="13">
        <v>100055</v>
      </c>
      <c r="B350" s="5">
        <v>45503</v>
      </c>
      <c r="C350" s="5" t="str">
        <f t="shared" si="10"/>
        <v>Jul</v>
      </c>
      <c r="D350" s="2" t="s">
        <v>455</v>
      </c>
      <c r="E350" s="2" t="s">
        <v>31</v>
      </c>
      <c r="F350" s="2" t="s">
        <v>54</v>
      </c>
      <c r="G350" s="2" t="s">
        <v>106</v>
      </c>
      <c r="H350" s="2" t="s">
        <v>103</v>
      </c>
      <c r="I350" s="13">
        <v>11</v>
      </c>
      <c r="J350" s="10">
        <v>896.71</v>
      </c>
      <c r="K350" s="10">
        <f t="shared" si="11"/>
        <v>9863.8100000000013</v>
      </c>
      <c r="L350" s="2">
        <v>0.05</v>
      </c>
      <c r="M350" s="2" t="s">
        <v>83</v>
      </c>
      <c r="N350" s="2" t="s">
        <v>25</v>
      </c>
    </row>
    <row r="351" spans="1:14" x14ac:dyDescent="0.2">
      <c r="A351" s="13">
        <v>100264</v>
      </c>
      <c r="B351" s="5">
        <v>45647</v>
      </c>
      <c r="C351" s="5" t="str">
        <f t="shared" si="10"/>
        <v>Dec</v>
      </c>
      <c r="D351" s="2" t="s">
        <v>397</v>
      </c>
      <c r="E351" s="2" t="s">
        <v>140</v>
      </c>
      <c r="F351" s="2" t="s">
        <v>79</v>
      </c>
      <c r="G351" s="2" t="s">
        <v>50</v>
      </c>
      <c r="H351" s="2" t="s">
        <v>51</v>
      </c>
      <c r="I351" s="13">
        <v>4</v>
      </c>
      <c r="J351" s="10">
        <v>6016.82</v>
      </c>
      <c r="K351" s="10">
        <f t="shared" si="11"/>
        <v>24067.279999999999</v>
      </c>
      <c r="L351" s="2">
        <v>0.2</v>
      </c>
      <c r="M351" s="2" t="s">
        <v>29</v>
      </c>
      <c r="N351" s="2" t="s">
        <v>42</v>
      </c>
    </row>
    <row r="352" spans="1:14" x14ac:dyDescent="0.2">
      <c r="A352" s="13">
        <v>100102</v>
      </c>
      <c r="B352" s="5">
        <v>45456</v>
      </c>
      <c r="C352" s="5" t="str">
        <f t="shared" si="10"/>
        <v>Jun</v>
      </c>
      <c r="D352" s="2" t="s">
        <v>146</v>
      </c>
      <c r="E352" s="2" t="s">
        <v>27</v>
      </c>
      <c r="F352" s="2" t="s">
        <v>133</v>
      </c>
      <c r="G352" s="2" t="s">
        <v>64</v>
      </c>
      <c r="H352" s="2" t="s">
        <v>292</v>
      </c>
      <c r="I352" s="13">
        <v>9</v>
      </c>
      <c r="J352" s="10">
        <v>234.68</v>
      </c>
      <c r="K352" s="10">
        <f t="shared" si="11"/>
        <v>2112.12</v>
      </c>
      <c r="L352" s="2">
        <v>0.15</v>
      </c>
      <c r="M352" s="2" t="s">
        <v>24</v>
      </c>
      <c r="N352" s="2" t="s">
        <v>52</v>
      </c>
    </row>
    <row r="353" spans="1:14" x14ac:dyDescent="0.2">
      <c r="A353" s="13">
        <v>100276</v>
      </c>
      <c r="B353" s="5">
        <v>45654</v>
      </c>
      <c r="C353" s="5" t="str">
        <f t="shared" si="10"/>
        <v>Dec</v>
      </c>
      <c r="D353" s="2" t="s">
        <v>457</v>
      </c>
      <c r="E353" s="2" t="s">
        <v>31</v>
      </c>
      <c r="F353" s="2" t="s">
        <v>32</v>
      </c>
      <c r="G353" s="2" t="s">
        <v>33</v>
      </c>
      <c r="H353" s="2" t="s">
        <v>81</v>
      </c>
      <c r="I353" s="13">
        <v>2</v>
      </c>
      <c r="J353" s="10">
        <v>140.06</v>
      </c>
      <c r="K353" s="10">
        <f t="shared" si="11"/>
        <v>280.12</v>
      </c>
      <c r="L353" s="2">
        <v>0.05</v>
      </c>
      <c r="M353" s="2" t="s">
        <v>29</v>
      </c>
      <c r="N353" s="2" t="s">
        <v>121</v>
      </c>
    </row>
    <row r="354" spans="1:14" x14ac:dyDescent="0.2">
      <c r="A354" s="13">
        <v>100287</v>
      </c>
      <c r="B354" s="5">
        <v>45540</v>
      </c>
      <c r="C354" s="5" t="str">
        <f t="shared" si="10"/>
        <v>Sep</v>
      </c>
      <c r="D354" s="2" t="s">
        <v>164</v>
      </c>
      <c r="E354" s="2" t="s">
        <v>37</v>
      </c>
      <c r="F354" s="2" t="s">
        <v>69</v>
      </c>
      <c r="G354" s="2" t="s">
        <v>22</v>
      </c>
      <c r="H354" s="2" t="s">
        <v>145</v>
      </c>
      <c r="I354" s="13">
        <v>12</v>
      </c>
      <c r="J354" s="10">
        <v>0</v>
      </c>
      <c r="K354" s="10">
        <f t="shared" si="11"/>
        <v>0</v>
      </c>
      <c r="L354" s="2">
        <v>0</v>
      </c>
      <c r="M354" s="2" t="s">
        <v>66</v>
      </c>
      <c r="N354" s="2" t="s">
        <v>18</v>
      </c>
    </row>
    <row r="355" spans="1:14" x14ac:dyDescent="0.2">
      <c r="A355" s="13">
        <v>101765</v>
      </c>
      <c r="B355" s="5">
        <v>45469</v>
      </c>
      <c r="C355" s="5" t="str">
        <f t="shared" si="10"/>
        <v>Jun</v>
      </c>
      <c r="D355" s="2" t="s">
        <v>459</v>
      </c>
      <c r="E355" s="2" t="s">
        <v>61</v>
      </c>
      <c r="F355" s="2" t="s">
        <v>119</v>
      </c>
      <c r="G355" s="2" t="s">
        <v>45</v>
      </c>
      <c r="H355" s="2" t="s">
        <v>46</v>
      </c>
      <c r="I355" s="13">
        <v>5</v>
      </c>
      <c r="J355" s="10">
        <v>4042.8</v>
      </c>
      <c r="K355" s="10">
        <f t="shared" si="11"/>
        <v>20214</v>
      </c>
      <c r="L355" s="2">
        <v>0</v>
      </c>
      <c r="M355" s="2" t="s">
        <v>41</v>
      </c>
      <c r="N355" s="2" t="s">
        <v>87</v>
      </c>
    </row>
    <row r="356" spans="1:14" x14ac:dyDescent="0.2">
      <c r="A356" s="13">
        <v>100250</v>
      </c>
      <c r="B356" s="5">
        <v>45656</v>
      </c>
      <c r="C356" s="5" t="str">
        <f t="shared" si="10"/>
        <v>Dec</v>
      </c>
      <c r="D356" s="2" t="s">
        <v>229</v>
      </c>
      <c r="E356" s="2" t="s">
        <v>61</v>
      </c>
      <c r="F356" s="2" t="s">
        <v>14</v>
      </c>
      <c r="G356" s="2" t="s">
        <v>106</v>
      </c>
      <c r="H356" s="2" t="s">
        <v>137</v>
      </c>
      <c r="I356" s="13">
        <v>11</v>
      </c>
      <c r="J356" s="10">
        <v>3573.04</v>
      </c>
      <c r="K356" s="10">
        <f t="shared" si="11"/>
        <v>39303.440000000002</v>
      </c>
      <c r="L356" s="2">
        <v>0</v>
      </c>
      <c r="M356" s="2" t="s">
        <v>24</v>
      </c>
      <c r="N356" s="2" t="s">
        <v>52</v>
      </c>
    </row>
    <row r="357" spans="1:14" x14ac:dyDescent="0.2">
      <c r="A357" s="13">
        <v>101472</v>
      </c>
      <c r="B357" s="5">
        <v>45398</v>
      </c>
      <c r="C357" s="5" t="str">
        <f t="shared" si="10"/>
        <v>Apr</v>
      </c>
      <c r="D357" s="2" t="s">
        <v>460</v>
      </c>
      <c r="E357" s="2" t="s">
        <v>37</v>
      </c>
      <c r="F357" s="2" t="s">
        <v>69</v>
      </c>
      <c r="G357" s="2" t="s">
        <v>22</v>
      </c>
      <c r="H357" s="2" t="s">
        <v>75</v>
      </c>
      <c r="I357" s="13">
        <v>12</v>
      </c>
      <c r="J357" s="10">
        <v>1806.72</v>
      </c>
      <c r="K357" s="10">
        <f t="shared" si="11"/>
        <v>21680.639999999999</v>
      </c>
      <c r="L357" s="2">
        <v>0.05</v>
      </c>
      <c r="M357" s="2" t="s">
        <v>29</v>
      </c>
      <c r="N357" s="2" t="s">
        <v>87</v>
      </c>
    </row>
    <row r="358" spans="1:14" x14ac:dyDescent="0.2">
      <c r="A358" s="13">
        <v>101427</v>
      </c>
      <c r="B358" s="5">
        <v>45372</v>
      </c>
      <c r="C358" s="5" t="str">
        <f t="shared" si="10"/>
        <v>Mar</v>
      </c>
      <c r="D358" s="2" t="s">
        <v>362</v>
      </c>
      <c r="E358" s="2" t="s">
        <v>61</v>
      </c>
      <c r="F358" s="2" t="s">
        <v>119</v>
      </c>
      <c r="G358" s="2" t="s">
        <v>45</v>
      </c>
      <c r="H358" s="2" t="s">
        <v>46</v>
      </c>
      <c r="I358" s="13">
        <v>4</v>
      </c>
      <c r="J358" s="10">
        <v>33173.040000000001</v>
      </c>
      <c r="K358" s="10">
        <f t="shared" si="11"/>
        <v>132692.16</v>
      </c>
      <c r="L358" s="2">
        <v>0</v>
      </c>
      <c r="M358" s="2" t="s">
        <v>41</v>
      </c>
      <c r="N358" s="2" t="s">
        <v>143</v>
      </c>
    </row>
    <row r="359" spans="1:14" x14ac:dyDescent="0.2">
      <c r="A359" s="13">
        <v>101761</v>
      </c>
      <c r="B359" s="5">
        <v>45457</v>
      </c>
      <c r="C359" s="5" t="str">
        <f t="shared" si="10"/>
        <v>Jun</v>
      </c>
      <c r="D359" s="2" t="s">
        <v>462</v>
      </c>
      <c r="E359" s="2" t="s">
        <v>27</v>
      </c>
      <c r="F359" s="2" t="s">
        <v>133</v>
      </c>
      <c r="G359" s="2" t="s">
        <v>45</v>
      </c>
      <c r="H359" s="2" t="s">
        <v>111</v>
      </c>
      <c r="I359" s="13">
        <v>3</v>
      </c>
      <c r="J359" s="10">
        <v>14466.16</v>
      </c>
      <c r="K359" s="10">
        <f t="shared" si="11"/>
        <v>43398.479999999996</v>
      </c>
      <c r="L359" s="2">
        <v>0.2</v>
      </c>
      <c r="M359" s="2" t="s">
        <v>66</v>
      </c>
      <c r="N359" s="2" t="s">
        <v>42</v>
      </c>
    </row>
    <row r="360" spans="1:14" x14ac:dyDescent="0.2">
      <c r="A360" s="13">
        <v>100579</v>
      </c>
      <c r="B360" s="5">
        <v>45621</v>
      </c>
      <c r="C360" s="5" t="str">
        <f t="shared" si="10"/>
        <v>Nov</v>
      </c>
      <c r="D360" s="2" t="s">
        <v>463</v>
      </c>
      <c r="E360" s="2" t="s">
        <v>140</v>
      </c>
      <c r="F360" s="2" t="s">
        <v>49</v>
      </c>
      <c r="G360" s="2" t="s">
        <v>15</v>
      </c>
      <c r="H360" s="2" t="s">
        <v>152</v>
      </c>
      <c r="I360" s="13">
        <v>9</v>
      </c>
      <c r="J360" s="10">
        <v>7966.69</v>
      </c>
      <c r="K360" s="10">
        <f t="shared" si="11"/>
        <v>71700.209999999992</v>
      </c>
      <c r="L360" s="2">
        <v>0</v>
      </c>
      <c r="M360" s="2" t="s">
        <v>24</v>
      </c>
      <c r="N360" s="2" t="s">
        <v>121</v>
      </c>
    </row>
    <row r="361" spans="1:14" x14ac:dyDescent="0.2">
      <c r="A361" s="13">
        <v>100345</v>
      </c>
      <c r="B361" s="5">
        <v>45301</v>
      </c>
      <c r="C361" s="5" t="str">
        <f t="shared" si="10"/>
        <v>Jan</v>
      </c>
      <c r="D361" s="2" t="s">
        <v>43</v>
      </c>
      <c r="E361" s="2" t="s">
        <v>140</v>
      </c>
      <c r="F361" s="2" t="s">
        <v>49</v>
      </c>
      <c r="G361" s="2" t="s">
        <v>64</v>
      </c>
      <c r="H361" s="2" t="s">
        <v>292</v>
      </c>
      <c r="I361" s="13">
        <v>8</v>
      </c>
      <c r="J361" s="10">
        <v>556.46</v>
      </c>
      <c r="K361" s="10">
        <f t="shared" si="11"/>
        <v>4451.68</v>
      </c>
      <c r="L361" s="2">
        <v>0</v>
      </c>
      <c r="M361" s="2" t="s">
        <v>29</v>
      </c>
      <c r="N361" s="2" t="s">
        <v>25</v>
      </c>
    </row>
    <row r="362" spans="1:14" x14ac:dyDescent="0.2">
      <c r="A362" s="13">
        <v>100654</v>
      </c>
      <c r="B362" s="5">
        <v>45354</v>
      </c>
      <c r="C362" s="5" t="str">
        <f t="shared" si="10"/>
        <v>Mar</v>
      </c>
      <c r="D362" s="2" t="s">
        <v>464</v>
      </c>
      <c r="E362" s="2" t="s">
        <v>61</v>
      </c>
      <c r="F362" s="2" t="s">
        <v>119</v>
      </c>
      <c r="G362" s="2" t="s">
        <v>15</v>
      </c>
      <c r="H362" s="2" t="s">
        <v>116</v>
      </c>
      <c r="I362" s="13">
        <v>5</v>
      </c>
      <c r="J362" s="10">
        <v>0</v>
      </c>
      <c r="K362" s="10">
        <f t="shared" si="11"/>
        <v>0</v>
      </c>
      <c r="L362" s="2">
        <v>0.1</v>
      </c>
      <c r="M362" s="2" t="s">
        <v>29</v>
      </c>
      <c r="N362" s="2" t="s">
        <v>121</v>
      </c>
    </row>
    <row r="363" spans="1:14" x14ac:dyDescent="0.2">
      <c r="A363" s="13">
        <v>101524</v>
      </c>
      <c r="B363" s="5">
        <v>45307</v>
      </c>
      <c r="C363" s="5" t="str">
        <f t="shared" si="10"/>
        <v>Jan</v>
      </c>
      <c r="D363" s="2" t="s">
        <v>465</v>
      </c>
      <c r="E363" s="2" t="s">
        <v>140</v>
      </c>
      <c r="F363" s="2" t="s">
        <v>79</v>
      </c>
      <c r="G363" s="2" t="s">
        <v>33</v>
      </c>
      <c r="H363" s="2" t="s">
        <v>34</v>
      </c>
      <c r="I363" s="13">
        <v>4</v>
      </c>
      <c r="J363" s="10">
        <v>176.29</v>
      </c>
      <c r="K363" s="10">
        <f t="shared" si="11"/>
        <v>705.16</v>
      </c>
      <c r="L363" s="2">
        <v>0.1</v>
      </c>
      <c r="M363" s="2" t="s">
        <v>83</v>
      </c>
      <c r="N363" s="2" t="s">
        <v>143</v>
      </c>
    </row>
    <row r="364" spans="1:14" x14ac:dyDescent="0.2">
      <c r="A364" s="13">
        <v>100443</v>
      </c>
      <c r="B364" s="5">
        <v>45644</v>
      </c>
      <c r="C364" s="5" t="str">
        <f t="shared" si="10"/>
        <v>Dec</v>
      </c>
      <c r="D364" s="2" t="s">
        <v>72</v>
      </c>
      <c r="E364" s="2" t="s">
        <v>140</v>
      </c>
      <c r="F364" s="2" t="s">
        <v>79</v>
      </c>
      <c r="G364" s="2" t="s">
        <v>33</v>
      </c>
      <c r="H364" s="2" t="s">
        <v>158</v>
      </c>
      <c r="I364" s="13">
        <v>11</v>
      </c>
      <c r="J364" s="10">
        <v>175.91</v>
      </c>
      <c r="K364" s="10">
        <f t="shared" si="11"/>
        <v>1935.01</v>
      </c>
      <c r="L364" s="2">
        <v>0</v>
      </c>
      <c r="M364" s="2" t="s">
        <v>66</v>
      </c>
      <c r="N364" s="2" t="s">
        <v>42</v>
      </c>
    </row>
    <row r="365" spans="1:14" x14ac:dyDescent="0.2">
      <c r="A365" s="13">
        <v>101784</v>
      </c>
      <c r="B365" s="5">
        <v>45512</v>
      </c>
      <c r="C365" s="5" t="str">
        <f t="shared" si="10"/>
        <v>Aug</v>
      </c>
      <c r="D365" s="2" t="s">
        <v>240</v>
      </c>
      <c r="E365" s="2" t="s">
        <v>140</v>
      </c>
      <c r="F365" s="2" t="s">
        <v>49</v>
      </c>
      <c r="G365" s="2" t="s">
        <v>106</v>
      </c>
      <c r="H365" s="2" t="s">
        <v>137</v>
      </c>
      <c r="I365" s="13">
        <v>4</v>
      </c>
      <c r="J365" s="10">
        <v>3414.79</v>
      </c>
      <c r="K365" s="10">
        <f t="shared" si="11"/>
        <v>13659.16</v>
      </c>
      <c r="L365" s="2">
        <v>0.2</v>
      </c>
      <c r="M365" s="2" t="s">
        <v>66</v>
      </c>
      <c r="N365" s="2" t="s">
        <v>18</v>
      </c>
    </row>
    <row r="366" spans="1:14" x14ac:dyDescent="0.2">
      <c r="A366" s="13">
        <v>100061</v>
      </c>
      <c r="B366" s="5">
        <v>45458</v>
      </c>
      <c r="C366" s="5" t="str">
        <f t="shared" si="10"/>
        <v>Jun</v>
      </c>
      <c r="D366" s="2" t="s">
        <v>468</v>
      </c>
      <c r="E366" s="2" t="s">
        <v>140</v>
      </c>
      <c r="F366" s="2" t="s">
        <v>79</v>
      </c>
      <c r="G366" s="2" t="s">
        <v>64</v>
      </c>
      <c r="H366" s="2" t="s">
        <v>40</v>
      </c>
      <c r="I366" s="13">
        <v>10</v>
      </c>
      <c r="J366" s="10">
        <v>832.99</v>
      </c>
      <c r="K366" s="10">
        <f t="shared" si="11"/>
        <v>8329.9</v>
      </c>
      <c r="L366" s="2">
        <v>0</v>
      </c>
      <c r="M366" s="2" t="s">
        <v>83</v>
      </c>
      <c r="N366" s="2" t="s">
        <v>87</v>
      </c>
    </row>
    <row r="367" spans="1:14" x14ac:dyDescent="0.2">
      <c r="A367" s="13">
        <v>101233</v>
      </c>
      <c r="B367" s="5">
        <v>45316</v>
      </c>
      <c r="C367" s="5" t="str">
        <f t="shared" si="10"/>
        <v>Jan</v>
      </c>
      <c r="D367" s="2" t="s">
        <v>442</v>
      </c>
      <c r="E367" s="2" t="s">
        <v>61</v>
      </c>
      <c r="F367" s="2" t="s">
        <v>119</v>
      </c>
      <c r="G367" s="2" t="s">
        <v>15</v>
      </c>
      <c r="H367" s="2" t="s">
        <v>59</v>
      </c>
      <c r="I367" s="13">
        <v>6</v>
      </c>
      <c r="J367" s="10">
        <v>16672.88</v>
      </c>
      <c r="K367" s="10">
        <f t="shared" si="11"/>
        <v>100037.28</v>
      </c>
      <c r="L367" s="2">
        <v>0.2</v>
      </c>
      <c r="M367" s="2" t="s">
        <v>83</v>
      </c>
      <c r="N367" s="2" t="s">
        <v>25</v>
      </c>
    </row>
    <row r="368" spans="1:14" x14ac:dyDescent="0.2">
      <c r="A368" s="13">
        <v>101434</v>
      </c>
      <c r="B368" s="5">
        <v>45293</v>
      </c>
      <c r="C368" s="5" t="str">
        <f t="shared" si="10"/>
        <v>Jan</v>
      </c>
      <c r="D368" s="2" t="s">
        <v>180</v>
      </c>
      <c r="E368" s="2" t="s">
        <v>37</v>
      </c>
      <c r="F368" s="2" t="s">
        <v>69</v>
      </c>
      <c r="G368" s="2" t="s">
        <v>15</v>
      </c>
      <c r="H368" s="2" t="s">
        <v>59</v>
      </c>
      <c r="I368" s="13">
        <v>10</v>
      </c>
      <c r="J368" s="10">
        <v>0</v>
      </c>
      <c r="K368" s="10">
        <f t="shared" si="11"/>
        <v>0</v>
      </c>
      <c r="L368" s="2">
        <v>0.1</v>
      </c>
      <c r="M368" s="2" t="s">
        <v>29</v>
      </c>
      <c r="N368" s="2" t="s">
        <v>25</v>
      </c>
    </row>
    <row r="369" spans="1:14" x14ac:dyDescent="0.2">
      <c r="A369" s="13">
        <v>100528</v>
      </c>
      <c r="B369" s="5">
        <v>45633</v>
      </c>
      <c r="C369" s="5" t="str">
        <f t="shared" si="10"/>
        <v>Dec</v>
      </c>
      <c r="D369" s="2" t="s">
        <v>336</v>
      </c>
      <c r="E369" s="2" t="s">
        <v>140</v>
      </c>
      <c r="F369" s="2" t="s">
        <v>49</v>
      </c>
      <c r="G369" s="2" t="s">
        <v>15</v>
      </c>
      <c r="H369" s="2" t="s">
        <v>59</v>
      </c>
      <c r="I369" s="13">
        <v>5</v>
      </c>
      <c r="J369" s="10">
        <v>8298.52</v>
      </c>
      <c r="K369" s="10">
        <f t="shared" si="11"/>
        <v>41492.600000000006</v>
      </c>
      <c r="L369" s="2">
        <v>0</v>
      </c>
      <c r="M369" s="2" t="s">
        <v>17</v>
      </c>
      <c r="N369" s="2" t="s">
        <v>143</v>
      </c>
    </row>
    <row r="370" spans="1:14" x14ac:dyDescent="0.2">
      <c r="A370" s="13">
        <v>100364</v>
      </c>
      <c r="B370" s="5">
        <v>45322</v>
      </c>
      <c r="C370" s="5" t="str">
        <f t="shared" si="10"/>
        <v>Jan</v>
      </c>
      <c r="D370" s="2" t="s">
        <v>352</v>
      </c>
      <c r="E370" s="2" t="s">
        <v>27</v>
      </c>
      <c r="F370" s="2" t="s">
        <v>21</v>
      </c>
      <c r="G370" s="2" t="s">
        <v>50</v>
      </c>
      <c r="H370" s="2" t="s">
        <v>51</v>
      </c>
      <c r="I370" s="13">
        <v>-2</v>
      </c>
      <c r="J370" s="10">
        <v>11474</v>
      </c>
      <c r="K370" s="10">
        <f t="shared" si="11"/>
        <v>-22948</v>
      </c>
      <c r="L370" s="2">
        <v>0.1</v>
      </c>
      <c r="M370" s="2" t="s">
        <v>83</v>
      </c>
      <c r="N370" s="2" t="s">
        <v>42</v>
      </c>
    </row>
    <row r="371" spans="1:14" x14ac:dyDescent="0.2">
      <c r="A371" s="13">
        <v>101700</v>
      </c>
      <c r="B371" s="5">
        <v>45458</v>
      </c>
      <c r="C371" s="5" t="str">
        <f t="shared" si="10"/>
        <v>Jun</v>
      </c>
      <c r="D371" s="2" t="s">
        <v>1069</v>
      </c>
      <c r="E371" s="2" t="s">
        <v>37</v>
      </c>
      <c r="F371" s="2" t="s">
        <v>38</v>
      </c>
      <c r="G371" s="2" t="s">
        <v>22</v>
      </c>
      <c r="H371" s="2" t="s">
        <v>23</v>
      </c>
      <c r="I371" s="13">
        <v>3</v>
      </c>
      <c r="J371" s="10">
        <v>2848.29</v>
      </c>
      <c r="K371" s="10">
        <f t="shared" si="11"/>
        <v>8544.869999999999</v>
      </c>
      <c r="L371" s="2">
        <v>0.2</v>
      </c>
      <c r="M371" s="2" t="s">
        <v>83</v>
      </c>
      <c r="N371" s="2" t="s">
        <v>42</v>
      </c>
    </row>
    <row r="372" spans="1:14" x14ac:dyDescent="0.2">
      <c r="A372" s="13">
        <v>100211</v>
      </c>
      <c r="B372" s="5">
        <v>45346</v>
      </c>
      <c r="C372" s="5" t="str">
        <f t="shared" si="10"/>
        <v>Feb</v>
      </c>
      <c r="D372" s="2" t="s">
        <v>132</v>
      </c>
      <c r="E372" s="2" t="s">
        <v>61</v>
      </c>
      <c r="F372" s="2" t="s">
        <v>119</v>
      </c>
      <c r="G372" s="2" t="s">
        <v>33</v>
      </c>
      <c r="H372" s="2" t="s">
        <v>93</v>
      </c>
      <c r="I372" s="13">
        <v>5</v>
      </c>
      <c r="J372" s="10">
        <v>450.15</v>
      </c>
      <c r="K372" s="10">
        <f t="shared" si="11"/>
        <v>2250.75</v>
      </c>
      <c r="L372" s="2">
        <v>0.05</v>
      </c>
      <c r="M372" s="2" t="s">
        <v>66</v>
      </c>
      <c r="N372" s="2" t="s">
        <v>143</v>
      </c>
    </row>
    <row r="373" spans="1:14" x14ac:dyDescent="0.2">
      <c r="A373" s="13">
        <v>100282</v>
      </c>
      <c r="B373" s="5">
        <v>45624</v>
      </c>
      <c r="C373" s="5" t="str">
        <f t="shared" si="10"/>
        <v>Nov</v>
      </c>
      <c r="D373" s="2" t="s">
        <v>376</v>
      </c>
      <c r="E373" s="2" t="s">
        <v>140</v>
      </c>
      <c r="F373" s="2" t="s">
        <v>49</v>
      </c>
      <c r="G373" s="2" t="s">
        <v>33</v>
      </c>
      <c r="H373" s="2" t="s">
        <v>158</v>
      </c>
      <c r="I373" s="13"/>
      <c r="J373" s="10">
        <v>557.15</v>
      </c>
      <c r="K373" s="10">
        <f t="shared" si="11"/>
        <v>0</v>
      </c>
      <c r="L373" s="2">
        <v>0</v>
      </c>
      <c r="M373" s="2" t="s">
        <v>41</v>
      </c>
      <c r="N373" s="2" t="s">
        <v>35</v>
      </c>
    </row>
    <row r="374" spans="1:14" x14ac:dyDescent="0.2">
      <c r="A374" s="13">
        <v>101439</v>
      </c>
      <c r="B374" s="5">
        <v>45643</v>
      </c>
      <c r="C374" s="5" t="str">
        <f t="shared" si="10"/>
        <v>Dec</v>
      </c>
      <c r="D374" s="2" t="s">
        <v>471</v>
      </c>
      <c r="E374" s="2" t="s">
        <v>37</v>
      </c>
      <c r="F374" s="2" t="s">
        <v>69</v>
      </c>
      <c r="G374" s="2" t="s">
        <v>45</v>
      </c>
      <c r="H374" s="2" t="s">
        <v>46</v>
      </c>
      <c r="I374" s="13">
        <v>4</v>
      </c>
      <c r="J374" s="10">
        <v>21448.49</v>
      </c>
      <c r="K374" s="10">
        <f t="shared" si="11"/>
        <v>85793.96</v>
      </c>
      <c r="L374" s="2">
        <v>0.2</v>
      </c>
      <c r="M374" s="2" t="s">
        <v>24</v>
      </c>
      <c r="N374" s="2" t="s">
        <v>143</v>
      </c>
    </row>
    <row r="375" spans="1:14" x14ac:dyDescent="0.2">
      <c r="A375" s="13">
        <v>101241</v>
      </c>
      <c r="B375" s="5">
        <v>45398</v>
      </c>
      <c r="C375" s="5" t="str">
        <f t="shared" si="10"/>
        <v>Apr</v>
      </c>
      <c r="D375" s="2" t="s">
        <v>1069</v>
      </c>
      <c r="E375" s="2" t="s">
        <v>140</v>
      </c>
      <c r="F375" s="2" t="s">
        <v>49</v>
      </c>
      <c r="G375" s="2" t="s">
        <v>50</v>
      </c>
      <c r="H375" s="2" t="s">
        <v>99</v>
      </c>
      <c r="I375" s="13">
        <v>5</v>
      </c>
      <c r="J375" s="10">
        <v>2832.69</v>
      </c>
      <c r="K375" s="10">
        <f t="shared" si="11"/>
        <v>14163.45</v>
      </c>
      <c r="L375" s="2">
        <v>0.2</v>
      </c>
      <c r="M375" s="2" t="s">
        <v>83</v>
      </c>
      <c r="N375" s="2" t="s">
        <v>25</v>
      </c>
    </row>
    <row r="376" spans="1:14" x14ac:dyDescent="0.2">
      <c r="A376" s="13">
        <v>101079</v>
      </c>
      <c r="B376" s="5">
        <v>45326</v>
      </c>
      <c r="C376" s="5" t="str">
        <f t="shared" si="10"/>
        <v>Feb</v>
      </c>
      <c r="D376" s="2" t="s">
        <v>210</v>
      </c>
      <c r="E376" s="2" t="s">
        <v>140</v>
      </c>
      <c r="F376" s="2" t="s">
        <v>49</v>
      </c>
      <c r="G376" s="2" t="s">
        <v>33</v>
      </c>
      <c r="H376" s="2" t="s">
        <v>81</v>
      </c>
      <c r="I376" s="13">
        <v>8</v>
      </c>
      <c r="J376" s="10">
        <v>445.64</v>
      </c>
      <c r="K376" s="10">
        <f t="shared" si="11"/>
        <v>3565.12</v>
      </c>
      <c r="L376" s="2">
        <v>0</v>
      </c>
      <c r="M376" s="2" t="s">
        <v>17</v>
      </c>
      <c r="N376" s="2" t="s">
        <v>143</v>
      </c>
    </row>
    <row r="377" spans="1:14" x14ac:dyDescent="0.2">
      <c r="A377" s="13">
        <v>101990</v>
      </c>
      <c r="B377" s="5">
        <v>45376</v>
      </c>
      <c r="C377" s="5" t="str">
        <f t="shared" si="10"/>
        <v>Mar</v>
      </c>
      <c r="D377" s="2" t="s">
        <v>473</v>
      </c>
      <c r="E377" s="2" t="s">
        <v>140</v>
      </c>
      <c r="F377" s="2" t="s">
        <v>49</v>
      </c>
      <c r="G377" s="2" t="s">
        <v>64</v>
      </c>
      <c r="H377" s="2" t="s">
        <v>165</v>
      </c>
      <c r="I377" s="13">
        <v>1</v>
      </c>
      <c r="J377" s="10">
        <v>459.87</v>
      </c>
      <c r="K377" s="10">
        <f t="shared" si="11"/>
        <v>459.87</v>
      </c>
      <c r="L377" s="2">
        <v>0.1</v>
      </c>
      <c r="M377" s="2" t="s">
        <v>17</v>
      </c>
      <c r="N377" s="2" t="s">
        <v>121</v>
      </c>
    </row>
    <row r="378" spans="1:14" x14ac:dyDescent="0.2">
      <c r="A378" s="13">
        <v>101250</v>
      </c>
      <c r="B378" s="5">
        <v>45569</v>
      </c>
      <c r="C378" s="5" t="str">
        <f t="shared" si="10"/>
        <v>Oct</v>
      </c>
      <c r="D378" s="2" t="s">
        <v>474</v>
      </c>
      <c r="E378" s="2" t="s">
        <v>37</v>
      </c>
      <c r="F378" s="2" t="s">
        <v>69</v>
      </c>
      <c r="G378" s="2" t="s">
        <v>50</v>
      </c>
      <c r="H378" s="2" t="s">
        <v>62</v>
      </c>
      <c r="I378" s="13">
        <v>12</v>
      </c>
      <c r="J378" s="10">
        <v>10868.14</v>
      </c>
      <c r="K378" s="10">
        <f t="shared" si="11"/>
        <v>130417.68</v>
      </c>
      <c r="L378" s="2">
        <v>0.2</v>
      </c>
      <c r="M378" s="2" t="s">
        <v>41</v>
      </c>
      <c r="N378" s="2" t="s">
        <v>42</v>
      </c>
    </row>
    <row r="379" spans="1:14" x14ac:dyDescent="0.2">
      <c r="A379" s="13">
        <v>101003</v>
      </c>
      <c r="B379" s="5">
        <v>45408</v>
      </c>
      <c r="C379" s="5" t="str">
        <f t="shared" si="10"/>
        <v>Apr</v>
      </c>
      <c r="D379" s="2" t="s">
        <v>499</v>
      </c>
      <c r="E379" s="2" t="s">
        <v>37</v>
      </c>
      <c r="F379" s="2" t="s">
        <v>38</v>
      </c>
      <c r="G379" s="2" t="s">
        <v>45</v>
      </c>
      <c r="H379" s="2" t="s">
        <v>46</v>
      </c>
      <c r="I379" s="13">
        <v>9</v>
      </c>
      <c r="J379" s="10">
        <v>25777.86</v>
      </c>
      <c r="K379" s="10">
        <f t="shared" si="11"/>
        <v>232000.74</v>
      </c>
      <c r="L379" s="2">
        <v>0</v>
      </c>
      <c r="M379" s="2" t="s">
        <v>29</v>
      </c>
      <c r="N379" s="2" t="s">
        <v>87</v>
      </c>
    </row>
    <row r="380" spans="1:14" x14ac:dyDescent="0.2">
      <c r="A380" s="13">
        <v>100701</v>
      </c>
      <c r="B380" s="5">
        <v>45591</v>
      </c>
      <c r="C380" s="5" t="str">
        <f t="shared" si="10"/>
        <v>Oct</v>
      </c>
      <c r="D380" s="2" t="s">
        <v>475</v>
      </c>
      <c r="E380" s="2" t="s">
        <v>140</v>
      </c>
      <c r="F380" s="2" t="s">
        <v>79</v>
      </c>
      <c r="G380" s="2" t="s">
        <v>33</v>
      </c>
      <c r="H380" s="2" t="s">
        <v>34</v>
      </c>
      <c r="I380" s="13">
        <v>6</v>
      </c>
      <c r="J380" s="10">
        <v>285.56</v>
      </c>
      <c r="K380" s="10">
        <f t="shared" si="11"/>
        <v>1713.3600000000001</v>
      </c>
      <c r="L380" s="2">
        <v>0</v>
      </c>
      <c r="M380" s="2" t="s">
        <v>66</v>
      </c>
      <c r="N380" s="2" t="s">
        <v>143</v>
      </c>
    </row>
    <row r="381" spans="1:14" x14ac:dyDescent="0.2">
      <c r="A381" s="13">
        <v>100718</v>
      </c>
      <c r="B381" s="5">
        <v>45371</v>
      </c>
      <c r="C381" s="5" t="str">
        <f t="shared" si="10"/>
        <v>Mar</v>
      </c>
      <c r="D381" s="2" t="s">
        <v>313</v>
      </c>
      <c r="E381" s="2" t="s">
        <v>27</v>
      </c>
      <c r="F381" s="2" t="s">
        <v>133</v>
      </c>
      <c r="G381" s="2" t="s">
        <v>64</v>
      </c>
      <c r="H381" s="2" t="s">
        <v>40</v>
      </c>
      <c r="I381" s="13">
        <v>5</v>
      </c>
      <c r="J381" s="10">
        <v>223.48</v>
      </c>
      <c r="K381" s="10">
        <f t="shared" si="11"/>
        <v>1117.3999999999999</v>
      </c>
      <c r="L381" s="2">
        <v>0</v>
      </c>
      <c r="M381" s="2" t="s">
        <v>83</v>
      </c>
      <c r="N381" s="2" t="s">
        <v>121</v>
      </c>
    </row>
    <row r="382" spans="1:14" x14ac:dyDescent="0.2">
      <c r="A382" s="13">
        <v>100325</v>
      </c>
      <c r="B382" s="5">
        <v>45602</v>
      </c>
      <c r="C382" s="5" t="str">
        <f t="shared" si="10"/>
        <v>Nov</v>
      </c>
      <c r="D382" s="2" t="s">
        <v>476</v>
      </c>
      <c r="E382" s="2" t="s">
        <v>140</v>
      </c>
      <c r="F382" s="2" t="s">
        <v>49</v>
      </c>
      <c r="G382" s="2" t="s">
        <v>64</v>
      </c>
      <c r="H382" s="2" t="s">
        <v>242</v>
      </c>
      <c r="I382" s="13">
        <v>6</v>
      </c>
      <c r="J382" s="10">
        <v>868.82</v>
      </c>
      <c r="K382" s="10">
        <f t="shared" si="11"/>
        <v>5212.92</v>
      </c>
      <c r="L382" s="2">
        <v>0.1</v>
      </c>
      <c r="M382" s="2" t="s">
        <v>17</v>
      </c>
      <c r="N382" s="2" t="s">
        <v>52</v>
      </c>
    </row>
    <row r="383" spans="1:14" x14ac:dyDescent="0.2">
      <c r="A383" s="13">
        <v>100529</v>
      </c>
      <c r="B383" s="5">
        <v>45653</v>
      </c>
      <c r="C383" s="5" t="str">
        <f t="shared" si="10"/>
        <v>Dec</v>
      </c>
      <c r="D383" s="2" t="s">
        <v>293</v>
      </c>
      <c r="E383" s="2" t="s">
        <v>61</v>
      </c>
      <c r="F383" s="2" t="s">
        <v>119</v>
      </c>
      <c r="G383" s="2" t="s">
        <v>45</v>
      </c>
      <c r="H383" s="2" t="s">
        <v>149</v>
      </c>
      <c r="I383" s="13">
        <v>7</v>
      </c>
      <c r="J383" s="10">
        <v>17575.009999999998</v>
      </c>
      <c r="K383" s="10">
        <f t="shared" si="11"/>
        <v>123025.06999999999</v>
      </c>
      <c r="L383" s="2">
        <v>0.25</v>
      </c>
      <c r="M383" s="2" t="s">
        <v>17</v>
      </c>
      <c r="N383" s="2" t="s">
        <v>52</v>
      </c>
    </row>
    <row r="384" spans="1:14" x14ac:dyDescent="0.2">
      <c r="A384" s="13">
        <v>101718</v>
      </c>
      <c r="B384" s="5">
        <v>45564</v>
      </c>
      <c r="C384" s="5" t="str">
        <f t="shared" si="10"/>
        <v>Sep</v>
      </c>
      <c r="D384" s="2" t="s">
        <v>100</v>
      </c>
      <c r="E384" s="2" t="s">
        <v>140</v>
      </c>
      <c r="F384" s="2" t="s">
        <v>79</v>
      </c>
      <c r="G384" s="2" t="s">
        <v>22</v>
      </c>
      <c r="H384" s="2" t="s">
        <v>75</v>
      </c>
      <c r="I384" s="13">
        <v>11</v>
      </c>
      <c r="J384" s="10">
        <v>1343.78</v>
      </c>
      <c r="K384" s="10">
        <f t="shared" si="11"/>
        <v>14781.58</v>
      </c>
      <c r="L384" s="2">
        <v>0.25</v>
      </c>
      <c r="M384" s="2" t="s">
        <v>66</v>
      </c>
      <c r="N384" s="2" t="s">
        <v>42</v>
      </c>
    </row>
    <row r="385" spans="1:14" x14ac:dyDescent="0.2">
      <c r="A385" s="13">
        <v>100029</v>
      </c>
      <c r="B385" s="5">
        <v>45581</v>
      </c>
      <c r="C385" s="5" t="str">
        <f t="shared" si="10"/>
        <v>Oct</v>
      </c>
      <c r="D385" s="2" t="s">
        <v>478</v>
      </c>
      <c r="E385" s="2" t="s">
        <v>61</v>
      </c>
      <c r="F385" s="2" t="s">
        <v>14</v>
      </c>
      <c r="G385" s="2" t="s">
        <v>33</v>
      </c>
      <c r="H385" s="2" t="s">
        <v>34</v>
      </c>
      <c r="I385" s="13">
        <v>12</v>
      </c>
      <c r="J385" s="10">
        <v>367.5</v>
      </c>
      <c r="K385" s="10">
        <f t="shared" si="11"/>
        <v>4410</v>
      </c>
      <c r="L385" s="2">
        <v>0</v>
      </c>
      <c r="M385" s="2" t="s">
        <v>66</v>
      </c>
      <c r="N385" s="2" t="s">
        <v>18</v>
      </c>
    </row>
    <row r="386" spans="1:14" x14ac:dyDescent="0.2">
      <c r="A386" s="13">
        <v>100849</v>
      </c>
      <c r="B386" s="5">
        <v>45296</v>
      </c>
      <c r="C386" s="5" t="str">
        <f t="shared" ref="C386:C449" si="12">TEXT(B386,"mmm")</f>
        <v>Jan</v>
      </c>
      <c r="D386" s="2" t="s">
        <v>299</v>
      </c>
      <c r="E386" s="2" t="s">
        <v>31</v>
      </c>
      <c r="F386" s="2" t="s">
        <v>32</v>
      </c>
      <c r="G386" s="2" t="s">
        <v>22</v>
      </c>
      <c r="H386" s="2" t="s">
        <v>141</v>
      </c>
      <c r="I386" s="13">
        <v>2</v>
      </c>
      <c r="J386" s="10">
        <v>2888.84</v>
      </c>
      <c r="K386" s="10">
        <f t="shared" ref="K386:K449" si="13">I386*J386</f>
        <v>5777.68</v>
      </c>
      <c r="L386" s="2">
        <v>0</v>
      </c>
      <c r="M386" s="2" t="s">
        <v>83</v>
      </c>
      <c r="N386" s="2" t="s">
        <v>35</v>
      </c>
    </row>
    <row r="387" spans="1:14" x14ac:dyDescent="0.2">
      <c r="A387" s="13">
        <v>101599</v>
      </c>
      <c r="B387" s="5">
        <v>45650</v>
      </c>
      <c r="C387" s="5" t="str">
        <f t="shared" si="12"/>
        <v>Dec</v>
      </c>
      <c r="D387" s="2" t="s">
        <v>479</v>
      </c>
      <c r="E387" s="2" t="s">
        <v>37</v>
      </c>
      <c r="F387" s="2" t="s">
        <v>69</v>
      </c>
      <c r="G387" s="2" t="s">
        <v>64</v>
      </c>
      <c r="H387" s="2" t="s">
        <v>242</v>
      </c>
      <c r="I387" s="13">
        <v>12</v>
      </c>
      <c r="J387" s="10">
        <v>131.51</v>
      </c>
      <c r="K387" s="10">
        <f t="shared" si="13"/>
        <v>1578.12</v>
      </c>
      <c r="L387" s="2">
        <v>0</v>
      </c>
      <c r="M387" s="2" t="s">
        <v>17</v>
      </c>
      <c r="N387" s="2" t="s">
        <v>42</v>
      </c>
    </row>
    <row r="388" spans="1:14" x14ac:dyDescent="0.2">
      <c r="A388" s="13">
        <v>100360</v>
      </c>
      <c r="B388" s="5">
        <v>45564</v>
      </c>
      <c r="C388" s="5" t="str">
        <f t="shared" si="12"/>
        <v>Sep</v>
      </c>
      <c r="D388" s="2" t="s">
        <v>480</v>
      </c>
      <c r="E388" s="2" t="s">
        <v>61</v>
      </c>
      <c r="F388" s="2" t="s">
        <v>119</v>
      </c>
      <c r="G388" s="2" t="s">
        <v>33</v>
      </c>
      <c r="H388" s="2" t="s">
        <v>158</v>
      </c>
      <c r="I388" s="13">
        <v>10</v>
      </c>
      <c r="J388" s="10">
        <v>574.45000000000005</v>
      </c>
      <c r="K388" s="10">
        <f t="shared" si="13"/>
        <v>5744.5</v>
      </c>
      <c r="L388" s="2">
        <v>0</v>
      </c>
      <c r="M388" s="2" t="s">
        <v>29</v>
      </c>
      <c r="N388" s="2" t="s">
        <v>35</v>
      </c>
    </row>
    <row r="389" spans="1:14" x14ac:dyDescent="0.2">
      <c r="A389" s="13">
        <v>101034</v>
      </c>
      <c r="B389" s="5">
        <v>45385</v>
      </c>
      <c r="C389" s="5" t="str">
        <f t="shared" si="12"/>
        <v>Apr</v>
      </c>
      <c r="D389" s="2" t="s">
        <v>221</v>
      </c>
      <c r="E389" s="2" t="s">
        <v>31</v>
      </c>
      <c r="F389" s="2" t="s">
        <v>32</v>
      </c>
      <c r="G389" s="2" t="s">
        <v>33</v>
      </c>
      <c r="H389" s="2" t="s">
        <v>81</v>
      </c>
      <c r="I389" s="13">
        <v>6</v>
      </c>
      <c r="J389" s="10">
        <v>203.93</v>
      </c>
      <c r="K389" s="10">
        <f t="shared" si="13"/>
        <v>1223.58</v>
      </c>
      <c r="L389" s="2">
        <v>0.2</v>
      </c>
      <c r="M389" s="2" t="s">
        <v>29</v>
      </c>
      <c r="N389" s="2" t="s">
        <v>25</v>
      </c>
    </row>
    <row r="390" spans="1:14" x14ac:dyDescent="0.2">
      <c r="A390" s="13">
        <v>101809</v>
      </c>
      <c r="B390" s="5">
        <v>45346</v>
      </c>
      <c r="C390" s="5" t="str">
        <f t="shared" si="12"/>
        <v>Feb</v>
      </c>
      <c r="D390" s="2" t="s">
        <v>341</v>
      </c>
      <c r="E390" s="2" t="s">
        <v>37</v>
      </c>
      <c r="F390" s="2" t="s">
        <v>69</v>
      </c>
      <c r="G390" s="2" t="s">
        <v>45</v>
      </c>
      <c r="H390" s="2" t="s">
        <v>46</v>
      </c>
      <c r="I390" s="13">
        <v>1</v>
      </c>
      <c r="J390" s="10">
        <v>21798.16</v>
      </c>
      <c r="K390" s="10">
        <f t="shared" si="13"/>
        <v>21798.16</v>
      </c>
      <c r="L390" s="2">
        <v>0.25</v>
      </c>
      <c r="M390" s="2" t="s">
        <v>29</v>
      </c>
      <c r="N390" s="2" t="s">
        <v>143</v>
      </c>
    </row>
    <row r="391" spans="1:14" x14ac:dyDescent="0.2">
      <c r="A391" s="13">
        <v>100225</v>
      </c>
      <c r="B391" s="5">
        <v>45313</v>
      </c>
      <c r="C391" s="5" t="str">
        <f t="shared" si="12"/>
        <v>Jan</v>
      </c>
      <c r="D391" s="2" t="s">
        <v>481</v>
      </c>
      <c r="E391" s="2" t="s">
        <v>31</v>
      </c>
      <c r="F391" s="2" t="s">
        <v>32</v>
      </c>
      <c r="G391" s="2" t="s">
        <v>15</v>
      </c>
      <c r="H391" s="2" t="s">
        <v>152</v>
      </c>
      <c r="I391" s="13">
        <v>11</v>
      </c>
      <c r="J391" s="10">
        <v>13986.2</v>
      </c>
      <c r="K391" s="10">
        <f t="shared" si="13"/>
        <v>153848.20000000001</v>
      </c>
      <c r="L391" s="2">
        <v>0</v>
      </c>
      <c r="M391" s="2" t="s">
        <v>17</v>
      </c>
      <c r="N391" s="2" t="s">
        <v>18</v>
      </c>
    </row>
    <row r="392" spans="1:14" x14ac:dyDescent="0.2">
      <c r="A392" s="13">
        <v>101243</v>
      </c>
      <c r="B392" s="5">
        <v>45333</v>
      </c>
      <c r="C392" s="5" t="str">
        <f t="shared" si="12"/>
        <v>Feb</v>
      </c>
      <c r="D392" s="2" t="s">
        <v>482</v>
      </c>
      <c r="E392" s="2" t="s">
        <v>27</v>
      </c>
      <c r="F392" s="2" t="s">
        <v>21</v>
      </c>
      <c r="G392" s="2" t="s">
        <v>64</v>
      </c>
      <c r="H392" s="2" t="s">
        <v>292</v>
      </c>
      <c r="I392" s="13">
        <v>5</v>
      </c>
      <c r="J392" s="10">
        <v>239.6</v>
      </c>
      <c r="K392" s="10">
        <f t="shared" si="13"/>
        <v>1198</v>
      </c>
      <c r="L392" s="2">
        <v>0</v>
      </c>
      <c r="M392" s="2" t="s">
        <v>24</v>
      </c>
      <c r="N392" s="2" t="s">
        <v>87</v>
      </c>
    </row>
    <row r="393" spans="1:14" x14ac:dyDescent="0.2">
      <c r="A393" s="13">
        <v>100431</v>
      </c>
      <c r="B393" s="5">
        <v>45370</v>
      </c>
      <c r="C393" s="5" t="str">
        <f t="shared" si="12"/>
        <v>Mar</v>
      </c>
      <c r="D393" s="2" t="s">
        <v>1069</v>
      </c>
      <c r="E393" s="2" t="s">
        <v>140</v>
      </c>
      <c r="F393" s="2" t="s">
        <v>49</v>
      </c>
      <c r="G393" s="2" t="s">
        <v>22</v>
      </c>
      <c r="H393" s="2" t="s">
        <v>141</v>
      </c>
      <c r="I393" s="13">
        <v>7</v>
      </c>
      <c r="J393" s="10">
        <v>732.21</v>
      </c>
      <c r="K393" s="10">
        <f t="shared" si="13"/>
        <v>5125.47</v>
      </c>
      <c r="L393" s="2">
        <v>0.25</v>
      </c>
      <c r="M393" s="2" t="s">
        <v>83</v>
      </c>
      <c r="N393" s="2" t="s">
        <v>42</v>
      </c>
    </row>
    <row r="394" spans="1:14" x14ac:dyDescent="0.2">
      <c r="A394" s="13">
        <v>101196</v>
      </c>
      <c r="B394" s="5">
        <v>45628</v>
      </c>
      <c r="C394" s="5" t="str">
        <f t="shared" si="12"/>
        <v>Dec</v>
      </c>
      <c r="D394" s="2" t="s">
        <v>443</v>
      </c>
      <c r="E394" s="2" t="s">
        <v>140</v>
      </c>
      <c r="F394" s="2" t="s">
        <v>49</v>
      </c>
      <c r="G394" s="2" t="s">
        <v>15</v>
      </c>
      <c r="H394" s="2" t="s">
        <v>205</v>
      </c>
      <c r="I394" s="13">
        <v>7</v>
      </c>
      <c r="J394" s="10">
        <v>17945.759999999998</v>
      </c>
      <c r="K394" s="10">
        <f t="shared" si="13"/>
        <v>125620.31999999999</v>
      </c>
      <c r="L394" s="2">
        <v>0</v>
      </c>
      <c r="M394" s="2" t="s">
        <v>83</v>
      </c>
      <c r="N394" s="2" t="s">
        <v>121</v>
      </c>
    </row>
    <row r="395" spans="1:14" x14ac:dyDescent="0.2">
      <c r="A395" s="13">
        <v>101525</v>
      </c>
      <c r="B395" s="5">
        <v>45364</v>
      </c>
      <c r="C395" s="5" t="str">
        <f t="shared" si="12"/>
        <v>Mar</v>
      </c>
      <c r="D395" s="2" t="s">
        <v>484</v>
      </c>
      <c r="E395" s="2" t="s">
        <v>31</v>
      </c>
      <c r="F395" s="2" t="s">
        <v>54</v>
      </c>
      <c r="G395" s="2" t="s">
        <v>22</v>
      </c>
      <c r="H395" s="2" t="s">
        <v>75</v>
      </c>
      <c r="I395" s="13">
        <v>11</v>
      </c>
      <c r="J395" s="10">
        <v>1739.82</v>
      </c>
      <c r="K395" s="10">
        <f t="shared" si="13"/>
        <v>19138.02</v>
      </c>
      <c r="L395" s="2">
        <v>0</v>
      </c>
      <c r="M395" s="2" t="s">
        <v>29</v>
      </c>
      <c r="N395" s="2" t="s">
        <v>143</v>
      </c>
    </row>
    <row r="396" spans="1:14" x14ac:dyDescent="0.2">
      <c r="A396" s="13">
        <v>101424</v>
      </c>
      <c r="B396" s="5">
        <v>45501</v>
      </c>
      <c r="C396" s="5" t="str">
        <f t="shared" si="12"/>
        <v>Jul</v>
      </c>
      <c r="D396" s="2" t="s">
        <v>159</v>
      </c>
      <c r="E396" s="2" t="s">
        <v>27</v>
      </c>
      <c r="F396" s="2" t="s">
        <v>21</v>
      </c>
      <c r="G396" s="2" t="s">
        <v>33</v>
      </c>
      <c r="H396" s="2" t="s">
        <v>93</v>
      </c>
      <c r="I396" s="13">
        <v>10</v>
      </c>
      <c r="J396" s="10">
        <v>33.770000000000003</v>
      </c>
      <c r="K396" s="10">
        <f t="shared" si="13"/>
        <v>337.70000000000005</v>
      </c>
      <c r="L396" s="2">
        <v>0.05</v>
      </c>
      <c r="M396" s="2" t="s">
        <v>24</v>
      </c>
      <c r="N396" s="2" t="s">
        <v>143</v>
      </c>
    </row>
    <row r="397" spans="1:14" x14ac:dyDescent="0.2">
      <c r="A397" s="13">
        <v>100859</v>
      </c>
      <c r="B397" s="5">
        <v>45549</v>
      </c>
      <c r="C397" s="5" t="str">
        <f t="shared" si="12"/>
        <v>Sep</v>
      </c>
      <c r="D397" s="2" t="s">
        <v>487</v>
      </c>
      <c r="E397" s="2" t="s">
        <v>31</v>
      </c>
      <c r="F397" s="2" t="s">
        <v>54</v>
      </c>
      <c r="G397" s="2" t="s">
        <v>50</v>
      </c>
      <c r="H397" s="2" t="s">
        <v>51</v>
      </c>
      <c r="I397" s="13">
        <v>10</v>
      </c>
      <c r="J397" s="10">
        <v>5733.18</v>
      </c>
      <c r="K397" s="10">
        <f t="shared" si="13"/>
        <v>57331.8</v>
      </c>
      <c r="L397" s="2">
        <v>0.1</v>
      </c>
      <c r="M397" s="2" t="s">
        <v>17</v>
      </c>
      <c r="N397" s="2" t="s">
        <v>25</v>
      </c>
    </row>
    <row r="398" spans="1:14" x14ac:dyDescent="0.2">
      <c r="A398" s="13">
        <v>100929</v>
      </c>
      <c r="B398" s="5">
        <v>45620</v>
      </c>
      <c r="C398" s="5" t="str">
        <f t="shared" si="12"/>
        <v>Nov</v>
      </c>
      <c r="D398" s="2" t="s">
        <v>488</v>
      </c>
      <c r="E398" s="2" t="s">
        <v>140</v>
      </c>
      <c r="F398" s="2" t="s">
        <v>79</v>
      </c>
      <c r="G398" s="2" t="s">
        <v>33</v>
      </c>
      <c r="H398" s="2" t="s">
        <v>158</v>
      </c>
      <c r="I398" s="13">
        <v>5</v>
      </c>
      <c r="J398" s="10">
        <v>0</v>
      </c>
      <c r="K398" s="10">
        <f t="shared" si="13"/>
        <v>0</v>
      </c>
      <c r="L398" s="2">
        <v>0.05</v>
      </c>
      <c r="M398" s="2" t="s">
        <v>41</v>
      </c>
      <c r="N398" s="2" t="s">
        <v>18</v>
      </c>
    </row>
    <row r="399" spans="1:14" x14ac:dyDescent="0.2">
      <c r="A399" s="13">
        <v>101496</v>
      </c>
      <c r="B399" s="5">
        <v>45468</v>
      </c>
      <c r="C399" s="5" t="str">
        <f t="shared" si="12"/>
        <v>Jun</v>
      </c>
      <c r="D399" s="2" t="s">
        <v>490</v>
      </c>
      <c r="E399" s="2" t="s">
        <v>37</v>
      </c>
      <c r="F399" s="2" t="s">
        <v>38</v>
      </c>
      <c r="G399" s="2" t="s">
        <v>45</v>
      </c>
      <c r="H399" s="2" t="s">
        <v>71</v>
      </c>
      <c r="I399" s="13">
        <v>4</v>
      </c>
      <c r="J399" s="10">
        <v>43911.13</v>
      </c>
      <c r="K399" s="10">
        <f t="shared" si="13"/>
        <v>175644.52</v>
      </c>
      <c r="L399" s="2">
        <v>0.2</v>
      </c>
      <c r="M399" s="2" t="s">
        <v>41</v>
      </c>
      <c r="N399" s="2" t="s">
        <v>143</v>
      </c>
    </row>
    <row r="400" spans="1:14" x14ac:dyDescent="0.2">
      <c r="A400" s="13">
        <v>100480</v>
      </c>
      <c r="B400" s="5">
        <v>45437</v>
      </c>
      <c r="C400" s="5" t="str">
        <f t="shared" si="12"/>
        <v>May</v>
      </c>
      <c r="D400" s="2" t="s">
        <v>1069</v>
      </c>
      <c r="E400" s="2" t="s">
        <v>140</v>
      </c>
      <c r="F400" s="2" t="s">
        <v>49</v>
      </c>
      <c r="G400" s="2" t="s">
        <v>15</v>
      </c>
      <c r="H400" s="2" t="s">
        <v>59</v>
      </c>
      <c r="I400" s="13">
        <v>1</v>
      </c>
      <c r="J400" s="10">
        <v>0</v>
      </c>
      <c r="K400" s="10">
        <f t="shared" si="13"/>
        <v>0</v>
      </c>
      <c r="L400" s="2">
        <v>0</v>
      </c>
      <c r="M400" s="2" t="s">
        <v>66</v>
      </c>
      <c r="N400" s="2" t="s">
        <v>143</v>
      </c>
    </row>
    <row r="401" spans="1:14" x14ac:dyDescent="0.2">
      <c r="A401" s="13">
        <v>100902</v>
      </c>
      <c r="B401" s="5">
        <v>45559</v>
      </c>
      <c r="C401" s="5" t="str">
        <f t="shared" si="12"/>
        <v>Sep</v>
      </c>
      <c r="D401" s="2" t="s">
        <v>492</v>
      </c>
      <c r="E401" s="2" t="s">
        <v>27</v>
      </c>
      <c r="F401" s="2" t="s">
        <v>21</v>
      </c>
      <c r="G401" s="2" t="s">
        <v>22</v>
      </c>
      <c r="H401" s="2" t="s">
        <v>232</v>
      </c>
      <c r="I401" s="13">
        <v>10</v>
      </c>
      <c r="J401" s="10">
        <v>2171.88</v>
      </c>
      <c r="K401" s="10">
        <f t="shared" si="13"/>
        <v>21718.800000000003</v>
      </c>
      <c r="L401" s="2">
        <v>0.25</v>
      </c>
      <c r="M401" s="2" t="s">
        <v>24</v>
      </c>
      <c r="N401" s="2" t="s">
        <v>42</v>
      </c>
    </row>
    <row r="402" spans="1:14" x14ac:dyDescent="0.2">
      <c r="A402" s="13">
        <v>100752</v>
      </c>
      <c r="B402" s="5">
        <v>45355</v>
      </c>
      <c r="C402" s="5" t="str">
        <f t="shared" si="12"/>
        <v>Mar</v>
      </c>
      <c r="D402" s="2" t="s">
        <v>245</v>
      </c>
      <c r="E402" s="2" t="s">
        <v>27</v>
      </c>
      <c r="F402" s="2" t="s">
        <v>133</v>
      </c>
      <c r="G402" s="2" t="s">
        <v>106</v>
      </c>
      <c r="H402" s="2" t="s">
        <v>137</v>
      </c>
      <c r="I402" s="13">
        <v>2</v>
      </c>
      <c r="J402" s="10">
        <v>2078.88</v>
      </c>
      <c r="K402" s="10">
        <f t="shared" si="13"/>
        <v>4157.76</v>
      </c>
      <c r="L402" s="2">
        <v>0.25</v>
      </c>
      <c r="M402" s="2" t="s">
        <v>41</v>
      </c>
      <c r="N402" s="2" t="s">
        <v>42</v>
      </c>
    </row>
    <row r="403" spans="1:14" x14ac:dyDescent="0.2">
      <c r="A403" s="13">
        <v>100557</v>
      </c>
      <c r="B403" s="5">
        <v>45629</v>
      </c>
      <c r="C403" s="5" t="str">
        <f t="shared" si="12"/>
        <v>Dec</v>
      </c>
      <c r="D403" s="2" t="s">
        <v>493</v>
      </c>
      <c r="E403" s="2" t="s">
        <v>31</v>
      </c>
      <c r="F403" s="2" t="s">
        <v>54</v>
      </c>
      <c r="G403" s="2" t="s">
        <v>106</v>
      </c>
      <c r="H403" s="2" t="s">
        <v>137</v>
      </c>
      <c r="I403" s="13">
        <v>10</v>
      </c>
      <c r="J403" s="10">
        <v>1156.0999999999999</v>
      </c>
      <c r="K403" s="10">
        <f t="shared" si="13"/>
        <v>11561</v>
      </c>
      <c r="L403" s="2">
        <v>0.05</v>
      </c>
      <c r="M403" s="2" t="s">
        <v>41</v>
      </c>
      <c r="N403" s="2" t="s">
        <v>52</v>
      </c>
    </row>
    <row r="404" spans="1:14" x14ac:dyDescent="0.2">
      <c r="A404" s="13">
        <v>100896</v>
      </c>
      <c r="B404" s="5">
        <v>45498</v>
      </c>
      <c r="C404" s="5" t="str">
        <f t="shared" si="12"/>
        <v>Jul</v>
      </c>
      <c r="D404" s="2" t="s">
        <v>287</v>
      </c>
      <c r="E404" s="2" t="s">
        <v>140</v>
      </c>
      <c r="F404" s="2" t="s">
        <v>79</v>
      </c>
      <c r="G404" s="2" t="s">
        <v>106</v>
      </c>
      <c r="H404" s="2" t="s">
        <v>156</v>
      </c>
      <c r="I404" s="13">
        <v>11</v>
      </c>
      <c r="J404" s="10">
        <v>3324.35</v>
      </c>
      <c r="K404" s="10">
        <f t="shared" si="13"/>
        <v>36567.85</v>
      </c>
      <c r="L404" s="2">
        <v>0.1</v>
      </c>
      <c r="M404" s="2" t="s">
        <v>17</v>
      </c>
      <c r="N404" s="2" t="s">
        <v>42</v>
      </c>
    </row>
    <row r="405" spans="1:14" x14ac:dyDescent="0.2">
      <c r="A405" s="13">
        <v>100152</v>
      </c>
      <c r="B405" s="5">
        <v>45544</v>
      </c>
      <c r="C405" s="5" t="str">
        <f t="shared" si="12"/>
        <v>Sep</v>
      </c>
      <c r="D405" s="2" t="s">
        <v>478</v>
      </c>
      <c r="E405" s="2" t="s">
        <v>37</v>
      </c>
      <c r="F405" s="2" t="s">
        <v>38</v>
      </c>
      <c r="G405" s="2" t="s">
        <v>22</v>
      </c>
      <c r="H405" s="2" t="s">
        <v>232</v>
      </c>
      <c r="I405" s="13">
        <v>-2</v>
      </c>
      <c r="J405" s="10">
        <v>2548.85</v>
      </c>
      <c r="K405" s="10">
        <f t="shared" si="13"/>
        <v>-5097.7</v>
      </c>
      <c r="L405" s="2">
        <v>0.2</v>
      </c>
      <c r="M405" s="2" t="s">
        <v>66</v>
      </c>
      <c r="N405" s="2" t="s">
        <v>42</v>
      </c>
    </row>
    <row r="406" spans="1:14" x14ac:dyDescent="0.2">
      <c r="A406" s="13">
        <v>100216</v>
      </c>
      <c r="B406" s="5">
        <v>45332</v>
      </c>
      <c r="C406" s="5" t="str">
        <f t="shared" si="12"/>
        <v>Feb</v>
      </c>
      <c r="D406" s="2" t="s">
        <v>192</v>
      </c>
      <c r="E406" s="2" t="s">
        <v>31</v>
      </c>
      <c r="F406" s="2" t="s">
        <v>54</v>
      </c>
      <c r="G406" s="2" t="s">
        <v>22</v>
      </c>
      <c r="H406" s="2" t="s">
        <v>145</v>
      </c>
      <c r="I406" s="13">
        <v>7</v>
      </c>
      <c r="J406" s="10">
        <v>2128.2199999999998</v>
      </c>
      <c r="K406" s="10">
        <f t="shared" si="13"/>
        <v>14897.539999999999</v>
      </c>
      <c r="L406" s="2">
        <v>0.05</v>
      </c>
      <c r="M406" s="2" t="s">
        <v>24</v>
      </c>
      <c r="N406" s="2" t="s">
        <v>35</v>
      </c>
    </row>
    <row r="407" spans="1:14" x14ac:dyDescent="0.2">
      <c r="A407" s="13">
        <v>100099</v>
      </c>
      <c r="B407" s="5">
        <v>45327</v>
      </c>
      <c r="C407" s="5" t="str">
        <f t="shared" si="12"/>
        <v>Feb</v>
      </c>
      <c r="D407" s="2" t="s">
        <v>494</v>
      </c>
      <c r="E407" s="2" t="s">
        <v>37</v>
      </c>
      <c r="F407" s="2" t="s">
        <v>69</v>
      </c>
      <c r="G407" s="2" t="s">
        <v>22</v>
      </c>
      <c r="H407" s="2" t="s">
        <v>232</v>
      </c>
      <c r="I407" s="13">
        <v>6</v>
      </c>
      <c r="J407" s="10">
        <v>2192.7600000000002</v>
      </c>
      <c r="K407" s="10">
        <f t="shared" si="13"/>
        <v>13156.560000000001</v>
      </c>
      <c r="L407" s="2">
        <v>0</v>
      </c>
      <c r="M407" s="2" t="s">
        <v>29</v>
      </c>
      <c r="N407" s="2" t="s">
        <v>25</v>
      </c>
    </row>
    <row r="408" spans="1:14" x14ac:dyDescent="0.2">
      <c r="A408" s="13">
        <v>101489</v>
      </c>
      <c r="B408" s="5">
        <v>45505</v>
      </c>
      <c r="C408" s="5" t="str">
        <f t="shared" si="12"/>
        <v>Aug</v>
      </c>
      <c r="D408" s="2" t="s">
        <v>496</v>
      </c>
      <c r="E408" s="2" t="s">
        <v>61</v>
      </c>
      <c r="F408" s="2" t="s">
        <v>119</v>
      </c>
      <c r="G408" s="2" t="s">
        <v>50</v>
      </c>
      <c r="H408" s="2" t="s">
        <v>207</v>
      </c>
      <c r="I408" s="13">
        <v>2</v>
      </c>
      <c r="J408" s="10">
        <v>8394.01</v>
      </c>
      <c r="K408" s="10">
        <f t="shared" si="13"/>
        <v>16788.02</v>
      </c>
      <c r="L408" s="2">
        <v>0.25</v>
      </c>
      <c r="M408" s="2" t="s">
        <v>24</v>
      </c>
      <c r="N408" s="2" t="s">
        <v>87</v>
      </c>
    </row>
    <row r="409" spans="1:14" x14ac:dyDescent="0.2">
      <c r="A409" s="13">
        <v>100471</v>
      </c>
      <c r="B409" s="5">
        <v>45425</v>
      </c>
      <c r="C409" s="5" t="str">
        <f t="shared" si="12"/>
        <v>May</v>
      </c>
      <c r="D409" s="2" t="s">
        <v>36</v>
      </c>
      <c r="E409" s="2" t="s">
        <v>27</v>
      </c>
      <c r="F409" s="2" t="s">
        <v>21</v>
      </c>
      <c r="G409" s="2" t="s">
        <v>64</v>
      </c>
      <c r="H409" s="2" t="s">
        <v>292</v>
      </c>
      <c r="I409" s="13">
        <v>3</v>
      </c>
      <c r="J409" s="10">
        <v>184.68</v>
      </c>
      <c r="K409" s="10">
        <f t="shared" si="13"/>
        <v>554.04</v>
      </c>
      <c r="L409" s="2">
        <v>0.2</v>
      </c>
      <c r="M409" s="2" t="s">
        <v>24</v>
      </c>
      <c r="N409" s="2" t="s">
        <v>143</v>
      </c>
    </row>
    <row r="410" spans="1:14" x14ac:dyDescent="0.2">
      <c r="A410" s="13">
        <v>101933</v>
      </c>
      <c r="B410" s="5">
        <v>45527</v>
      </c>
      <c r="C410" s="5" t="str">
        <f t="shared" si="12"/>
        <v>Aug</v>
      </c>
      <c r="D410" s="2" t="s">
        <v>497</v>
      </c>
      <c r="E410" s="2" t="s">
        <v>140</v>
      </c>
      <c r="F410" s="2" t="s">
        <v>49</v>
      </c>
      <c r="G410" s="2" t="s">
        <v>22</v>
      </c>
      <c r="H410" s="2" t="s">
        <v>145</v>
      </c>
      <c r="I410" s="13">
        <v>10</v>
      </c>
      <c r="J410" s="10">
        <v>1924.26</v>
      </c>
      <c r="K410" s="10">
        <f t="shared" si="13"/>
        <v>19242.599999999999</v>
      </c>
      <c r="L410" s="2">
        <v>0</v>
      </c>
      <c r="M410" s="2" t="s">
        <v>29</v>
      </c>
      <c r="N410" s="2" t="s">
        <v>87</v>
      </c>
    </row>
    <row r="411" spans="1:14" x14ac:dyDescent="0.2">
      <c r="A411" s="13">
        <v>101432</v>
      </c>
      <c r="B411" s="5">
        <v>45292</v>
      </c>
      <c r="C411" s="5" t="str">
        <f t="shared" si="12"/>
        <v>Jan</v>
      </c>
      <c r="D411" s="2" t="s">
        <v>144</v>
      </c>
      <c r="E411" s="2" t="s">
        <v>27</v>
      </c>
      <c r="F411" s="2" t="s">
        <v>21</v>
      </c>
      <c r="G411" s="2" t="s">
        <v>50</v>
      </c>
      <c r="H411" s="2" t="s">
        <v>51</v>
      </c>
      <c r="I411" s="13">
        <v>12</v>
      </c>
      <c r="J411" s="10">
        <v>9742.7999999999993</v>
      </c>
      <c r="K411" s="10">
        <f t="shared" si="13"/>
        <v>116913.59999999999</v>
      </c>
      <c r="L411" s="2">
        <v>0.2</v>
      </c>
      <c r="M411" s="2" t="s">
        <v>24</v>
      </c>
      <c r="N411" s="2" t="s">
        <v>143</v>
      </c>
    </row>
    <row r="412" spans="1:14" x14ac:dyDescent="0.2">
      <c r="A412" s="13">
        <v>101495</v>
      </c>
      <c r="B412" s="5">
        <v>45536</v>
      </c>
      <c r="C412" s="5" t="str">
        <f t="shared" si="12"/>
        <v>Sep</v>
      </c>
      <c r="D412" s="2" t="s">
        <v>26</v>
      </c>
      <c r="E412" s="2" t="s">
        <v>31</v>
      </c>
      <c r="F412" s="2" t="s">
        <v>54</v>
      </c>
      <c r="G412" s="2" t="s">
        <v>15</v>
      </c>
      <c r="H412" s="2" t="s">
        <v>116</v>
      </c>
      <c r="I412" s="13">
        <v>10</v>
      </c>
      <c r="J412" s="10">
        <v>11088.85</v>
      </c>
      <c r="K412" s="10">
        <f t="shared" si="13"/>
        <v>110888.5</v>
      </c>
      <c r="L412" s="2">
        <v>0.25</v>
      </c>
      <c r="M412" s="2" t="s">
        <v>17</v>
      </c>
      <c r="N412" s="2" t="s">
        <v>52</v>
      </c>
    </row>
    <row r="413" spans="1:14" x14ac:dyDescent="0.2">
      <c r="A413" s="13">
        <v>100013</v>
      </c>
      <c r="B413" s="5">
        <v>45333</v>
      </c>
      <c r="C413" s="5" t="str">
        <f t="shared" si="12"/>
        <v>Feb</v>
      </c>
      <c r="D413" s="2" t="s">
        <v>307</v>
      </c>
      <c r="E413" s="2" t="s">
        <v>61</v>
      </c>
      <c r="F413" s="2" t="s">
        <v>119</v>
      </c>
      <c r="G413" s="2" t="s">
        <v>106</v>
      </c>
      <c r="H413" s="2" t="s">
        <v>156</v>
      </c>
      <c r="I413" s="13">
        <v>4</v>
      </c>
      <c r="J413" s="10">
        <v>774.09</v>
      </c>
      <c r="K413" s="10">
        <f t="shared" si="13"/>
        <v>3096.36</v>
      </c>
      <c r="L413" s="2">
        <v>0</v>
      </c>
      <c r="M413" s="2" t="s">
        <v>83</v>
      </c>
      <c r="N413" s="2" t="s">
        <v>42</v>
      </c>
    </row>
    <row r="414" spans="1:14" x14ac:dyDescent="0.2">
      <c r="A414" s="13">
        <v>101954</v>
      </c>
      <c r="B414" s="5">
        <v>45567</v>
      </c>
      <c r="C414" s="5" t="str">
        <f t="shared" si="12"/>
        <v>Oct</v>
      </c>
      <c r="D414" s="2" t="s">
        <v>499</v>
      </c>
      <c r="E414" s="2" t="s">
        <v>31</v>
      </c>
      <c r="F414" s="2" t="s">
        <v>54</v>
      </c>
      <c r="G414" s="2" t="s">
        <v>64</v>
      </c>
      <c r="H414" s="2" t="s">
        <v>292</v>
      </c>
      <c r="I414" s="13">
        <v>6</v>
      </c>
      <c r="J414" s="10">
        <v>449.52</v>
      </c>
      <c r="K414" s="10">
        <f t="shared" si="13"/>
        <v>2697.12</v>
      </c>
      <c r="L414" s="2">
        <v>0</v>
      </c>
      <c r="M414" s="2" t="s">
        <v>24</v>
      </c>
      <c r="N414" s="2" t="s">
        <v>52</v>
      </c>
    </row>
    <row r="415" spans="1:14" x14ac:dyDescent="0.2">
      <c r="A415" s="13">
        <v>101412</v>
      </c>
      <c r="B415" s="5">
        <v>45311</v>
      </c>
      <c r="C415" s="5" t="str">
        <f t="shared" si="12"/>
        <v>Jan</v>
      </c>
      <c r="D415" s="2" t="s">
        <v>249</v>
      </c>
      <c r="E415" s="2" t="s">
        <v>31</v>
      </c>
      <c r="F415" s="2" t="s">
        <v>54</v>
      </c>
      <c r="G415" s="2" t="s">
        <v>50</v>
      </c>
      <c r="H415" s="2" t="s">
        <v>99</v>
      </c>
      <c r="I415" s="13">
        <v>-3</v>
      </c>
      <c r="J415" s="10">
        <v>9414.2999999999993</v>
      </c>
      <c r="K415" s="10">
        <f t="shared" si="13"/>
        <v>-28242.899999999998</v>
      </c>
      <c r="L415" s="2">
        <v>0.15</v>
      </c>
      <c r="M415" s="2" t="s">
        <v>17</v>
      </c>
      <c r="N415" s="2" t="s">
        <v>87</v>
      </c>
    </row>
    <row r="416" spans="1:14" x14ac:dyDescent="0.2">
      <c r="A416" s="13">
        <v>100168</v>
      </c>
      <c r="B416" s="5">
        <v>45541</v>
      </c>
      <c r="C416" s="5" t="str">
        <f t="shared" si="12"/>
        <v>Sep</v>
      </c>
      <c r="D416" s="2" t="s">
        <v>500</v>
      </c>
      <c r="E416" s="2" t="s">
        <v>61</v>
      </c>
      <c r="F416" s="2" t="s">
        <v>14</v>
      </c>
      <c r="G416" s="2" t="s">
        <v>45</v>
      </c>
      <c r="H416" s="2" t="s">
        <v>46</v>
      </c>
      <c r="I416" s="13">
        <v>8</v>
      </c>
      <c r="J416" s="10">
        <v>44667.13</v>
      </c>
      <c r="K416" s="10">
        <f t="shared" si="13"/>
        <v>357337.04</v>
      </c>
      <c r="L416" s="2">
        <v>0</v>
      </c>
      <c r="M416" s="2" t="s">
        <v>24</v>
      </c>
      <c r="N416" s="2" t="s">
        <v>52</v>
      </c>
    </row>
    <row r="417" spans="1:14" x14ac:dyDescent="0.2">
      <c r="A417" s="13">
        <v>101347</v>
      </c>
      <c r="B417" s="5">
        <v>45379</v>
      </c>
      <c r="C417" s="5" t="str">
        <f t="shared" si="12"/>
        <v>Mar</v>
      </c>
      <c r="D417" s="2" t="s">
        <v>501</v>
      </c>
      <c r="E417" s="2" t="s">
        <v>61</v>
      </c>
      <c r="F417" s="2" t="s">
        <v>119</v>
      </c>
      <c r="G417" s="2" t="s">
        <v>15</v>
      </c>
      <c r="H417" s="2" t="s">
        <v>16</v>
      </c>
      <c r="I417" s="13">
        <v>12</v>
      </c>
      <c r="J417" s="10">
        <v>23906.799999999999</v>
      </c>
      <c r="K417" s="10">
        <f t="shared" si="13"/>
        <v>286881.59999999998</v>
      </c>
      <c r="L417" s="2">
        <v>0.2</v>
      </c>
      <c r="M417" s="2" t="s">
        <v>83</v>
      </c>
      <c r="N417" s="2" t="s">
        <v>52</v>
      </c>
    </row>
    <row r="418" spans="1:14" x14ac:dyDescent="0.2">
      <c r="A418" s="13">
        <v>101364</v>
      </c>
      <c r="B418" s="5">
        <v>45440</v>
      </c>
      <c r="C418" s="5" t="str">
        <f t="shared" si="12"/>
        <v>May</v>
      </c>
      <c r="D418" s="2" t="s">
        <v>502</v>
      </c>
      <c r="E418" s="2" t="s">
        <v>31</v>
      </c>
      <c r="F418" s="2" t="s">
        <v>32</v>
      </c>
      <c r="G418" s="2" t="s">
        <v>106</v>
      </c>
      <c r="H418" s="2" t="s">
        <v>137</v>
      </c>
      <c r="I418" s="13">
        <v>1</v>
      </c>
      <c r="J418" s="10">
        <v>2416.67</v>
      </c>
      <c r="K418" s="10">
        <f t="shared" si="13"/>
        <v>2416.67</v>
      </c>
      <c r="L418" s="2">
        <v>0</v>
      </c>
      <c r="M418" s="2" t="s">
        <v>83</v>
      </c>
      <c r="N418" s="2" t="s">
        <v>143</v>
      </c>
    </row>
    <row r="419" spans="1:14" x14ac:dyDescent="0.2">
      <c r="A419" s="13">
        <v>100189</v>
      </c>
      <c r="B419" s="5">
        <v>45399</v>
      </c>
      <c r="C419" s="5" t="str">
        <f t="shared" si="12"/>
        <v>Apr</v>
      </c>
      <c r="D419" s="2" t="s">
        <v>333</v>
      </c>
      <c r="E419" s="2" t="s">
        <v>61</v>
      </c>
      <c r="F419" s="2" t="s">
        <v>14</v>
      </c>
      <c r="G419" s="2" t="s">
        <v>64</v>
      </c>
      <c r="H419" s="2" t="s">
        <v>165</v>
      </c>
      <c r="I419" s="13">
        <v>2</v>
      </c>
      <c r="J419" s="10">
        <v>813.54</v>
      </c>
      <c r="K419" s="10">
        <f t="shared" si="13"/>
        <v>1627.08</v>
      </c>
      <c r="L419" s="2">
        <v>0</v>
      </c>
      <c r="M419" s="2" t="s">
        <v>29</v>
      </c>
      <c r="N419" s="2" t="s">
        <v>25</v>
      </c>
    </row>
    <row r="420" spans="1:14" x14ac:dyDescent="0.2">
      <c r="A420" s="13">
        <v>101503</v>
      </c>
      <c r="B420" s="5">
        <v>45596</v>
      </c>
      <c r="C420" s="5" t="str">
        <f t="shared" si="12"/>
        <v>Oct</v>
      </c>
      <c r="D420" s="2" t="s">
        <v>504</v>
      </c>
      <c r="E420" s="2" t="s">
        <v>27</v>
      </c>
      <c r="F420" s="2" t="s">
        <v>133</v>
      </c>
      <c r="G420" s="2" t="s">
        <v>106</v>
      </c>
      <c r="H420" s="2" t="s">
        <v>103</v>
      </c>
      <c r="I420" s="13">
        <v>4</v>
      </c>
      <c r="J420" s="10">
        <v>4154.82</v>
      </c>
      <c r="K420" s="10">
        <f t="shared" si="13"/>
        <v>16619.28</v>
      </c>
      <c r="L420" s="2">
        <v>0.15</v>
      </c>
      <c r="M420" s="2" t="s">
        <v>83</v>
      </c>
      <c r="N420" s="2" t="s">
        <v>18</v>
      </c>
    </row>
    <row r="421" spans="1:14" x14ac:dyDescent="0.2">
      <c r="A421" s="13">
        <v>101082</v>
      </c>
      <c r="B421" s="5">
        <v>45565</v>
      </c>
      <c r="C421" s="5" t="str">
        <f t="shared" si="12"/>
        <v>Sep</v>
      </c>
      <c r="D421" s="2" t="s">
        <v>505</v>
      </c>
      <c r="E421" s="2" t="s">
        <v>37</v>
      </c>
      <c r="F421" s="2" t="s">
        <v>38</v>
      </c>
      <c r="G421" s="2" t="s">
        <v>50</v>
      </c>
      <c r="H421" s="2" t="s">
        <v>99</v>
      </c>
      <c r="I421" s="13">
        <v>2</v>
      </c>
      <c r="J421" s="10">
        <v>7209.5</v>
      </c>
      <c r="K421" s="10">
        <f t="shared" si="13"/>
        <v>14419</v>
      </c>
      <c r="L421" s="2">
        <v>0.2</v>
      </c>
      <c r="M421" s="2" t="s">
        <v>24</v>
      </c>
      <c r="N421" s="2" t="s">
        <v>52</v>
      </c>
    </row>
    <row r="422" spans="1:14" x14ac:dyDescent="0.2">
      <c r="A422" s="13">
        <v>100044</v>
      </c>
      <c r="B422" s="5">
        <v>45514</v>
      </c>
      <c r="C422" s="5" t="str">
        <f t="shared" si="12"/>
        <v>Aug</v>
      </c>
      <c r="D422" s="2" t="s">
        <v>506</v>
      </c>
      <c r="E422" s="2" t="s">
        <v>140</v>
      </c>
      <c r="F422" s="2" t="s">
        <v>49</v>
      </c>
      <c r="G422" s="2" t="s">
        <v>22</v>
      </c>
      <c r="H422" s="2" t="s">
        <v>75</v>
      </c>
      <c r="I422" s="13">
        <v>2</v>
      </c>
      <c r="J422" s="10">
        <v>3104.39</v>
      </c>
      <c r="K422" s="10">
        <f t="shared" si="13"/>
        <v>6208.78</v>
      </c>
      <c r="L422" s="2">
        <v>0.1</v>
      </c>
      <c r="M422" s="2" t="s">
        <v>41</v>
      </c>
      <c r="N422" s="2" t="s">
        <v>143</v>
      </c>
    </row>
    <row r="423" spans="1:14" x14ac:dyDescent="0.2">
      <c r="A423" s="13">
        <v>101674</v>
      </c>
      <c r="B423" s="5">
        <v>45521</v>
      </c>
      <c r="C423" s="5" t="str">
        <f t="shared" si="12"/>
        <v>Aug</v>
      </c>
      <c r="D423" s="2" t="s">
        <v>474</v>
      </c>
      <c r="E423" s="2" t="s">
        <v>61</v>
      </c>
      <c r="F423" s="2" t="s">
        <v>14</v>
      </c>
      <c r="G423" s="2" t="s">
        <v>22</v>
      </c>
      <c r="H423" s="2" t="s">
        <v>23</v>
      </c>
      <c r="I423" s="13">
        <v>7</v>
      </c>
      <c r="J423" s="10">
        <v>3368.98</v>
      </c>
      <c r="K423" s="10">
        <f t="shared" si="13"/>
        <v>23582.86</v>
      </c>
      <c r="L423" s="2">
        <v>0</v>
      </c>
      <c r="M423" s="2" t="s">
        <v>83</v>
      </c>
      <c r="N423" s="2" t="s">
        <v>42</v>
      </c>
    </row>
    <row r="424" spans="1:14" x14ac:dyDescent="0.2">
      <c r="A424" s="13">
        <v>100010</v>
      </c>
      <c r="B424" s="5">
        <v>45622</v>
      </c>
      <c r="C424" s="5" t="str">
        <f t="shared" si="12"/>
        <v>Nov</v>
      </c>
      <c r="D424" s="2" t="s">
        <v>508</v>
      </c>
      <c r="E424" s="2" t="s">
        <v>61</v>
      </c>
      <c r="F424" s="2" t="s">
        <v>119</v>
      </c>
      <c r="G424" s="2" t="s">
        <v>50</v>
      </c>
      <c r="H424" s="2" t="s">
        <v>62</v>
      </c>
      <c r="I424" s="13">
        <v>7</v>
      </c>
      <c r="J424" s="10">
        <v>3013.55</v>
      </c>
      <c r="K424" s="10">
        <f t="shared" si="13"/>
        <v>21094.850000000002</v>
      </c>
      <c r="L424" s="2">
        <v>0</v>
      </c>
      <c r="M424" s="2" t="s">
        <v>41</v>
      </c>
      <c r="N424" s="2" t="s">
        <v>42</v>
      </c>
    </row>
    <row r="425" spans="1:14" x14ac:dyDescent="0.2">
      <c r="A425" s="13">
        <v>101362</v>
      </c>
      <c r="B425" s="5">
        <v>45554</v>
      </c>
      <c r="C425" s="5" t="str">
        <f t="shared" si="12"/>
        <v>Sep</v>
      </c>
      <c r="D425" s="2" t="s">
        <v>509</v>
      </c>
      <c r="E425" s="2" t="s">
        <v>140</v>
      </c>
      <c r="F425" s="2" t="s">
        <v>79</v>
      </c>
      <c r="G425" s="2" t="s">
        <v>33</v>
      </c>
      <c r="H425" s="2" t="s">
        <v>34</v>
      </c>
      <c r="I425" s="13">
        <v>7</v>
      </c>
      <c r="J425" s="10">
        <v>55.15</v>
      </c>
      <c r="K425" s="10">
        <f t="shared" si="13"/>
        <v>386.05</v>
      </c>
      <c r="L425" s="2">
        <v>0.05</v>
      </c>
      <c r="M425" s="2" t="s">
        <v>41</v>
      </c>
      <c r="N425" s="2" t="s">
        <v>52</v>
      </c>
    </row>
    <row r="426" spans="1:14" x14ac:dyDescent="0.2">
      <c r="A426" s="13">
        <v>100148</v>
      </c>
      <c r="B426" s="5">
        <v>45580</v>
      </c>
      <c r="C426" s="5" t="str">
        <f t="shared" si="12"/>
        <v>Oct</v>
      </c>
      <c r="D426" s="2" t="s">
        <v>328</v>
      </c>
      <c r="E426" s="2" t="s">
        <v>27</v>
      </c>
      <c r="F426" s="2" t="s">
        <v>133</v>
      </c>
      <c r="G426" s="2" t="s">
        <v>22</v>
      </c>
      <c r="H426" s="2" t="s">
        <v>232</v>
      </c>
      <c r="I426" s="13">
        <v>6</v>
      </c>
      <c r="J426" s="10">
        <v>1133.31</v>
      </c>
      <c r="K426" s="10">
        <f t="shared" si="13"/>
        <v>6799.86</v>
      </c>
      <c r="L426" s="2">
        <v>0.15</v>
      </c>
      <c r="M426" s="2" t="s">
        <v>41</v>
      </c>
      <c r="N426" s="2" t="s">
        <v>87</v>
      </c>
    </row>
    <row r="427" spans="1:14" x14ac:dyDescent="0.2">
      <c r="A427" s="13">
        <v>101281</v>
      </c>
      <c r="B427" s="5">
        <v>45392</v>
      </c>
      <c r="C427" s="5" t="str">
        <f t="shared" si="12"/>
        <v>Apr</v>
      </c>
      <c r="D427" s="2" t="s">
        <v>12</v>
      </c>
      <c r="E427" s="2" t="s">
        <v>31</v>
      </c>
      <c r="F427" s="2" t="s">
        <v>32</v>
      </c>
      <c r="G427" s="2" t="s">
        <v>15</v>
      </c>
      <c r="H427" s="2" t="s">
        <v>205</v>
      </c>
      <c r="I427" s="13">
        <v>9</v>
      </c>
      <c r="J427" s="10">
        <v>23676.67</v>
      </c>
      <c r="K427" s="10">
        <f t="shared" si="13"/>
        <v>213090.02999999997</v>
      </c>
      <c r="L427" s="2">
        <v>0</v>
      </c>
      <c r="M427" s="2" t="s">
        <v>17</v>
      </c>
      <c r="N427" s="2" t="s">
        <v>121</v>
      </c>
    </row>
    <row r="428" spans="1:14" x14ac:dyDescent="0.2">
      <c r="A428" s="13">
        <v>100014</v>
      </c>
      <c r="B428" s="5">
        <v>45401</v>
      </c>
      <c r="C428" s="5" t="str">
        <f t="shared" si="12"/>
        <v>Apr</v>
      </c>
      <c r="D428" s="2" t="s">
        <v>301</v>
      </c>
      <c r="E428" s="2" t="s">
        <v>37</v>
      </c>
      <c r="F428" s="2" t="s">
        <v>69</v>
      </c>
      <c r="G428" s="2" t="s">
        <v>64</v>
      </c>
      <c r="H428" s="2" t="s">
        <v>165</v>
      </c>
      <c r="I428" s="13">
        <v>1</v>
      </c>
      <c r="J428" s="10">
        <v>438.64</v>
      </c>
      <c r="K428" s="10">
        <f t="shared" si="13"/>
        <v>438.64</v>
      </c>
      <c r="L428" s="2">
        <v>0</v>
      </c>
      <c r="M428" s="2" t="s">
        <v>17</v>
      </c>
      <c r="N428" s="2" t="s">
        <v>18</v>
      </c>
    </row>
    <row r="429" spans="1:14" x14ac:dyDescent="0.2">
      <c r="A429" s="13">
        <v>100390</v>
      </c>
      <c r="B429" s="5">
        <v>45314</v>
      </c>
      <c r="C429" s="5" t="str">
        <f t="shared" si="12"/>
        <v>Jan</v>
      </c>
      <c r="D429" s="2" t="s">
        <v>512</v>
      </c>
      <c r="E429" s="2" t="s">
        <v>37</v>
      </c>
      <c r="F429" s="2" t="s">
        <v>69</v>
      </c>
      <c r="G429" s="2" t="s">
        <v>106</v>
      </c>
      <c r="H429" s="2" t="s">
        <v>103</v>
      </c>
      <c r="I429" s="13">
        <v>8</v>
      </c>
      <c r="J429" s="10">
        <v>1496.54</v>
      </c>
      <c r="K429" s="10">
        <f t="shared" si="13"/>
        <v>11972.32</v>
      </c>
      <c r="L429" s="2">
        <v>0</v>
      </c>
      <c r="M429" s="2" t="s">
        <v>83</v>
      </c>
      <c r="N429" s="2" t="s">
        <v>87</v>
      </c>
    </row>
    <row r="430" spans="1:14" x14ac:dyDescent="0.2">
      <c r="A430" s="13">
        <v>101299</v>
      </c>
      <c r="B430" s="5">
        <v>45377</v>
      </c>
      <c r="C430" s="5" t="str">
        <f t="shared" si="12"/>
        <v>Mar</v>
      </c>
      <c r="D430" s="2" t="s">
        <v>126</v>
      </c>
      <c r="E430" s="2" t="s">
        <v>31</v>
      </c>
      <c r="F430" s="2" t="s">
        <v>32</v>
      </c>
      <c r="G430" s="2" t="s">
        <v>45</v>
      </c>
      <c r="H430" s="2" t="s">
        <v>97</v>
      </c>
      <c r="I430" s="13">
        <v>5</v>
      </c>
      <c r="J430" s="10">
        <v>22179.9</v>
      </c>
      <c r="K430" s="10">
        <f t="shared" si="13"/>
        <v>110899.5</v>
      </c>
      <c r="L430" s="2">
        <v>0.05</v>
      </c>
      <c r="M430" s="2" t="s">
        <v>66</v>
      </c>
      <c r="N430" s="2" t="s">
        <v>52</v>
      </c>
    </row>
    <row r="431" spans="1:14" x14ac:dyDescent="0.2">
      <c r="A431" s="13">
        <v>100985</v>
      </c>
      <c r="B431" s="5">
        <v>45558</v>
      </c>
      <c r="C431" s="5" t="str">
        <f t="shared" si="12"/>
        <v>Sep</v>
      </c>
      <c r="D431" s="2" t="s">
        <v>513</v>
      </c>
      <c r="E431" s="2" t="s">
        <v>140</v>
      </c>
      <c r="F431" s="2" t="s">
        <v>79</v>
      </c>
      <c r="G431" s="2" t="s">
        <v>45</v>
      </c>
      <c r="H431" s="2" t="s">
        <v>46</v>
      </c>
      <c r="I431" s="13">
        <v>8</v>
      </c>
      <c r="J431" s="10">
        <v>36007.660000000003</v>
      </c>
      <c r="K431" s="10">
        <f t="shared" si="13"/>
        <v>288061.28000000003</v>
      </c>
      <c r="L431" s="2">
        <v>0</v>
      </c>
      <c r="M431" s="2" t="s">
        <v>41</v>
      </c>
      <c r="N431" s="2" t="s">
        <v>25</v>
      </c>
    </row>
    <row r="432" spans="1:14" x14ac:dyDescent="0.2">
      <c r="A432" s="13">
        <v>100759</v>
      </c>
      <c r="B432" s="5">
        <v>45351</v>
      </c>
      <c r="C432" s="5" t="str">
        <f t="shared" si="12"/>
        <v>Feb</v>
      </c>
      <c r="D432" s="2" t="s">
        <v>1069</v>
      </c>
      <c r="E432" s="2" t="s">
        <v>61</v>
      </c>
      <c r="F432" s="2" t="s">
        <v>14</v>
      </c>
      <c r="G432" s="2" t="s">
        <v>106</v>
      </c>
      <c r="H432" s="2" t="s">
        <v>103</v>
      </c>
      <c r="I432" s="13">
        <v>11</v>
      </c>
      <c r="J432" s="10">
        <v>3005.51</v>
      </c>
      <c r="K432" s="10">
        <f t="shared" si="13"/>
        <v>33060.61</v>
      </c>
      <c r="L432" s="2">
        <v>0.1</v>
      </c>
      <c r="M432" s="2" t="s">
        <v>24</v>
      </c>
      <c r="N432" s="2" t="s">
        <v>42</v>
      </c>
    </row>
    <row r="433" spans="1:14" x14ac:dyDescent="0.2">
      <c r="A433" s="13">
        <v>100998</v>
      </c>
      <c r="B433" s="5">
        <v>45333</v>
      </c>
      <c r="C433" s="5" t="str">
        <f t="shared" si="12"/>
        <v>Feb</v>
      </c>
      <c r="D433" s="2" t="s">
        <v>294</v>
      </c>
      <c r="E433" s="2" t="s">
        <v>37</v>
      </c>
      <c r="F433" s="2" t="s">
        <v>38</v>
      </c>
      <c r="G433" s="2" t="s">
        <v>64</v>
      </c>
      <c r="H433" s="2" t="s">
        <v>165</v>
      </c>
      <c r="I433" s="13">
        <v>2</v>
      </c>
      <c r="J433" s="10">
        <v>730.88</v>
      </c>
      <c r="K433" s="10">
        <f t="shared" si="13"/>
        <v>1461.76</v>
      </c>
      <c r="L433" s="2">
        <v>0.25</v>
      </c>
      <c r="M433" s="2" t="s">
        <v>24</v>
      </c>
      <c r="N433" s="2" t="s">
        <v>42</v>
      </c>
    </row>
    <row r="434" spans="1:14" x14ac:dyDescent="0.2">
      <c r="A434" s="13">
        <v>101549</v>
      </c>
      <c r="B434" s="5">
        <v>45301</v>
      </c>
      <c r="C434" s="5" t="str">
        <f t="shared" si="12"/>
        <v>Jan</v>
      </c>
      <c r="D434" s="2" t="s">
        <v>212</v>
      </c>
      <c r="E434" s="2" t="s">
        <v>140</v>
      </c>
      <c r="F434" s="2" t="s">
        <v>79</v>
      </c>
      <c r="G434" s="2" t="s">
        <v>45</v>
      </c>
      <c r="H434" s="2" t="s">
        <v>111</v>
      </c>
      <c r="I434" s="13">
        <v>7</v>
      </c>
      <c r="J434" s="10">
        <v>24318.99</v>
      </c>
      <c r="K434" s="10">
        <f t="shared" si="13"/>
        <v>170232.93000000002</v>
      </c>
      <c r="L434" s="2">
        <v>0.1</v>
      </c>
      <c r="M434" s="2" t="s">
        <v>24</v>
      </c>
      <c r="N434" s="2" t="s">
        <v>42</v>
      </c>
    </row>
    <row r="435" spans="1:14" x14ac:dyDescent="0.2">
      <c r="A435" s="13">
        <v>100790</v>
      </c>
      <c r="B435" s="5">
        <v>45513</v>
      </c>
      <c r="C435" s="5" t="str">
        <f t="shared" si="12"/>
        <v>Aug</v>
      </c>
      <c r="D435" s="2" t="s">
        <v>515</v>
      </c>
      <c r="E435" s="2" t="s">
        <v>37</v>
      </c>
      <c r="F435" s="2" t="s">
        <v>38</v>
      </c>
      <c r="G435" s="2" t="s">
        <v>106</v>
      </c>
      <c r="H435" s="2" t="s">
        <v>103</v>
      </c>
      <c r="I435" s="13">
        <v>5</v>
      </c>
      <c r="J435" s="10">
        <v>2722.18</v>
      </c>
      <c r="K435" s="10">
        <f t="shared" si="13"/>
        <v>13610.9</v>
      </c>
      <c r="L435" s="2">
        <v>0.2</v>
      </c>
      <c r="M435" s="2" t="s">
        <v>24</v>
      </c>
      <c r="N435" s="2" t="s">
        <v>52</v>
      </c>
    </row>
    <row r="436" spans="1:14" x14ac:dyDescent="0.2">
      <c r="A436" s="13">
        <v>101874</v>
      </c>
      <c r="B436" s="5">
        <v>45306</v>
      </c>
      <c r="C436" s="5" t="str">
        <f t="shared" si="12"/>
        <v>Jan</v>
      </c>
      <c r="D436" s="2" t="s">
        <v>1069</v>
      </c>
      <c r="E436" s="2" t="s">
        <v>61</v>
      </c>
      <c r="F436" s="2" t="s">
        <v>14</v>
      </c>
      <c r="G436" s="2" t="s">
        <v>22</v>
      </c>
      <c r="H436" s="2" t="s">
        <v>145</v>
      </c>
      <c r="I436" s="13">
        <v>3</v>
      </c>
      <c r="J436" s="10">
        <v>3098.47</v>
      </c>
      <c r="K436" s="10">
        <f t="shared" si="13"/>
        <v>9295.41</v>
      </c>
      <c r="L436" s="2">
        <v>0</v>
      </c>
      <c r="M436" s="2" t="s">
        <v>29</v>
      </c>
      <c r="N436" s="2" t="s">
        <v>87</v>
      </c>
    </row>
    <row r="437" spans="1:14" x14ac:dyDescent="0.2">
      <c r="A437" s="13">
        <v>101683</v>
      </c>
      <c r="B437" s="5">
        <v>45295</v>
      </c>
      <c r="C437" s="5" t="str">
        <f t="shared" si="12"/>
        <v>Jan</v>
      </c>
      <c r="D437" s="2" t="s">
        <v>195</v>
      </c>
      <c r="E437" s="2" t="s">
        <v>37</v>
      </c>
      <c r="F437" s="2" t="s">
        <v>69</v>
      </c>
      <c r="G437" s="2" t="s">
        <v>50</v>
      </c>
      <c r="H437" s="2" t="s">
        <v>62</v>
      </c>
      <c r="I437" s="13">
        <v>11</v>
      </c>
      <c r="J437" s="10">
        <v>5932.51</v>
      </c>
      <c r="K437" s="10">
        <f t="shared" si="13"/>
        <v>65257.61</v>
      </c>
      <c r="L437" s="2">
        <v>0.25</v>
      </c>
      <c r="M437" s="2" t="s">
        <v>66</v>
      </c>
      <c r="N437" s="2" t="s">
        <v>87</v>
      </c>
    </row>
    <row r="438" spans="1:14" x14ac:dyDescent="0.2">
      <c r="A438" s="13">
        <v>100667</v>
      </c>
      <c r="B438" s="5">
        <v>45641</v>
      </c>
      <c r="C438" s="5" t="str">
        <f t="shared" si="12"/>
        <v>Dec</v>
      </c>
      <c r="D438" s="2" t="s">
        <v>406</v>
      </c>
      <c r="E438" s="2" t="s">
        <v>140</v>
      </c>
      <c r="F438" s="2" t="s">
        <v>49</v>
      </c>
      <c r="G438" s="2" t="s">
        <v>33</v>
      </c>
      <c r="H438" s="2" t="s">
        <v>81</v>
      </c>
      <c r="I438" s="13">
        <v>5</v>
      </c>
      <c r="J438" s="10">
        <v>469.15</v>
      </c>
      <c r="K438" s="10">
        <f t="shared" si="13"/>
        <v>2345.75</v>
      </c>
      <c r="L438" s="2">
        <v>0.05</v>
      </c>
      <c r="M438" s="2" t="s">
        <v>29</v>
      </c>
      <c r="N438" s="2" t="s">
        <v>42</v>
      </c>
    </row>
    <row r="439" spans="1:14" x14ac:dyDescent="0.2">
      <c r="A439" s="13">
        <v>100652</v>
      </c>
      <c r="B439" s="5">
        <v>45299</v>
      </c>
      <c r="C439" s="5" t="str">
        <f t="shared" si="12"/>
        <v>Jan</v>
      </c>
      <c r="D439" s="2" t="s">
        <v>231</v>
      </c>
      <c r="E439" s="2" t="s">
        <v>31</v>
      </c>
      <c r="F439" s="2" t="s">
        <v>32</v>
      </c>
      <c r="G439" s="2" t="s">
        <v>15</v>
      </c>
      <c r="H439" s="2" t="s">
        <v>116</v>
      </c>
      <c r="I439" s="13">
        <v>3</v>
      </c>
      <c r="J439" s="10">
        <v>11650.73</v>
      </c>
      <c r="K439" s="10">
        <f t="shared" si="13"/>
        <v>34952.19</v>
      </c>
      <c r="L439" s="2">
        <v>0</v>
      </c>
      <c r="M439" s="2" t="s">
        <v>17</v>
      </c>
      <c r="N439" s="2" t="s">
        <v>87</v>
      </c>
    </row>
    <row r="440" spans="1:14" x14ac:dyDescent="0.2">
      <c r="A440" s="13">
        <v>100801</v>
      </c>
      <c r="B440" s="5">
        <v>45372</v>
      </c>
      <c r="C440" s="5" t="str">
        <f t="shared" si="12"/>
        <v>Mar</v>
      </c>
      <c r="D440" s="2" t="s">
        <v>517</v>
      </c>
      <c r="E440" s="2" t="s">
        <v>61</v>
      </c>
      <c r="F440" s="2" t="s">
        <v>14</v>
      </c>
      <c r="G440" s="2" t="s">
        <v>45</v>
      </c>
      <c r="H440" s="2" t="s">
        <v>111</v>
      </c>
      <c r="I440" s="13">
        <v>3</v>
      </c>
      <c r="J440" s="10">
        <v>27316.6</v>
      </c>
      <c r="K440" s="10">
        <f t="shared" si="13"/>
        <v>81949.799999999988</v>
      </c>
      <c r="L440" s="2">
        <v>0</v>
      </c>
      <c r="M440" s="2" t="s">
        <v>17</v>
      </c>
      <c r="N440" s="2" t="s">
        <v>143</v>
      </c>
    </row>
    <row r="441" spans="1:14" x14ac:dyDescent="0.2">
      <c r="A441" s="13">
        <v>100505</v>
      </c>
      <c r="B441" s="5">
        <v>45456</v>
      </c>
      <c r="C441" s="5" t="str">
        <f t="shared" si="12"/>
        <v>Jun</v>
      </c>
      <c r="D441" s="2" t="s">
        <v>518</v>
      </c>
      <c r="E441" s="2" t="s">
        <v>140</v>
      </c>
      <c r="F441" s="2" t="s">
        <v>49</v>
      </c>
      <c r="G441" s="2" t="s">
        <v>50</v>
      </c>
      <c r="H441" s="2" t="s">
        <v>207</v>
      </c>
      <c r="I441" s="13">
        <v>12</v>
      </c>
      <c r="J441" s="10">
        <v>0</v>
      </c>
      <c r="K441" s="10">
        <f t="shared" si="13"/>
        <v>0</v>
      </c>
      <c r="L441" s="2">
        <v>0</v>
      </c>
      <c r="M441" s="2" t="s">
        <v>66</v>
      </c>
      <c r="N441" s="2" t="s">
        <v>42</v>
      </c>
    </row>
    <row r="442" spans="1:14" x14ac:dyDescent="0.2">
      <c r="A442" s="13">
        <v>101132</v>
      </c>
      <c r="B442" s="5">
        <v>45296</v>
      </c>
      <c r="C442" s="5" t="str">
        <f t="shared" si="12"/>
        <v>Jan</v>
      </c>
      <c r="D442" s="2" t="s">
        <v>465</v>
      </c>
      <c r="E442" s="2" t="s">
        <v>27</v>
      </c>
      <c r="F442" s="2" t="s">
        <v>21</v>
      </c>
      <c r="G442" s="2" t="s">
        <v>45</v>
      </c>
      <c r="H442" s="2" t="s">
        <v>111</v>
      </c>
      <c r="I442" s="13">
        <v>10</v>
      </c>
      <c r="J442" s="10">
        <v>35502.54</v>
      </c>
      <c r="K442" s="10">
        <f t="shared" si="13"/>
        <v>355025.4</v>
      </c>
      <c r="L442" s="2">
        <v>0</v>
      </c>
      <c r="M442" s="2" t="s">
        <v>24</v>
      </c>
      <c r="N442" s="2" t="s">
        <v>25</v>
      </c>
    </row>
    <row r="443" spans="1:14" x14ac:dyDescent="0.2">
      <c r="A443" s="13">
        <v>100743</v>
      </c>
      <c r="B443" s="5">
        <v>45376</v>
      </c>
      <c r="C443" s="5" t="str">
        <f t="shared" si="12"/>
        <v>Mar</v>
      </c>
      <c r="D443" s="2" t="s">
        <v>370</v>
      </c>
      <c r="E443" s="2" t="s">
        <v>31</v>
      </c>
      <c r="F443" s="2" t="s">
        <v>54</v>
      </c>
      <c r="G443" s="2" t="s">
        <v>50</v>
      </c>
      <c r="H443" s="2" t="s">
        <v>207</v>
      </c>
      <c r="I443" s="13">
        <v>1</v>
      </c>
      <c r="J443" s="10">
        <v>1267.48</v>
      </c>
      <c r="K443" s="10">
        <f t="shared" si="13"/>
        <v>1267.48</v>
      </c>
      <c r="L443" s="2">
        <v>0</v>
      </c>
      <c r="M443" s="2" t="s">
        <v>41</v>
      </c>
      <c r="N443" s="2" t="s">
        <v>35</v>
      </c>
    </row>
    <row r="444" spans="1:14" x14ac:dyDescent="0.2">
      <c r="A444" s="13">
        <v>101392</v>
      </c>
      <c r="B444" s="5">
        <v>45530</v>
      </c>
      <c r="C444" s="5" t="str">
        <f t="shared" si="12"/>
        <v>Aug</v>
      </c>
      <c r="D444" s="2" t="s">
        <v>354</v>
      </c>
      <c r="E444" s="2" t="s">
        <v>61</v>
      </c>
      <c r="F444" s="2" t="s">
        <v>14</v>
      </c>
      <c r="G444" s="2" t="s">
        <v>50</v>
      </c>
      <c r="H444" s="2" t="s">
        <v>51</v>
      </c>
      <c r="I444" s="13">
        <v>4</v>
      </c>
      <c r="J444" s="10">
        <v>10364.94</v>
      </c>
      <c r="K444" s="10">
        <f t="shared" si="13"/>
        <v>41459.760000000002</v>
      </c>
      <c r="L444" s="2">
        <v>0.1</v>
      </c>
      <c r="M444" s="2" t="s">
        <v>83</v>
      </c>
      <c r="N444" s="2" t="s">
        <v>25</v>
      </c>
    </row>
    <row r="445" spans="1:14" x14ac:dyDescent="0.2">
      <c r="A445" s="13">
        <v>101779</v>
      </c>
      <c r="B445" s="5">
        <v>45466</v>
      </c>
      <c r="C445" s="5" t="str">
        <f t="shared" si="12"/>
        <v>Jun</v>
      </c>
      <c r="D445" s="2" t="s">
        <v>404</v>
      </c>
      <c r="E445" s="2" t="s">
        <v>37</v>
      </c>
      <c r="F445" s="2" t="s">
        <v>69</v>
      </c>
      <c r="G445" s="2" t="s">
        <v>64</v>
      </c>
      <c r="H445" s="2" t="s">
        <v>114</v>
      </c>
      <c r="I445" s="13">
        <v>10</v>
      </c>
      <c r="J445" s="10">
        <v>320</v>
      </c>
      <c r="K445" s="10">
        <f t="shared" si="13"/>
        <v>3200</v>
      </c>
      <c r="L445" s="2">
        <v>0</v>
      </c>
      <c r="M445" s="2" t="s">
        <v>17</v>
      </c>
      <c r="N445" s="2" t="s">
        <v>143</v>
      </c>
    </row>
    <row r="446" spans="1:14" x14ac:dyDescent="0.2">
      <c r="A446" s="13">
        <v>100982</v>
      </c>
      <c r="B446" s="5">
        <v>45348</v>
      </c>
      <c r="C446" s="5" t="str">
        <f t="shared" si="12"/>
        <v>Feb</v>
      </c>
      <c r="D446" s="2" t="s">
        <v>521</v>
      </c>
      <c r="E446" s="2" t="s">
        <v>27</v>
      </c>
      <c r="F446" s="2" t="s">
        <v>133</v>
      </c>
      <c r="G446" s="2" t="s">
        <v>64</v>
      </c>
      <c r="H446" s="2" t="s">
        <v>114</v>
      </c>
      <c r="I446" s="13">
        <v>1</v>
      </c>
      <c r="J446" s="10">
        <v>475.17</v>
      </c>
      <c r="K446" s="10">
        <f t="shared" si="13"/>
        <v>475.17</v>
      </c>
      <c r="L446" s="2">
        <v>0</v>
      </c>
      <c r="M446" s="2" t="s">
        <v>17</v>
      </c>
      <c r="N446" s="2" t="s">
        <v>87</v>
      </c>
    </row>
    <row r="447" spans="1:14" x14ac:dyDescent="0.2">
      <c r="A447" s="13">
        <v>101637</v>
      </c>
      <c r="B447" s="5">
        <v>45314</v>
      </c>
      <c r="C447" s="5" t="str">
        <f t="shared" si="12"/>
        <v>Jan</v>
      </c>
      <c r="D447" s="2" t="s">
        <v>403</v>
      </c>
      <c r="E447" s="2" t="s">
        <v>61</v>
      </c>
      <c r="F447" s="2" t="s">
        <v>119</v>
      </c>
      <c r="G447" s="2" t="s">
        <v>45</v>
      </c>
      <c r="H447" s="2" t="s">
        <v>97</v>
      </c>
      <c r="I447" s="13">
        <v>7</v>
      </c>
      <c r="J447" s="10">
        <v>5655.33</v>
      </c>
      <c r="K447" s="10">
        <f t="shared" si="13"/>
        <v>39587.31</v>
      </c>
      <c r="L447" s="2">
        <v>0</v>
      </c>
      <c r="M447" s="2" t="s">
        <v>83</v>
      </c>
      <c r="N447" s="2" t="s">
        <v>143</v>
      </c>
    </row>
    <row r="448" spans="1:14" x14ac:dyDescent="0.2">
      <c r="A448" s="13">
        <v>101180</v>
      </c>
      <c r="B448" s="5">
        <v>45365</v>
      </c>
      <c r="C448" s="5" t="str">
        <f t="shared" si="12"/>
        <v>Mar</v>
      </c>
      <c r="D448" s="2" t="s">
        <v>228</v>
      </c>
      <c r="E448" s="2" t="s">
        <v>140</v>
      </c>
      <c r="F448" s="2" t="s">
        <v>49</v>
      </c>
      <c r="G448" s="2" t="s">
        <v>33</v>
      </c>
      <c r="H448" s="2" t="s">
        <v>93</v>
      </c>
      <c r="I448" s="13">
        <v>5</v>
      </c>
      <c r="J448" s="10">
        <v>488.18</v>
      </c>
      <c r="K448" s="10">
        <f t="shared" si="13"/>
        <v>2440.9</v>
      </c>
      <c r="L448" s="2">
        <v>0.05</v>
      </c>
      <c r="M448" s="2" t="s">
        <v>17</v>
      </c>
      <c r="N448" s="2" t="s">
        <v>35</v>
      </c>
    </row>
    <row r="449" spans="1:14" x14ac:dyDescent="0.2">
      <c r="A449" s="13">
        <v>101129</v>
      </c>
      <c r="B449" s="5">
        <v>45326</v>
      </c>
      <c r="C449" s="5" t="str">
        <f t="shared" si="12"/>
        <v>Feb</v>
      </c>
      <c r="D449" s="2" t="s">
        <v>326</v>
      </c>
      <c r="E449" s="2" t="s">
        <v>31</v>
      </c>
      <c r="F449" s="2" t="s">
        <v>54</v>
      </c>
      <c r="G449" s="2" t="s">
        <v>22</v>
      </c>
      <c r="H449" s="2" t="s">
        <v>141</v>
      </c>
      <c r="I449" s="13">
        <v>2</v>
      </c>
      <c r="J449" s="10">
        <v>834.35</v>
      </c>
      <c r="K449" s="10">
        <f t="shared" si="13"/>
        <v>1668.7</v>
      </c>
      <c r="L449" s="2">
        <v>0</v>
      </c>
      <c r="M449" s="2" t="s">
        <v>66</v>
      </c>
      <c r="N449" s="2" t="s">
        <v>18</v>
      </c>
    </row>
    <row r="450" spans="1:14" x14ac:dyDescent="0.2">
      <c r="A450" s="13">
        <v>100026</v>
      </c>
      <c r="B450" s="5">
        <v>45565</v>
      </c>
      <c r="C450" s="5" t="str">
        <f t="shared" ref="C450:C513" si="14">TEXT(B450,"mmm")</f>
        <v>Sep</v>
      </c>
      <c r="D450" s="2" t="s">
        <v>362</v>
      </c>
      <c r="E450" s="2" t="s">
        <v>61</v>
      </c>
      <c r="F450" s="2" t="s">
        <v>14</v>
      </c>
      <c r="G450" s="2" t="s">
        <v>15</v>
      </c>
      <c r="H450" s="2" t="s">
        <v>116</v>
      </c>
      <c r="I450" s="13">
        <v>7</v>
      </c>
      <c r="J450" s="10">
        <v>13169.77</v>
      </c>
      <c r="K450" s="10">
        <f t="shared" ref="K450:K513" si="15">I450*J450</f>
        <v>92188.39</v>
      </c>
      <c r="L450" s="2">
        <v>0</v>
      </c>
      <c r="M450" s="2" t="s">
        <v>41</v>
      </c>
      <c r="N450" s="2" t="s">
        <v>25</v>
      </c>
    </row>
    <row r="451" spans="1:14" x14ac:dyDescent="0.2">
      <c r="A451" s="13">
        <v>100644</v>
      </c>
      <c r="B451" s="5">
        <v>45526</v>
      </c>
      <c r="C451" s="5" t="str">
        <f t="shared" si="14"/>
        <v>Aug</v>
      </c>
      <c r="D451" s="2" t="s">
        <v>1069</v>
      </c>
      <c r="E451" s="2" t="s">
        <v>61</v>
      </c>
      <c r="F451" s="2" t="s">
        <v>119</v>
      </c>
      <c r="G451" s="2" t="s">
        <v>64</v>
      </c>
      <c r="H451" s="2" t="s">
        <v>242</v>
      </c>
      <c r="I451" s="13">
        <v>8</v>
      </c>
      <c r="J451" s="10">
        <v>94.21</v>
      </c>
      <c r="K451" s="10">
        <f t="shared" si="15"/>
        <v>753.68</v>
      </c>
      <c r="L451" s="2">
        <v>0.1</v>
      </c>
      <c r="M451" s="2" t="s">
        <v>66</v>
      </c>
      <c r="N451" s="2" t="s">
        <v>143</v>
      </c>
    </row>
    <row r="452" spans="1:14" x14ac:dyDescent="0.2">
      <c r="A452" s="13">
        <v>101478</v>
      </c>
      <c r="B452" s="5">
        <v>45518</v>
      </c>
      <c r="C452" s="5" t="str">
        <f t="shared" si="14"/>
        <v>Aug</v>
      </c>
      <c r="D452" s="2" t="s">
        <v>522</v>
      </c>
      <c r="E452" s="2" t="s">
        <v>37</v>
      </c>
      <c r="F452" s="2" t="s">
        <v>69</v>
      </c>
      <c r="G452" s="2" t="s">
        <v>33</v>
      </c>
      <c r="H452" s="2" t="s">
        <v>34</v>
      </c>
      <c r="I452" s="13">
        <v>1</v>
      </c>
      <c r="J452" s="10">
        <v>253.95</v>
      </c>
      <c r="K452" s="10">
        <f t="shared" si="15"/>
        <v>253.95</v>
      </c>
      <c r="L452" s="2">
        <v>0.15</v>
      </c>
      <c r="M452" s="2" t="s">
        <v>83</v>
      </c>
      <c r="N452" s="2" t="s">
        <v>143</v>
      </c>
    </row>
    <row r="453" spans="1:14" x14ac:dyDescent="0.2">
      <c r="A453" s="13">
        <v>101091</v>
      </c>
      <c r="B453" s="5">
        <v>45328</v>
      </c>
      <c r="C453" s="5" t="str">
        <f t="shared" si="14"/>
        <v>Feb</v>
      </c>
      <c r="D453" s="2" t="s">
        <v>463</v>
      </c>
      <c r="E453" s="2" t="s">
        <v>140</v>
      </c>
      <c r="F453" s="2" t="s">
        <v>79</v>
      </c>
      <c r="G453" s="2" t="s">
        <v>22</v>
      </c>
      <c r="H453" s="2" t="s">
        <v>23</v>
      </c>
      <c r="I453" s="13">
        <v>3</v>
      </c>
      <c r="J453" s="10">
        <v>602.29999999999995</v>
      </c>
      <c r="K453" s="10">
        <f t="shared" si="15"/>
        <v>1806.8999999999999</v>
      </c>
      <c r="L453" s="2">
        <v>0.05</v>
      </c>
      <c r="M453" s="2" t="s">
        <v>29</v>
      </c>
      <c r="N453" s="2" t="s">
        <v>35</v>
      </c>
    </row>
    <row r="454" spans="1:14" x14ac:dyDescent="0.2">
      <c r="A454" s="13">
        <v>101810</v>
      </c>
      <c r="B454" s="5">
        <v>45434</v>
      </c>
      <c r="C454" s="5" t="str">
        <f t="shared" si="14"/>
        <v>May</v>
      </c>
      <c r="D454" s="2" t="s">
        <v>1053</v>
      </c>
      <c r="E454" s="2" t="s">
        <v>140</v>
      </c>
      <c r="F454" s="2" t="s">
        <v>49</v>
      </c>
      <c r="G454" s="2" t="s">
        <v>22</v>
      </c>
      <c r="H454" s="2" t="s">
        <v>145</v>
      </c>
      <c r="I454" s="13">
        <v>9</v>
      </c>
      <c r="J454" s="10">
        <v>2506.7600000000002</v>
      </c>
      <c r="K454" s="10">
        <f t="shared" si="15"/>
        <v>22560.840000000004</v>
      </c>
      <c r="L454" s="2">
        <v>0.25</v>
      </c>
      <c r="M454" s="2" t="s">
        <v>17</v>
      </c>
      <c r="N454" s="2" t="s">
        <v>42</v>
      </c>
    </row>
    <row r="455" spans="1:14" x14ac:dyDescent="0.2">
      <c r="A455" s="13">
        <v>100116</v>
      </c>
      <c r="B455" s="5">
        <v>45647</v>
      </c>
      <c r="C455" s="5" t="str">
        <f t="shared" si="14"/>
        <v>Dec</v>
      </c>
      <c r="D455" s="2" t="s">
        <v>274</v>
      </c>
      <c r="E455" s="2" t="s">
        <v>37</v>
      </c>
      <c r="F455" s="2" t="s">
        <v>69</v>
      </c>
      <c r="G455" s="2" t="s">
        <v>64</v>
      </c>
      <c r="H455" s="2" t="s">
        <v>292</v>
      </c>
      <c r="I455" s="13">
        <v>4</v>
      </c>
      <c r="J455" s="10">
        <v>165.71</v>
      </c>
      <c r="K455" s="10">
        <f t="shared" si="15"/>
        <v>662.84</v>
      </c>
      <c r="L455" s="2">
        <v>0.2</v>
      </c>
      <c r="M455" s="2" t="s">
        <v>24</v>
      </c>
      <c r="N455" s="2" t="s">
        <v>18</v>
      </c>
    </row>
    <row r="456" spans="1:14" x14ac:dyDescent="0.2">
      <c r="A456" s="13">
        <v>100025</v>
      </c>
      <c r="B456" s="5">
        <v>45586</v>
      </c>
      <c r="C456" s="5" t="str">
        <f t="shared" si="14"/>
        <v>Oct</v>
      </c>
      <c r="D456" s="2" t="s">
        <v>180</v>
      </c>
      <c r="E456" s="2" t="s">
        <v>27</v>
      </c>
      <c r="F456" s="2" t="s">
        <v>21</v>
      </c>
      <c r="G456" s="2" t="s">
        <v>33</v>
      </c>
      <c r="H456" s="2" t="s">
        <v>34</v>
      </c>
      <c r="I456" s="13">
        <v>1</v>
      </c>
      <c r="J456" s="10">
        <v>266.47000000000003</v>
      </c>
      <c r="K456" s="10">
        <f t="shared" si="15"/>
        <v>266.47000000000003</v>
      </c>
      <c r="L456" s="2">
        <v>0</v>
      </c>
      <c r="M456" s="2" t="s">
        <v>24</v>
      </c>
      <c r="N456" s="2" t="s">
        <v>25</v>
      </c>
    </row>
    <row r="457" spans="1:14" x14ac:dyDescent="0.2">
      <c r="A457" s="13">
        <v>100371</v>
      </c>
      <c r="B457" s="5">
        <v>45612</v>
      </c>
      <c r="C457" s="5" t="str">
        <f t="shared" si="14"/>
        <v>Nov</v>
      </c>
      <c r="D457" s="2" t="s">
        <v>351</v>
      </c>
      <c r="E457" s="2" t="s">
        <v>27</v>
      </c>
      <c r="F457" s="2" t="s">
        <v>21</v>
      </c>
      <c r="G457" s="2" t="s">
        <v>15</v>
      </c>
      <c r="H457" s="2" t="s">
        <v>205</v>
      </c>
      <c r="I457" s="13">
        <v>11</v>
      </c>
      <c r="J457" s="10">
        <v>9572.17</v>
      </c>
      <c r="K457" s="10">
        <f t="shared" si="15"/>
        <v>105293.87</v>
      </c>
      <c r="L457" s="2">
        <v>0</v>
      </c>
      <c r="M457" s="2" t="s">
        <v>83</v>
      </c>
      <c r="N457" s="2" t="s">
        <v>143</v>
      </c>
    </row>
    <row r="458" spans="1:14" x14ac:dyDescent="0.2">
      <c r="A458" s="13">
        <v>101802</v>
      </c>
      <c r="B458" s="5">
        <v>45330</v>
      </c>
      <c r="C458" s="5" t="str">
        <f t="shared" si="14"/>
        <v>Feb</v>
      </c>
      <c r="D458" s="2" t="s">
        <v>271</v>
      </c>
      <c r="E458" s="2" t="s">
        <v>31</v>
      </c>
      <c r="F458" s="2" t="s">
        <v>54</v>
      </c>
      <c r="G458" s="2" t="s">
        <v>22</v>
      </c>
      <c r="H458" s="2" t="s">
        <v>23</v>
      </c>
      <c r="I458" s="13">
        <v>5</v>
      </c>
      <c r="J458" s="10">
        <v>1690.88</v>
      </c>
      <c r="K458" s="10">
        <f t="shared" si="15"/>
        <v>8454.4000000000015</v>
      </c>
      <c r="L458" s="2">
        <v>0.05</v>
      </c>
      <c r="M458" s="2" t="s">
        <v>83</v>
      </c>
      <c r="N458" s="2" t="s">
        <v>121</v>
      </c>
    </row>
    <row r="459" spans="1:14" x14ac:dyDescent="0.2">
      <c r="A459" s="13">
        <v>100705</v>
      </c>
      <c r="B459" s="5">
        <v>45406</v>
      </c>
      <c r="C459" s="5" t="str">
        <f t="shared" si="14"/>
        <v>Apr</v>
      </c>
      <c r="D459" s="2" t="s">
        <v>526</v>
      </c>
      <c r="E459" s="2" t="s">
        <v>140</v>
      </c>
      <c r="F459" s="2" t="s">
        <v>49</v>
      </c>
      <c r="G459" s="2" t="s">
        <v>22</v>
      </c>
      <c r="H459" s="2" t="s">
        <v>145</v>
      </c>
      <c r="I459" s="13">
        <v>1</v>
      </c>
      <c r="J459" s="10">
        <v>1331.76</v>
      </c>
      <c r="K459" s="10">
        <f t="shared" si="15"/>
        <v>1331.76</v>
      </c>
      <c r="L459" s="2">
        <v>0.1</v>
      </c>
      <c r="M459" s="2" t="s">
        <v>41</v>
      </c>
      <c r="N459" s="2" t="s">
        <v>18</v>
      </c>
    </row>
    <row r="460" spans="1:14" x14ac:dyDescent="0.2">
      <c r="A460" s="13">
        <v>101624</v>
      </c>
      <c r="B460" s="5">
        <v>45350</v>
      </c>
      <c r="C460" s="5" t="str">
        <f t="shared" si="14"/>
        <v>Feb</v>
      </c>
      <c r="D460" s="2" t="s">
        <v>88</v>
      </c>
      <c r="E460" s="2" t="s">
        <v>27</v>
      </c>
      <c r="F460" s="2" t="s">
        <v>133</v>
      </c>
      <c r="G460" s="2" t="s">
        <v>33</v>
      </c>
      <c r="H460" s="2" t="s">
        <v>34</v>
      </c>
      <c r="I460" s="13">
        <v>11</v>
      </c>
      <c r="J460" s="10">
        <v>550.49</v>
      </c>
      <c r="K460" s="10">
        <f t="shared" si="15"/>
        <v>6055.39</v>
      </c>
      <c r="L460" s="2">
        <v>0.15</v>
      </c>
      <c r="M460" s="2" t="s">
        <v>41</v>
      </c>
      <c r="N460" s="2" t="s">
        <v>18</v>
      </c>
    </row>
    <row r="461" spans="1:14" x14ac:dyDescent="0.2">
      <c r="A461" s="13">
        <v>100454</v>
      </c>
      <c r="B461" s="5">
        <v>45339</v>
      </c>
      <c r="C461" s="5" t="str">
        <f t="shared" si="14"/>
        <v>Feb</v>
      </c>
      <c r="D461" s="2" t="s">
        <v>281</v>
      </c>
      <c r="E461" s="2" t="s">
        <v>61</v>
      </c>
      <c r="F461" s="2" t="s">
        <v>119</v>
      </c>
      <c r="G461" s="2" t="s">
        <v>64</v>
      </c>
      <c r="H461" s="2" t="s">
        <v>40</v>
      </c>
      <c r="I461" s="13">
        <v>9</v>
      </c>
      <c r="J461" s="10">
        <v>521.03</v>
      </c>
      <c r="K461" s="10">
        <f t="shared" si="15"/>
        <v>4689.2699999999995</v>
      </c>
      <c r="L461" s="2">
        <v>0</v>
      </c>
      <c r="M461" s="2" t="s">
        <v>41</v>
      </c>
      <c r="N461" s="2" t="s">
        <v>42</v>
      </c>
    </row>
    <row r="462" spans="1:14" x14ac:dyDescent="0.2">
      <c r="A462" s="13">
        <v>100097</v>
      </c>
      <c r="B462" s="5">
        <v>45403</v>
      </c>
      <c r="C462" s="5" t="str">
        <f t="shared" si="14"/>
        <v>Apr</v>
      </c>
      <c r="D462" s="2" t="s">
        <v>528</v>
      </c>
      <c r="E462" s="2" t="s">
        <v>140</v>
      </c>
      <c r="F462" s="2" t="s">
        <v>49</v>
      </c>
      <c r="G462" s="2" t="s">
        <v>106</v>
      </c>
      <c r="H462" s="2" t="s">
        <v>156</v>
      </c>
      <c r="I462" s="13">
        <v>10</v>
      </c>
      <c r="J462" s="10">
        <v>4329.4399999999996</v>
      </c>
      <c r="K462" s="10">
        <f t="shared" si="15"/>
        <v>43294.399999999994</v>
      </c>
      <c r="L462" s="2">
        <v>0.25</v>
      </c>
      <c r="M462" s="2" t="s">
        <v>24</v>
      </c>
      <c r="N462" s="2" t="s">
        <v>18</v>
      </c>
    </row>
    <row r="463" spans="1:14" x14ac:dyDescent="0.2">
      <c r="A463" s="13">
        <v>101877</v>
      </c>
      <c r="B463" s="5">
        <v>45502</v>
      </c>
      <c r="C463" s="5" t="str">
        <f t="shared" si="14"/>
        <v>Jul</v>
      </c>
      <c r="D463" s="2" t="s">
        <v>529</v>
      </c>
      <c r="E463" s="2" t="s">
        <v>37</v>
      </c>
      <c r="F463" s="2" t="s">
        <v>38</v>
      </c>
      <c r="G463" s="2" t="s">
        <v>50</v>
      </c>
      <c r="H463" s="2" t="s">
        <v>56</v>
      </c>
      <c r="I463" s="13">
        <v>10</v>
      </c>
      <c r="J463" s="10">
        <v>6062.27</v>
      </c>
      <c r="K463" s="10">
        <f t="shared" si="15"/>
        <v>60622.700000000004</v>
      </c>
      <c r="L463" s="2">
        <v>0.05</v>
      </c>
      <c r="M463" s="2" t="s">
        <v>66</v>
      </c>
      <c r="N463" s="2" t="s">
        <v>18</v>
      </c>
    </row>
    <row r="464" spans="1:14" x14ac:dyDescent="0.2">
      <c r="A464" s="13">
        <v>101819</v>
      </c>
      <c r="B464" s="5">
        <v>45401</v>
      </c>
      <c r="C464" s="5" t="str">
        <f t="shared" si="14"/>
        <v>Apr</v>
      </c>
      <c r="D464" s="2" t="s">
        <v>147</v>
      </c>
      <c r="E464" s="2" t="s">
        <v>61</v>
      </c>
      <c r="F464" s="2" t="s">
        <v>14</v>
      </c>
      <c r="G464" s="2" t="s">
        <v>45</v>
      </c>
      <c r="H464" s="2" t="s">
        <v>149</v>
      </c>
      <c r="I464" s="13">
        <v>6</v>
      </c>
      <c r="J464" s="10">
        <v>32778.36</v>
      </c>
      <c r="K464" s="10">
        <f t="shared" si="15"/>
        <v>196670.16</v>
      </c>
      <c r="L464" s="2">
        <v>0.05</v>
      </c>
      <c r="M464" s="2" t="s">
        <v>83</v>
      </c>
      <c r="N464" s="2" t="s">
        <v>25</v>
      </c>
    </row>
    <row r="465" spans="1:14" x14ac:dyDescent="0.2">
      <c r="A465" s="13">
        <v>101468</v>
      </c>
      <c r="B465" s="5">
        <v>45648</v>
      </c>
      <c r="C465" s="5" t="str">
        <f t="shared" si="14"/>
        <v>Dec</v>
      </c>
      <c r="D465" s="2" t="s">
        <v>530</v>
      </c>
      <c r="E465" s="2" t="s">
        <v>27</v>
      </c>
      <c r="F465" s="2" t="s">
        <v>133</v>
      </c>
      <c r="G465" s="2" t="s">
        <v>106</v>
      </c>
      <c r="H465" s="2" t="s">
        <v>137</v>
      </c>
      <c r="I465" s="13">
        <v>2</v>
      </c>
      <c r="J465" s="10">
        <v>1242.56</v>
      </c>
      <c r="K465" s="10">
        <f t="shared" si="15"/>
        <v>2485.12</v>
      </c>
      <c r="L465" s="2">
        <v>0</v>
      </c>
      <c r="M465" s="2" t="s">
        <v>83</v>
      </c>
      <c r="N465" s="2" t="s">
        <v>52</v>
      </c>
    </row>
    <row r="466" spans="1:14" x14ac:dyDescent="0.2">
      <c r="A466" s="13">
        <v>100100</v>
      </c>
      <c r="B466" s="5">
        <v>45493</v>
      </c>
      <c r="C466" s="5" t="str">
        <f t="shared" si="14"/>
        <v>Jul</v>
      </c>
      <c r="D466" s="2" t="s">
        <v>449</v>
      </c>
      <c r="E466" s="2" t="s">
        <v>37</v>
      </c>
      <c r="F466" s="2" t="s">
        <v>69</v>
      </c>
      <c r="G466" s="2" t="s">
        <v>50</v>
      </c>
      <c r="H466" s="2" t="s">
        <v>62</v>
      </c>
      <c r="I466" s="13">
        <v>3</v>
      </c>
      <c r="J466" s="10">
        <v>1790.77</v>
      </c>
      <c r="K466" s="10">
        <f t="shared" si="15"/>
        <v>5372.3099999999995</v>
      </c>
      <c r="L466" s="2">
        <v>0</v>
      </c>
      <c r="M466" s="2" t="s">
        <v>83</v>
      </c>
      <c r="N466" s="2" t="s">
        <v>35</v>
      </c>
    </row>
    <row r="467" spans="1:14" x14ac:dyDescent="0.2">
      <c r="A467" s="13">
        <v>101529</v>
      </c>
      <c r="B467" s="5">
        <v>45491</v>
      </c>
      <c r="C467" s="5" t="str">
        <f t="shared" si="14"/>
        <v>Jul</v>
      </c>
      <c r="D467" s="2" t="s">
        <v>531</v>
      </c>
      <c r="E467" s="2" t="s">
        <v>140</v>
      </c>
      <c r="F467" s="2" t="s">
        <v>79</v>
      </c>
      <c r="G467" s="2" t="s">
        <v>22</v>
      </c>
      <c r="H467" s="2" t="s">
        <v>232</v>
      </c>
      <c r="I467" s="13">
        <v>3</v>
      </c>
      <c r="J467" s="10">
        <v>1039.47</v>
      </c>
      <c r="K467" s="10">
        <f t="shared" si="15"/>
        <v>3118.41</v>
      </c>
      <c r="L467" s="2">
        <v>0.15</v>
      </c>
      <c r="M467" s="2" t="s">
        <v>66</v>
      </c>
      <c r="N467" s="2" t="s">
        <v>52</v>
      </c>
    </row>
    <row r="468" spans="1:14" x14ac:dyDescent="0.2">
      <c r="A468" s="13">
        <v>101516</v>
      </c>
      <c r="B468" s="5">
        <v>45569</v>
      </c>
      <c r="C468" s="5" t="str">
        <f t="shared" si="14"/>
        <v>Oct</v>
      </c>
      <c r="D468" s="2" t="s">
        <v>490</v>
      </c>
      <c r="E468" s="2" t="s">
        <v>140</v>
      </c>
      <c r="F468" s="2" t="s">
        <v>49</v>
      </c>
      <c r="G468" s="2" t="s">
        <v>50</v>
      </c>
      <c r="H468" s="2" t="s">
        <v>56</v>
      </c>
      <c r="I468" s="13">
        <v>1</v>
      </c>
      <c r="J468" s="10">
        <v>9666.98</v>
      </c>
      <c r="K468" s="10">
        <f t="shared" si="15"/>
        <v>9666.98</v>
      </c>
      <c r="L468" s="2">
        <v>0</v>
      </c>
      <c r="M468" s="2" t="s">
        <v>29</v>
      </c>
      <c r="N468" s="2" t="s">
        <v>87</v>
      </c>
    </row>
    <row r="469" spans="1:14" x14ac:dyDescent="0.2">
      <c r="A469" s="13">
        <v>101966</v>
      </c>
      <c r="B469" s="5">
        <v>45332</v>
      </c>
      <c r="C469" s="5" t="str">
        <f t="shared" si="14"/>
        <v>Feb</v>
      </c>
      <c r="D469" s="2" t="s">
        <v>266</v>
      </c>
      <c r="E469" s="2" t="s">
        <v>27</v>
      </c>
      <c r="F469" s="2" t="s">
        <v>133</v>
      </c>
      <c r="G469" s="2" t="s">
        <v>15</v>
      </c>
      <c r="H469" s="2" t="s">
        <v>16</v>
      </c>
      <c r="I469" s="13">
        <v>1</v>
      </c>
      <c r="J469" s="10">
        <v>16488.099999999999</v>
      </c>
      <c r="K469" s="10">
        <f t="shared" si="15"/>
        <v>16488.099999999999</v>
      </c>
      <c r="L469" s="2">
        <v>0.25</v>
      </c>
      <c r="M469" s="2" t="s">
        <v>83</v>
      </c>
      <c r="N469" s="2" t="s">
        <v>143</v>
      </c>
    </row>
    <row r="470" spans="1:14" x14ac:dyDescent="0.2">
      <c r="A470" s="13">
        <v>100358</v>
      </c>
      <c r="B470" s="5">
        <v>45326</v>
      </c>
      <c r="C470" s="5" t="str">
        <f t="shared" si="14"/>
        <v>Feb</v>
      </c>
      <c r="D470" s="2" t="s">
        <v>533</v>
      </c>
      <c r="E470" s="2" t="s">
        <v>37</v>
      </c>
      <c r="F470" s="2" t="s">
        <v>38</v>
      </c>
      <c r="G470" s="2" t="s">
        <v>50</v>
      </c>
      <c r="H470" s="2" t="s">
        <v>56</v>
      </c>
      <c r="I470" s="13">
        <v>5</v>
      </c>
      <c r="J470" s="10">
        <v>9600.1</v>
      </c>
      <c r="K470" s="10">
        <f t="shared" si="15"/>
        <v>48000.5</v>
      </c>
      <c r="L470" s="2">
        <v>0.25</v>
      </c>
      <c r="M470" s="2" t="s">
        <v>83</v>
      </c>
      <c r="N470" s="2" t="s">
        <v>25</v>
      </c>
    </row>
    <row r="471" spans="1:14" x14ac:dyDescent="0.2">
      <c r="A471" s="13">
        <v>100858</v>
      </c>
      <c r="B471" s="5">
        <v>45476</v>
      </c>
      <c r="C471" s="5" t="str">
        <f t="shared" si="14"/>
        <v>Jul</v>
      </c>
      <c r="D471" s="2" t="s">
        <v>343</v>
      </c>
      <c r="E471" s="2" t="s">
        <v>140</v>
      </c>
      <c r="F471" s="2" t="s">
        <v>49</v>
      </c>
      <c r="G471" s="2" t="s">
        <v>45</v>
      </c>
      <c r="H471" s="2" t="s">
        <v>153</v>
      </c>
      <c r="I471" s="13">
        <v>11</v>
      </c>
      <c r="J471" s="10">
        <v>35198.720000000001</v>
      </c>
      <c r="K471" s="10">
        <f t="shared" si="15"/>
        <v>387185.92000000004</v>
      </c>
      <c r="L471" s="2">
        <v>0.1</v>
      </c>
      <c r="M471" s="2" t="s">
        <v>83</v>
      </c>
      <c r="N471" s="2" t="s">
        <v>121</v>
      </c>
    </row>
    <row r="472" spans="1:14" x14ac:dyDescent="0.2">
      <c r="A472" s="13">
        <v>100594</v>
      </c>
      <c r="B472" s="5">
        <v>45384</v>
      </c>
      <c r="C472" s="5" t="str">
        <f t="shared" si="14"/>
        <v>Apr</v>
      </c>
      <c r="D472" s="2" t="s">
        <v>402</v>
      </c>
      <c r="E472" s="2" t="s">
        <v>37</v>
      </c>
      <c r="F472" s="2" t="s">
        <v>69</v>
      </c>
      <c r="G472" s="2" t="s">
        <v>106</v>
      </c>
      <c r="H472" s="2" t="s">
        <v>156</v>
      </c>
      <c r="I472" s="13">
        <v>12</v>
      </c>
      <c r="J472" s="10">
        <v>3579.71</v>
      </c>
      <c r="K472" s="10">
        <f t="shared" si="15"/>
        <v>42956.520000000004</v>
      </c>
      <c r="L472" s="2">
        <v>0</v>
      </c>
      <c r="M472" s="2" t="s">
        <v>17</v>
      </c>
      <c r="N472" s="2" t="s">
        <v>18</v>
      </c>
    </row>
    <row r="473" spans="1:14" x14ac:dyDescent="0.2">
      <c r="A473" s="13">
        <v>101878</v>
      </c>
      <c r="B473" s="5">
        <v>45300</v>
      </c>
      <c r="C473" s="5" t="str">
        <f t="shared" si="14"/>
        <v>Jan</v>
      </c>
      <c r="D473" s="2" t="s">
        <v>534</v>
      </c>
      <c r="E473" s="2" t="s">
        <v>37</v>
      </c>
      <c r="F473" s="2" t="s">
        <v>38</v>
      </c>
      <c r="G473" s="2" t="s">
        <v>33</v>
      </c>
      <c r="H473" s="2" t="s">
        <v>81</v>
      </c>
      <c r="I473" s="13">
        <v>3</v>
      </c>
      <c r="J473" s="10">
        <v>597.69000000000005</v>
      </c>
      <c r="K473" s="10">
        <f t="shared" si="15"/>
        <v>1793.0700000000002</v>
      </c>
      <c r="L473" s="2">
        <v>0</v>
      </c>
      <c r="M473" s="2" t="s">
        <v>17</v>
      </c>
      <c r="N473" s="2" t="s">
        <v>25</v>
      </c>
    </row>
    <row r="474" spans="1:14" x14ac:dyDescent="0.2">
      <c r="A474" s="13">
        <v>101160</v>
      </c>
      <c r="B474" s="5">
        <v>45475</v>
      </c>
      <c r="C474" s="5" t="str">
        <f t="shared" si="14"/>
        <v>Jul</v>
      </c>
      <c r="D474" s="2" t="s">
        <v>159</v>
      </c>
      <c r="E474" s="2" t="s">
        <v>140</v>
      </c>
      <c r="F474" s="2" t="s">
        <v>79</v>
      </c>
      <c r="G474" s="2" t="s">
        <v>15</v>
      </c>
      <c r="H474" s="2" t="s">
        <v>205</v>
      </c>
      <c r="I474" s="13">
        <v>-2</v>
      </c>
      <c r="J474" s="10">
        <v>14700.93</v>
      </c>
      <c r="K474" s="10">
        <f t="shared" si="15"/>
        <v>-29401.86</v>
      </c>
      <c r="L474" s="2">
        <v>0</v>
      </c>
      <c r="M474" s="2" t="s">
        <v>41</v>
      </c>
      <c r="N474" s="2" t="s">
        <v>143</v>
      </c>
    </row>
    <row r="475" spans="1:14" x14ac:dyDescent="0.2">
      <c r="A475" s="13">
        <v>101626</v>
      </c>
      <c r="B475" s="5">
        <v>45360</v>
      </c>
      <c r="C475" s="5" t="str">
        <f t="shared" si="14"/>
        <v>Mar</v>
      </c>
      <c r="D475" s="2" t="s">
        <v>115</v>
      </c>
      <c r="E475" s="2" t="s">
        <v>27</v>
      </c>
      <c r="F475" s="2" t="s">
        <v>21</v>
      </c>
      <c r="G475" s="2" t="s">
        <v>22</v>
      </c>
      <c r="H475" s="2" t="s">
        <v>141</v>
      </c>
      <c r="I475" s="13">
        <v>1</v>
      </c>
      <c r="J475" s="10">
        <v>892.67</v>
      </c>
      <c r="K475" s="10">
        <f t="shared" si="15"/>
        <v>892.67</v>
      </c>
      <c r="L475" s="2">
        <v>0</v>
      </c>
      <c r="M475" s="2" t="s">
        <v>29</v>
      </c>
      <c r="N475" s="2" t="s">
        <v>35</v>
      </c>
    </row>
    <row r="476" spans="1:14" x14ac:dyDescent="0.2">
      <c r="A476" s="13">
        <v>100587</v>
      </c>
      <c r="B476" s="5">
        <v>45320</v>
      </c>
      <c r="C476" s="5" t="str">
        <f t="shared" si="14"/>
        <v>Jan</v>
      </c>
      <c r="D476" s="2" t="s">
        <v>177</v>
      </c>
      <c r="E476" s="2" t="s">
        <v>37</v>
      </c>
      <c r="F476" s="2" t="s">
        <v>69</v>
      </c>
      <c r="G476" s="2" t="s">
        <v>22</v>
      </c>
      <c r="H476" s="2" t="s">
        <v>141</v>
      </c>
      <c r="I476" s="13">
        <v>8</v>
      </c>
      <c r="J476" s="10">
        <v>1434.54</v>
      </c>
      <c r="K476" s="10">
        <f t="shared" si="15"/>
        <v>11476.32</v>
      </c>
      <c r="L476" s="2">
        <v>0.2</v>
      </c>
      <c r="M476" s="2" t="s">
        <v>41</v>
      </c>
      <c r="N476" s="2" t="s">
        <v>42</v>
      </c>
    </row>
    <row r="477" spans="1:14" x14ac:dyDescent="0.2">
      <c r="A477" s="13">
        <v>101893</v>
      </c>
      <c r="B477" s="5">
        <v>45427</v>
      </c>
      <c r="C477" s="5" t="str">
        <f t="shared" si="14"/>
        <v>May</v>
      </c>
      <c r="D477" s="2" t="s">
        <v>536</v>
      </c>
      <c r="E477" s="2" t="s">
        <v>140</v>
      </c>
      <c r="F477" s="2" t="s">
        <v>79</v>
      </c>
      <c r="G477" s="2" t="s">
        <v>33</v>
      </c>
      <c r="H477" s="2" t="s">
        <v>34</v>
      </c>
      <c r="I477" s="13">
        <v>7</v>
      </c>
      <c r="J477" s="10">
        <v>462.31</v>
      </c>
      <c r="K477" s="10">
        <f t="shared" si="15"/>
        <v>3236.17</v>
      </c>
      <c r="L477" s="2">
        <v>0.2</v>
      </c>
      <c r="M477" s="2" t="s">
        <v>83</v>
      </c>
      <c r="N477" s="2" t="s">
        <v>52</v>
      </c>
    </row>
    <row r="478" spans="1:14" x14ac:dyDescent="0.2">
      <c r="A478" s="13">
        <v>101833</v>
      </c>
      <c r="B478" s="5">
        <v>45650</v>
      </c>
      <c r="C478" s="5" t="str">
        <f t="shared" si="14"/>
        <v>Dec</v>
      </c>
      <c r="D478" s="2" t="s">
        <v>537</v>
      </c>
      <c r="E478" s="2" t="s">
        <v>140</v>
      </c>
      <c r="F478" s="2" t="s">
        <v>49</v>
      </c>
      <c r="G478" s="2" t="s">
        <v>64</v>
      </c>
      <c r="H478" s="2" t="s">
        <v>242</v>
      </c>
      <c r="I478" s="13">
        <v>2</v>
      </c>
      <c r="J478" s="10">
        <v>145.19999999999999</v>
      </c>
      <c r="K478" s="10">
        <f t="shared" si="15"/>
        <v>290.39999999999998</v>
      </c>
      <c r="L478" s="2">
        <v>0</v>
      </c>
      <c r="M478" s="2" t="s">
        <v>17</v>
      </c>
      <c r="N478" s="2" t="s">
        <v>52</v>
      </c>
    </row>
    <row r="479" spans="1:14" x14ac:dyDescent="0.2">
      <c r="A479" s="13">
        <v>100770</v>
      </c>
      <c r="B479" s="5">
        <v>45395</v>
      </c>
      <c r="C479" s="5" t="str">
        <f t="shared" si="14"/>
        <v>Apr</v>
      </c>
      <c r="D479" s="2" t="s">
        <v>362</v>
      </c>
      <c r="E479" s="2" t="s">
        <v>37</v>
      </c>
      <c r="F479" s="2" t="s">
        <v>69</v>
      </c>
      <c r="G479" s="2" t="s">
        <v>106</v>
      </c>
      <c r="H479" s="2" t="s">
        <v>135</v>
      </c>
      <c r="I479" s="13">
        <v>4</v>
      </c>
      <c r="J479" s="10">
        <v>768.63</v>
      </c>
      <c r="K479" s="10">
        <f t="shared" si="15"/>
        <v>3074.52</v>
      </c>
      <c r="L479" s="2">
        <v>0.15</v>
      </c>
      <c r="M479" s="2" t="s">
        <v>41</v>
      </c>
      <c r="N479" s="2" t="s">
        <v>35</v>
      </c>
    </row>
    <row r="480" spans="1:14" x14ac:dyDescent="0.2">
      <c r="A480" s="13">
        <v>100271</v>
      </c>
      <c r="B480" s="5">
        <v>45378</v>
      </c>
      <c r="C480" s="5" t="str">
        <f t="shared" si="14"/>
        <v>Mar</v>
      </c>
      <c r="D480" s="2" t="s">
        <v>494</v>
      </c>
      <c r="E480" s="2" t="s">
        <v>31</v>
      </c>
      <c r="F480" s="2" t="s">
        <v>54</v>
      </c>
      <c r="G480" s="2" t="s">
        <v>64</v>
      </c>
      <c r="H480" s="2" t="s">
        <v>165</v>
      </c>
      <c r="I480" s="13">
        <v>10</v>
      </c>
      <c r="J480" s="10">
        <v>295.83</v>
      </c>
      <c r="K480" s="10">
        <f t="shared" si="15"/>
        <v>2958.2999999999997</v>
      </c>
      <c r="L480" s="2">
        <v>0.1</v>
      </c>
      <c r="M480" s="2" t="s">
        <v>83</v>
      </c>
      <c r="N480" s="2" t="s">
        <v>35</v>
      </c>
    </row>
    <row r="481" spans="1:14" x14ac:dyDescent="0.2">
      <c r="A481" s="13">
        <v>100119</v>
      </c>
      <c r="B481" s="5">
        <v>45639</v>
      </c>
      <c r="C481" s="5" t="str">
        <f t="shared" si="14"/>
        <v>Dec</v>
      </c>
      <c r="D481" s="2" t="s">
        <v>539</v>
      </c>
      <c r="E481" s="2" t="s">
        <v>61</v>
      </c>
      <c r="F481" s="2" t="s">
        <v>14</v>
      </c>
      <c r="G481" s="2" t="s">
        <v>50</v>
      </c>
      <c r="H481" s="2" t="s">
        <v>207</v>
      </c>
      <c r="I481" s="13">
        <v>9</v>
      </c>
      <c r="J481" s="10">
        <v>1017.08</v>
      </c>
      <c r="K481" s="10">
        <f t="shared" si="15"/>
        <v>9153.7200000000012</v>
      </c>
      <c r="L481" s="2">
        <v>0.05</v>
      </c>
      <c r="M481" s="2" t="s">
        <v>24</v>
      </c>
      <c r="N481" s="2" t="s">
        <v>87</v>
      </c>
    </row>
    <row r="482" spans="1:14" x14ac:dyDescent="0.2">
      <c r="A482" s="13">
        <v>100118</v>
      </c>
      <c r="B482" s="5">
        <v>45596</v>
      </c>
      <c r="C482" s="5" t="str">
        <f t="shared" si="14"/>
        <v>Oct</v>
      </c>
      <c r="D482" s="2" t="s">
        <v>540</v>
      </c>
      <c r="E482" s="2" t="s">
        <v>31</v>
      </c>
      <c r="F482" s="2" t="s">
        <v>54</v>
      </c>
      <c r="G482" s="2" t="s">
        <v>106</v>
      </c>
      <c r="H482" s="2" t="s">
        <v>103</v>
      </c>
      <c r="I482" s="13">
        <v>7</v>
      </c>
      <c r="J482" s="10">
        <v>2637.47</v>
      </c>
      <c r="K482" s="10">
        <f t="shared" si="15"/>
        <v>18462.289999999997</v>
      </c>
      <c r="L482" s="2">
        <v>0.15</v>
      </c>
      <c r="M482" s="2" t="s">
        <v>29</v>
      </c>
      <c r="N482" s="2" t="s">
        <v>143</v>
      </c>
    </row>
    <row r="483" spans="1:14" x14ac:dyDescent="0.2">
      <c r="A483" s="13">
        <v>101296</v>
      </c>
      <c r="B483" s="5">
        <v>45468</v>
      </c>
      <c r="C483" s="5" t="str">
        <f t="shared" si="14"/>
        <v>Jun</v>
      </c>
      <c r="D483" s="2" t="s">
        <v>541</v>
      </c>
      <c r="E483" s="2" t="s">
        <v>37</v>
      </c>
      <c r="F483" s="2" t="s">
        <v>38</v>
      </c>
      <c r="G483" s="2" t="s">
        <v>64</v>
      </c>
      <c r="H483" s="2" t="s">
        <v>165</v>
      </c>
      <c r="I483" s="13">
        <v>3</v>
      </c>
      <c r="J483" s="10">
        <v>538.35</v>
      </c>
      <c r="K483" s="10">
        <f t="shared" si="15"/>
        <v>1615.0500000000002</v>
      </c>
      <c r="L483" s="2">
        <v>0.05</v>
      </c>
      <c r="M483" s="2" t="s">
        <v>24</v>
      </c>
      <c r="N483" s="2" t="s">
        <v>52</v>
      </c>
    </row>
    <row r="484" spans="1:14" x14ac:dyDescent="0.2">
      <c r="A484" s="13">
        <v>101934</v>
      </c>
      <c r="B484" s="5">
        <v>45535</v>
      </c>
      <c r="C484" s="5" t="str">
        <f t="shared" si="14"/>
        <v>Aug</v>
      </c>
      <c r="D484" s="2" t="s">
        <v>542</v>
      </c>
      <c r="E484" s="2" t="s">
        <v>31</v>
      </c>
      <c r="F484" s="2" t="s">
        <v>32</v>
      </c>
      <c r="G484" s="2" t="s">
        <v>106</v>
      </c>
      <c r="H484" s="2" t="s">
        <v>137</v>
      </c>
      <c r="I484" s="13">
        <v>11</v>
      </c>
      <c r="J484" s="10">
        <v>1457.41</v>
      </c>
      <c r="K484" s="10">
        <f t="shared" si="15"/>
        <v>16031.51</v>
      </c>
      <c r="L484" s="2">
        <v>0</v>
      </c>
      <c r="M484" s="2" t="s">
        <v>17</v>
      </c>
      <c r="N484" s="2" t="s">
        <v>52</v>
      </c>
    </row>
    <row r="485" spans="1:14" x14ac:dyDescent="0.2">
      <c r="A485" s="13">
        <v>101941</v>
      </c>
      <c r="B485" s="5">
        <v>45482</v>
      </c>
      <c r="C485" s="5" t="str">
        <f t="shared" si="14"/>
        <v>Jul</v>
      </c>
      <c r="D485" s="2" t="s">
        <v>426</v>
      </c>
      <c r="E485" s="2" t="s">
        <v>27</v>
      </c>
      <c r="F485" s="2" t="s">
        <v>21</v>
      </c>
      <c r="G485" s="2" t="s">
        <v>45</v>
      </c>
      <c r="H485" s="2" t="s">
        <v>111</v>
      </c>
      <c r="I485" s="13">
        <v>10</v>
      </c>
      <c r="J485" s="10">
        <v>20237.580000000002</v>
      </c>
      <c r="K485" s="10">
        <f t="shared" si="15"/>
        <v>202375.80000000002</v>
      </c>
      <c r="L485" s="2">
        <v>0</v>
      </c>
      <c r="M485" s="2" t="s">
        <v>41</v>
      </c>
      <c r="N485" s="2" t="s">
        <v>42</v>
      </c>
    </row>
    <row r="486" spans="1:14" x14ac:dyDescent="0.2">
      <c r="A486" s="13">
        <v>100699</v>
      </c>
      <c r="B486" s="5">
        <v>45358</v>
      </c>
      <c r="C486" s="5" t="str">
        <f t="shared" si="14"/>
        <v>Mar</v>
      </c>
      <c r="D486" s="2" t="s">
        <v>314</v>
      </c>
      <c r="E486" s="2" t="s">
        <v>31</v>
      </c>
      <c r="F486" s="2" t="s">
        <v>54</v>
      </c>
      <c r="G486" s="2" t="s">
        <v>50</v>
      </c>
      <c r="H486" s="2" t="s">
        <v>99</v>
      </c>
      <c r="I486" s="13">
        <v>8</v>
      </c>
      <c r="J486" s="10">
        <v>5299.6</v>
      </c>
      <c r="K486" s="10">
        <f t="shared" si="15"/>
        <v>42396.800000000003</v>
      </c>
      <c r="L486" s="2">
        <v>0.25</v>
      </c>
      <c r="M486" s="2" t="s">
        <v>41</v>
      </c>
      <c r="N486" s="2" t="s">
        <v>52</v>
      </c>
    </row>
    <row r="487" spans="1:14" x14ac:dyDescent="0.2">
      <c r="A487" s="13">
        <v>101016</v>
      </c>
      <c r="B487" s="5">
        <v>45534</v>
      </c>
      <c r="C487" s="5" t="str">
        <f t="shared" si="14"/>
        <v>Aug</v>
      </c>
      <c r="D487" s="2" t="s">
        <v>204</v>
      </c>
      <c r="E487" s="2" t="s">
        <v>31</v>
      </c>
      <c r="F487" s="2" t="s">
        <v>54</v>
      </c>
      <c r="G487" s="2" t="s">
        <v>33</v>
      </c>
      <c r="H487" s="2" t="s">
        <v>81</v>
      </c>
      <c r="I487" s="13">
        <v>1</v>
      </c>
      <c r="J487" s="10">
        <v>369.82</v>
      </c>
      <c r="K487" s="10">
        <f t="shared" si="15"/>
        <v>369.82</v>
      </c>
      <c r="L487" s="2">
        <v>0</v>
      </c>
      <c r="M487" s="2" t="s">
        <v>83</v>
      </c>
      <c r="N487" s="2" t="s">
        <v>121</v>
      </c>
    </row>
    <row r="488" spans="1:14" x14ac:dyDescent="0.2">
      <c r="A488" s="13">
        <v>101530</v>
      </c>
      <c r="B488" s="5">
        <v>45388</v>
      </c>
      <c r="C488" s="5" t="str">
        <f t="shared" si="14"/>
        <v>Apr</v>
      </c>
      <c r="D488" s="2" t="s">
        <v>543</v>
      </c>
      <c r="E488" s="2" t="s">
        <v>61</v>
      </c>
      <c r="F488" s="2" t="s">
        <v>119</v>
      </c>
      <c r="G488" s="2" t="s">
        <v>64</v>
      </c>
      <c r="H488" s="2" t="s">
        <v>114</v>
      </c>
      <c r="I488" s="13">
        <v>-2</v>
      </c>
      <c r="J488" s="10">
        <v>357.67</v>
      </c>
      <c r="K488" s="10">
        <f t="shared" si="15"/>
        <v>-715.34</v>
      </c>
      <c r="L488" s="2">
        <v>0.05</v>
      </c>
      <c r="M488" s="2" t="s">
        <v>83</v>
      </c>
      <c r="N488" s="2" t="s">
        <v>42</v>
      </c>
    </row>
    <row r="489" spans="1:14" x14ac:dyDescent="0.2">
      <c r="A489" s="13">
        <v>101245</v>
      </c>
      <c r="B489" s="5">
        <v>45609</v>
      </c>
      <c r="C489" s="5" t="str">
        <f t="shared" si="14"/>
        <v>Nov</v>
      </c>
      <c r="D489" s="2" t="s">
        <v>286</v>
      </c>
      <c r="E489" s="2" t="s">
        <v>61</v>
      </c>
      <c r="F489" s="2" t="s">
        <v>14</v>
      </c>
      <c r="G489" s="2" t="s">
        <v>15</v>
      </c>
      <c r="H489" s="2" t="s">
        <v>152</v>
      </c>
      <c r="I489" s="13">
        <v>7</v>
      </c>
      <c r="J489" s="10">
        <v>13277.65</v>
      </c>
      <c r="K489" s="10">
        <f t="shared" si="15"/>
        <v>92943.55</v>
      </c>
      <c r="L489" s="2">
        <v>0</v>
      </c>
      <c r="M489" s="2" t="s">
        <v>41</v>
      </c>
      <c r="N489" s="2" t="s">
        <v>25</v>
      </c>
    </row>
    <row r="490" spans="1:14" x14ac:dyDescent="0.2">
      <c r="A490" s="13">
        <v>100165</v>
      </c>
      <c r="B490" s="5">
        <v>45627</v>
      </c>
      <c r="C490" s="5" t="str">
        <f t="shared" si="14"/>
        <v>Dec</v>
      </c>
      <c r="D490" s="2" t="s">
        <v>544</v>
      </c>
      <c r="E490" s="2" t="s">
        <v>37</v>
      </c>
      <c r="F490" s="2" t="s">
        <v>69</v>
      </c>
      <c r="G490" s="2" t="s">
        <v>15</v>
      </c>
      <c r="H490" s="2" t="s">
        <v>16</v>
      </c>
      <c r="I490" s="13">
        <v>10</v>
      </c>
      <c r="J490" s="10">
        <v>19605.91</v>
      </c>
      <c r="K490" s="10">
        <f t="shared" si="15"/>
        <v>196059.1</v>
      </c>
      <c r="L490" s="2">
        <v>0</v>
      </c>
      <c r="M490" s="2" t="s">
        <v>29</v>
      </c>
      <c r="N490" s="2" t="s">
        <v>143</v>
      </c>
    </row>
    <row r="491" spans="1:14" x14ac:dyDescent="0.2">
      <c r="A491" s="13">
        <v>100603</v>
      </c>
      <c r="B491" s="5">
        <v>45435</v>
      </c>
      <c r="C491" s="5" t="str">
        <f t="shared" si="14"/>
        <v>May</v>
      </c>
      <c r="D491" s="2" t="s">
        <v>545</v>
      </c>
      <c r="E491" s="2" t="s">
        <v>140</v>
      </c>
      <c r="F491" s="2" t="s">
        <v>49</v>
      </c>
      <c r="G491" s="2" t="s">
        <v>64</v>
      </c>
      <c r="H491" s="2" t="s">
        <v>242</v>
      </c>
      <c r="I491" s="13">
        <v>8</v>
      </c>
      <c r="J491" s="10">
        <v>584.41</v>
      </c>
      <c r="K491" s="10">
        <f t="shared" si="15"/>
        <v>4675.28</v>
      </c>
      <c r="L491" s="2">
        <v>0.1</v>
      </c>
      <c r="M491" s="2" t="s">
        <v>83</v>
      </c>
      <c r="N491" s="2" t="s">
        <v>18</v>
      </c>
    </row>
    <row r="492" spans="1:14" x14ac:dyDescent="0.2">
      <c r="A492" s="13">
        <v>101984</v>
      </c>
      <c r="B492" s="5">
        <v>45628</v>
      </c>
      <c r="C492" s="5" t="str">
        <f t="shared" si="14"/>
        <v>Dec</v>
      </c>
      <c r="D492" s="2" t="s">
        <v>408</v>
      </c>
      <c r="E492" s="2" t="s">
        <v>140</v>
      </c>
      <c r="F492" s="2" t="s">
        <v>79</v>
      </c>
      <c r="G492" s="2" t="s">
        <v>22</v>
      </c>
      <c r="H492" s="2" t="s">
        <v>232</v>
      </c>
      <c r="I492" s="13">
        <v>1</v>
      </c>
      <c r="J492" s="10">
        <v>588.57000000000005</v>
      </c>
      <c r="K492" s="10">
        <f t="shared" si="15"/>
        <v>588.57000000000005</v>
      </c>
      <c r="L492" s="2">
        <v>0</v>
      </c>
      <c r="M492" s="2" t="s">
        <v>17</v>
      </c>
      <c r="N492" s="2" t="s">
        <v>143</v>
      </c>
    </row>
    <row r="493" spans="1:14" x14ac:dyDescent="0.2">
      <c r="A493" s="13">
        <v>101897</v>
      </c>
      <c r="B493" s="5">
        <v>45569</v>
      </c>
      <c r="C493" s="5" t="str">
        <f t="shared" si="14"/>
        <v>Oct</v>
      </c>
      <c r="D493" s="2" t="s">
        <v>546</v>
      </c>
      <c r="E493" s="2" t="s">
        <v>140</v>
      </c>
      <c r="F493" s="2" t="s">
        <v>49</v>
      </c>
      <c r="G493" s="2" t="s">
        <v>45</v>
      </c>
      <c r="H493" s="2" t="s">
        <v>97</v>
      </c>
      <c r="I493" s="13">
        <v>11</v>
      </c>
      <c r="J493" s="10">
        <v>30515.08</v>
      </c>
      <c r="K493" s="10">
        <f t="shared" si="15"/>
        <v>335665.88</v>
      </c>
      <c r="L493" s="2">
        <v>0.25</v>
      </c>
      <c r="M493" s="2" t="s">
        <v>66</v>
      </c>
      <c r="N493" s="2" t="s">
        <v>121</v>
      </c>
    </row>
    <row r="494" spans="1:14" x14ac:dyDescent="0.2">
      <c r="A494" s="13">
        <v>100466</v>
      </c>
      <c r="B494" s="5">
        <v>45402</v>
      </c>
      <c r="C494" s="5" t="str">
        <f t="shared" si="14"/>
        <v>Apr</v>
      </c>
      <c r="D494" s="2" t="s">
        <v>547</v>
      </c>
      <c r="E494" s="2" t="s">
        <v>31</v>
      </c>
      <c r="F494" s="2" t="s">
        <v>32</v>
      </c>
      <c r="G494" s="2" t="s">
        <v>64</v>
      </c>
      <c r="H494" s="2" t="s">
        <v>40</v>
      </c>
      <c r="I494" s="13">
        <v>12</v>
      </c>
      <c r="J494" s="10">
        <v>0</v>
      </c>
      <c r="K494" s="10">
        <f t="shared" si="15"/>
        <v>0</v>
      </c>
      <c r="L494" s="2">
        <v>0</v>
      </c>
      <c r="M494" s="2" t="s">
        <v>41</v>
      </c>
      <c r="N494" s="2" t="s">
        <v>18</v>
      </c>
    </row>
    <row r="495" spans="1:14" x14ac:dyDescent="0.2">
      <c r="A495" s="13">
        <v>101171</v>
      </c>
      <c r="B495" s="5">
        <v>45329</v>
      </c>
      <c r="C495" s="5" t="str">
        <f t="shared" si="14"/>
        <v>Feb</v>
      </c>
      <c r="D495" s="2" t="s">
        <v>304</v>
      </c>
      <c r="E495" s="2" t="s">
        <v>31</v>
      </c>
      <c r="F495" s="2" t="s">
        <v>32</v>
      </c>
      <c r="G495" s="2" t="s">
        <v>64</v>
      </c>
      <c r="H495" s="2" t="s">
        <v>242</v>
      </c>
      <c r="I495" s="13">
        <v>2</v>
      </c>
      <c r="J495" s="10">
        <v>0</v>
      </c>
      <c r="K495" s="10">
        <f t="shared" si="15"/>
        <v>0</v>
      </c>
      <c r="L495" s="2">
        <v>0</v>
      </c>
      <c r="M495" s="2" t="s">
        <v>17</v>
      </c>
      <c r="N495" s="2" t="s">
        <v>35</v>
      </c>
    </row>
    <row r="496" spans="1:14" x14ac:dyDescent="0.2">
      <c r="A496" s="13">
        <v>100502</v>
      </c>
      <c r="B496" s="5">
        <v>45363</v>
      </c>
      <c r="C496" s="5" t="str">
        <f t="shared" si="14"/>
        <v>Mar</v>
      </c>
      <c r="D496" s="2" t="s">
        <v>475</v>
      </c>
      <c r="E496" s="2" t="s">
        <v>31</v>
      </c>
      <c r="F496" s="2" t="s">
        <v>32</v>
      </c>
      <c r="G496" s="2" t="s">
        <v>45</v>
      </c>
      <c r="H496" s="2" t="s">
        <v>71</v>
      </c>
      <c r="I496" s="13">
        <v>1</v>
      </c>
      <c r="J496" s="10">
        <v>6725.5</v>
      </c>
      <c r="K496" s="10">
        <f t="shared" si="15"/>
        <v>6725.5</v>
      </c>
      <c r="L496" s="2">
        <v>0.25</v>
      </c>
      <c r="M496" s="2" t="s">
        <v>83</v>
      </c>
      <c r="N496" s="2" t="s">
        <v>42</v>
      </c>
    </row>
    <row r="497" spans="1:14" x14ac:dyDescent="0.2">
      <c r="A497" s="13">
        <v>100143</v>
      </c>
      <c r="B497" s="5">
        <v>45459</v>
      </c>
      <c r="C497" s="5" t="str">
        <f t="shared" si="14"/>
        <v>Jun</v>
      </c>
      <c r="D497" s="2" t="s">
        <v>224</v>
      </c>
      <c r="E497" s="2" t="s">
        <v>61</v>
      </c>
      <c r="F497" s="2" t="s">
        <v>119</v>
      </c>
      <c r="G497" s="2" t="s">
        <v>64</v>
      </c>
      <c r="H497" s="2" t="s">
        <v>40</v>
      </c>
      <c r="I497" s="13">
        <v>11</v>
      </c>
      <c r="J497" s="10">
        <v>275.26</v>
      </c>
      <c r="K497" s="10">
        <f t="shared" si="15"/>
        <v>3027.8599999999997</v>
      </c>
      <c r="L497" s="2">
        <v>0</v>
      </c>
      <c r="M497" s="2" t="s">
        <v>41</v>
      </c>
      <c r="N497" s="2" t="s">
        <v>52</v>
      </c>
    </row>
    <row r="498" spans="1:14" x14ac:dyDescent="0.2">
      <c r="A498" s="13">
        <v>101200</v>
      </c>
      <c r="B498" s="5">
        <v>45308</v>
      </c>
      <c r="C498" s="5" t="str">
        <f t="shared" si="14"/>
        <v>Jan</v>
      </c>
      <c r="D498" s="2" t="s">
        <v>550</v>
      </c>
      <c r="E498" s="2" t="s">
        <v>37</v>
      </c>
      <c r="F498" s="2" t="s">
        <v>38</v>
      </c>
      <c r="G498" s="2" t="s">
        <v>45</v>
      </c>
      <c r="H498" s="2" t="s">
        <v>149</v>
      </c>
      <c r="I498" s="13">
        <v>12</v>
      </c>
      <c r="J498" s="10">
        <v>33917.14</v>
      </c>
      <c r="K498" s="10">
        <f t="shared" si="15"/>
        <v>407005.68</v>
      </c>
      <c r="L498" s="2">
        <v>0</v>
      </c>
      <c r="M498" s="2" t="s">
        <v>29</v>
      </c>
      <c r="N498" s="2" t="s">
        <v>52</v>
      </c>
    </row>
    <row r="499" spans="1:14" x14ac:dyDescent="0.2">
      <c r="A499" s="13">
        <v>100114</v>
      </c>
      <c r="B499" s="5">
        <v>45578</v>
      </c>
      <c r="C499" s="5" t="str">
        <f t="shared" si="14"/>
        <v>Oct</v>
      </c>
      <c r="D499" s="2" t="s">
        <v>463</v>
      </c>
      <c r="E499" s="2" t="s">
        <v>31</v>
      </c>
      <c r="F499" s="2" t="s">
        <v>54</v>
      </c>
      <c r="G499" s="2" t="s">
        <v>45</v>
      </c>
      <c r="H499" s="2" t="s">
        <v>149</v>
      </c>
      <c r="I499" s="13"/>
      <c r="J499" s="10">
        <v>16895.27</v>
      </c>
      <c r="K499" s="10">
        <f t="shared" si="15"/>
        <v>0</v>
      </c>
      <c r="L499" s="2">
        <v>0</v>
      </c>
      <c r="M499" s="2" t="s">
        <v>17</v>
      </c>
      <c r="N499" s="2" t="s">
        <v>52</v>
      </c>
    </row>
    <row r="500" spans="1:14" x14ac:dyDescent="0.2">
      <c r="A500" s="13">
        <v>101086</v>
      </c>
      <c r="B500" s="5">
        <v>45459</v>
      </c>
      <c r="C500" s="5" t="str">
        <f t="shared" si="14"/>
        <v>Jun</v>
      </c>
      <c r="D500" s="2" t="s">
        <v>552</v>
      </c>
      <c r="E500" s="2" t="s">
        <v>27</v>
      </c>
      <c r="F500" s="2" t="s">
        <v>133</v>
      </c>
      <c r="G500" s="2" t="s">
        <v>64</v>
      </c>
      <c r="H500" s="2" t="s">
        <v>165</v>
      </c>
      <c r="I500" s="13">
        <v>1</v>
      </c>
      <c r="J500" s="10">
        <v>409.76</v>
      </c>
      <c r="K500" s="10">
        <f t="shared" si="15"/>
        <v>409.76</v>
      </c>
      <c r="L500" s="2">
        <v>0.1</v>
      </c>
      <c r="M500" s="2" t="s">
        <v>83</v>
      </c>
      <c r="N500" s="2" t="s">
        <v>18</v>
      </c>
    </row>
    <row r="501" spans="1:14" x14ac:dyDescent="0.2">
      <c r="A501" s="13">
        <v>100829</v>
      </c>
      <c r="B501" s="5">
        <v>45502</v>
      </c>
      <c r="C501" s="5" t="str">
        <f t="shared" si="14"/>
        <v>Jul</v>
      </c>
      <c r="D501" s="2" t="s">
        <v>554</v>
      </c>
      <c r="E501" s="2" t="s">
        <v>37</v>
      </c>
      <c r="F501" s="2" t="s">
        <v>69</v>
      </c>
      <c r="G501" s="2" t="s">
        <v>33</v>
      </c>
      <c r="H501" s="2" t="s">
        <v>81</v>
      </c>
      <c r="I501" s="13">
        <v>12</v>
      </c>
      <c r="J501" s="10">
        <v>94.63</v>
      </c>
      <c r="K501" s="10">
        <f t="shared" si="15"/>
        <v>1135.56</v>
      </c>
      <c r="L501" s="2">
        <v>0.2</v>
      </c>
      <c r="M501" s="2" t="s">
        <v>66</v>
      </c>
      <c r="N501" s="2" t="s">
        <v>143</v>
      </c>
    </row>
    <row r="502" spans="1:14" x14ac:dyDescent="0.2">
      <c r="A502" s="13">
        <v>100379</v>
      </c>
      <c r="B502" s="5">
        <v>45483</v>
      </c>
      <c r="C502" s="5" t="str">
        <f t="shared" si="14"/>
        <v>Jul</v>
      </c>
      <c r="D502" s="2" t="s">
        <v>555</v>
      </c>
      <c r="E502" s="2" t="s">
        <v>37</v>
      </c>
      <c r="F502" s="2" t="s">
        <v>38</v>
      </c>
      <c r="G502" s="2" t="s">
        <v>106</v>
      </c>
      <c r="H502" s="2" t="s">
        <v>103</v>
      </c>
      <c r="I502" s="13">
        <v>3</v>
      </c>
      <c r="J502" s="10">
        <v>4013.55</v>
      </c>
      <c r="K502" s="10">
        <f t="shared" si="15"/>
        <v>12040.650000000001</v>
      </c>
      <c r="L502" s="2">
        <v>0.05</v>
      </c>
      <c r="M502" s="2" t="s">
        <v>41</v>
      </c>
      <c r="N502" s="2" t="s">
        <v>42</v>
      </c>
    </row>
    <row r="503" spans="1:14" x14ac:dyDescent="0.2">
      <c r="A503" s="13">
        <v>100064</v>
      </c>
      <c r="B503" s="5">
        <v>45438</v>
      </c>
      <c r="C503" s="5" t="str">
        <f t="shared" si="14"/>
        <v>May</v>
      </c>
      <c r="D503" s="2" t="s">
        <v>358</v>
      </c>
      <c r="E503" s="2" t="s">
        <v>31</v>
      </c>
      <c r="F503" s="2" t="s">
        <v>54</v>
      </c>
      <c r="G503" s="2" t="s">
        <v>64</v>
      </c>
      <c r="H503" s="2" t="s">
        <v>165</v>
      </c>
      <c r="I503" s="13">
        <v>2</v>
      </c>
      <c r="J503" s="10">
        <v>726.88</v>
      </c>
      <c r="K503" s="10">
        <f t="shared" si="15"/>
        <v>1453.76</v>
      </c>
      <c r="L503" s="2">
        <v>0</v>
      </c>
      <c r="M503" s="2" t="s">
        <v>24</v>
      </c>
      <c r="N503" s="2" t="s">
        <v>143</v>
      </c>
    </row>
    <row r="504" spans="1:14" x14ac:dyDescent="0.2">
      <c r="A504" s="13">
        <v>100508</v>
      </c>
      <c r="B504" s="5">
        <v>45439</v>
      </c>
      <c r="C504" s="5" t="str">
        <f t="shared" si="14"/>
        <v>May</v>
      </c>
      <c r="D504" s="2" t="s">
        <v>557</v>
      </c>
      <c r="E504" s="2" t="s">
        <v>140</v>
      </c>
      <c r="F504" s="2" t="s">
        <v>49</v>
      </c>
      <c r="G504" s="2" t="s">
        <v>15</v>
      </c>
      <c r="H504" s="2" t="s">
        <v>16</v>
      </c>
      <c r="I504" s="13">
        <v>5</v>
      </c>
      <c r="J504" s="10">
        <v>14432.37</v>
      </c>
      <c r="K504" s="10">
        <f t="shared" si="15"/>
        <v>72161.850000000006</v>
      </c>
      <c r="L504" s="2">
        <v>0.15</v>
      </c>
      <c r="M504" s="2" t="s">
        <v>66</v>
      </c>
      <c r="N504" s="2" t="s">
        <v>52</v>
      </c>
    </row>
    <row r="505" spans="1:14" x14ac:dyDescent="0.2">
      <c r="A505" s="13">
        <v>101796</v>
      </c>
      <c r="B505" s="5">
        <v>45549</v>
      </c>
      <c r="C505" s="5" t="str">
        <f t="shared" si="14"/>
        <v>Sep</v>
      </c>
      <c r="D505" s="2" t="s">
        <v>422</v>
      </c>
      <c r="E505" s="2" t="s">
        <v>31</v>
      </c>
      <c r="F505" s="2" t="s">
        <v>32</v>
      </c>
      <c r="G505" s="2" t="s">
        <v>22</v>
      </c>
      <c r="H505" s="2" t="s">
        <v>141</v>
      </c>
      <c r="I505" s="13">
        <v>8</v>
      </c>
      <c r="J505" s="10">
        <v>3100.34</v>
      </c>
      <c r="K505" s="10">
        <f t="shared" si="15"/>
        <v>24802.720000000001</v>
      </c>
      <c r="L505" s="2">
        <v>0.2</v>
      </c>
      <c r="M505" s="2" t="s">
        <v>17</v>
      </c>
      <c r="N505" s="2" t="s">
        <v>18</v>
      </c>
    </row>
    <row r="506" spans="1:14" x14ac:dyDescent="0.2">
      <c r="A506" s="13">
        <v>100187</v>
      </c>
      <c r="B506" s="5">
        <v>45566</v>
      </c>
      <c r="C506" s="5" t="str">
        <f t="shared" si="14"/>
        <v>Oct</v>
      </c>
      <c r="D506" s="2" t="s">
        <v>372</v>
      </c>
      <c r="E506" s="2" t="s">
        <v>61</v>
      </c>
      <c r="F506" s="2" t="s">
        <v>14</v>
      </c>
      <c r="G506" s="2" t="s">
        <v>64</v>
      </c>
      <c r="H506" s="2" t="s">
        <v>292</v>
      </c>
      <c r="I506" s="13">
        <v>4</v>
      </c>
      <c r="J506" s="10">
        <v>354.37</v>
      </c>
      <c r="K506" s="10">
        <f t="shared" si="15"/>
        <v>1417.48</v>
      </c>
      <c r="L506" s="2">
        <v>0</v>
      </c>
      <c r="M506" s="2" t="s">
        <v>83</v>
      </c>
      <c r="N506" s="2" t="s">
        <v>18</v>
      </c>
    </row>
    <row r="507" spans="1:14" x14ac:dyDescent="0.2">
      <c r="A507" s="13">
        <v>101026</v>
      </c>
      <c r="B507" s="5">
        <v>45359</v>
      </c>
      <c r="C507" s="5" t="str">
        <f t="shared" si="14"/>
        <v>Mar</v>
      </c>
      <c r="D507" s="2" t="s">
        <v>1069</v>
      </c>
      <c r="E507" s="2" t="s">
        <v>27</v>
      </c>
      <c r="F507" s="2" t="s">
        <v>133</v>
      </c>
      <c r="G507" s="2" t="s">
        <v>33</v>
      </c>
      <c r="H507" s="2" t="s">
        <v>158</v>
      </c>
      <c r="I507" s="13">
        <v>5</v>
      </c>
      <c r="J507" s="10">
        <v>460.38</v>
      </c>
      <c r="K507" s="10">
        <f t="shared" si="15"/>
        <v>2301.9</v>
      </c>
      <c r="L507" s="2">
        <v>0</v>
      </c>
      <c r="M507" s="2" t="s">
        <v>29</v>
      </c>
      <c r="N507" s="2" t="s">
        <v>42</v>
      </c>
    </row>
    <row r="508" spans="1:14" x14ac:dyDescent="0.2">
      <c r="A508" s="13">
        <v>100507</v>
      </c>
      <c r="B508" s="5">
        <v>45516</v>
      </c>
      <c r="C508" s="5" t="str">
        <f t="shared" si="14"/>
        <v>Aug</v>
      </c>
      <c r="D508" s="2" t="s">
        <v>240</v>
      </c>
      <c r="E508" s="2" t="s">
        <v>61</v>
      </c>
      <c r="F508" s="2" t="s">
        <v>14</v>
      </c>
      <c r="G508" s="2" t="s">
        <v>15</v>
      </c>
      <c r="H508" s="2" t="s">
        <v>16</v>
      </c>
      <c r="I508" s="13">
        <v>8</v>
      </c>
      <c r="J508" s="10">
        <v>13412.04</v>
      </c>
      <c r="K508" s="10">
        <f t="shared" si="15"/>
        <v>107296.32000000001</v>
      </c>
      <c r="L508" s="2">
        <v>0</v>
      </c>
      <c r="M508" s="2" t="s">
        <v>17</v>
      </c>
      <c r="N508" s="2" t="s">
        <v>52</v>
      </c>
    </row>
    <row r="509" spans="1:14" x14ac:dyDescent="0.2">
      <c r="A509" s="13">
        <v>101514</v>
      </c>
      <c r="B509" s="5">
        <v>45351</v>
      </c>
      <c r="C509" s="5" t="str">
        <f t="shared" si="14"/>
        <v>Feb</v>
      </c>
      <c r="D509" s="2" t="s">
        <v>314</v>
      </c>
      <c r="E509" s="2" t="s">
        <v>27</v>
      </c>
      <c r="F509" s="2" t="s">
        <v>133</v>
      </c>
      <c r="G509" s="2" t="s">
        <v>22</v>
      </c>
      <c r="H509" s="2" t="s">
        <v>141</v>
      </c>
      <c r="I509" s="13">
        <v>11</v>
      </c>
      <c r="J509" s="10">
        <v>1824.62</v>
      </c>
      <c r="K509" s="10">
        <f t="shared" si="15"/>
        <v>20070.82</v>
      </c>
      <c r="L509" s="2">
        <v>0</v>
      </c>
      <c r="M509" s="2" t="s">
        <v>24</v>
      </c>
      <c r="N509" s="2" t="s">
        <v>18</v>
      </c>
    </row>
    <row r="510" spans="1:14" x14ac:dyDescent="0.2">
      <c r="A510" s="13">
        <v>101359</v>
      </c>
      <c r="B510" s="5">
        <v>45607</v>
      </c>
      <c r="C510" s="5" t="str">
        <f t="shared" si="14"/>
        <v>Nov</v>
      </c>
      <c r="D510" s="2" t="s">
        <v>60</v>
      </c>
      <c r="E510" s="2" t="s">
        <v>31</v>
      </c>
      <c r="F510" s="2" t="s">
        <v>32</v>
      </c>
      <c r="G510" s="2" t="s">
        <v>50</v>
      </c>
      <c r="H510" s="2" t="s">
        <v>99</v>
      </c>
      <c r="I510" s="13">
        <v>12</v>
      </c>
      <c r="J510" s="10">
        <v>10927.95</v>
      </c>
      <c r="K510" s="10">
        <f t="shared" si="15"/>
        <v>131135.40000000002</v>
      </c>
      <c r="L510" s="2">
        <v>0.1</v>
      </c>
      <c r="M510" s="2" t="s">
        <v>83</v>
      </c>
      <c r="N510" s="2" t="s">
        <v>18</v>
      </c>
    </row>
    <row r="511" spans="1:14" x14ac:dyDescent="0.2">
      <c r="A511" s="13">
        <v>100295</v>
      </c>
      <c r="B511" s="5">
        <v>45558</v>
      </c>
      <c r="C511" s="5" t="str">
        <f t="shared" si="14"/>
        <v>Sep</v>
      </c>
      <c r="D511" s="2" t="s">
        <v>445</v>
      </c>
      <c r="E511" s="2" t="s">
        <v>27</v>
      </c>
      <c r="F511" s="2" t="s">
        <v>21</v>
      </c>
      <c r="G511" s="2" t="s">
        <v>45</v>
      </c>
      <c r="H511" s="2" t="s">
        <v>46</v>
      </c>
      <c r="I511" s="13">
        <v>5</v>
      </c>
      <c r="J511" s="10">
        <v>14044.21</v>
      </c>
      <c r="K511" s="10">
        <f t="shared" si="15"/>
        <v>70221.049999999988</v>
      </c>
      <c r="L511" s="2">
        <v>0</v>
      </c>
      <c r="M511" s="2" t="s">
        <v>17</v>
      </c>
      <c r="N511" s="2" t="s">
        <v>35</v>
      </c>
    </row>
    <row r="512" spans="1:14" x14ac:dyDescent="0.2">
      <c r="A512" s="13">
        <v>100994</v>
      </c>
      <c r="B512" s="5">
        <v>45412</v>
      </c>
      <c r="C512" s="5" t="str">
        <f t="shared" si="14"/>
        <v>Apr</v>
      </c>
      <c r="D512" s="2" t="s">
        <v>560</v>
      </c>
      <c r="E512" s="2" t="s">
        <v>31</v>
      </c>
      <c r="F512" s="2" t="s">
        <v>32</v>
      </c>
      <c r="G512" s="2" t="s">
        <v>106</v>
      </c>
      <c r="H512" s="2" t="s">
        <v>135</v>
      </c>
      <c r="I512" s="13">
        <v>11</v>
      </c>
      <c r="J512" s="10">
        <v>1446.39</v>
      </c>
      <c r="K512" s="10">
        <f t="shared" si="15"/>
        <v>15910.29</v>
      </c>
      <c r="L512" s="2">
        <v>0.1</v>
      </c>
      <c r="M512" s="2" t="s">
        <v>66</v>
      </c>
      <c r="N512" s="2" t="s">
        <v>121</v>
      </c>
    </row>
    <row r="513" spans="1:14" x14ac:dyDescent="0.2">
      <c r="A513" s="13">
        <v>100316</v>
      </c>
      <c r="B513" s="5">
        <v>45315</v>
      </c>
      <c r="C513" s="5" t="str">
        <f t="shared" si="14"/>
        <v>Jan</v>
      </c>
      <c r="D513" s="2" t="s">
        <v>561</v>
      </c>
      <c r="E513" s="2" t="s">
        <v>61</v>
      </c>
      <c r="F513" s="2" t="s">
        <v>14</v>
      </c>
      <c r="G513" s="2" t="s">
        <v>106</v>
      </c>
      <c r="H513" s="2" t="s">
        <v>137</v>
      </c>
      <c r="I513" s="13">
        <v>10</v>
      </c>
      <c r="J513" s="10">
        <v>2065.54</v>
      </c>
      <c r="K513" s="10">
        <f t="shared" si="15"/>
        <v>20655.400000000001</v>
      </c>
      <c r="L513" s="2">
        <v>0</v>
      </c>
      <c r="M513" s="2" t="s">
        <v>41</v>
      </c>
      <c r="N513" s="2" t="s">
        <v>18</v>
      </c>
    </row>
    <row r="514" spans="1:14" x14ac:dyDescent="0.2">
      <c r="A514" s="13">
        <v>100131</v>
      </c>
      <c r="B514" s="5">
        <v>45409</v>
      </c>
      <c r="C514" s="5" t="str">
        <f t="shared" ref="C514:C577" si="16">TEXT(B514,"mmm")</f>
        <v>Apr</v>
      </c>
      <c r="D514" s="2" t="s">
        <v>562</v>
      </c>
      <c r="E514" s="2" t="s">
        <v>140</v>
      </c>
      <c r="F514" s="2" t="s">
        <v>79</v>
      </c>
      <c r="G514" s="2" t="s">
        <v>15</v>
      </c>
      <c r="H514" s="2" t="s">
        <v>152</v>
      </c>
      <c r="I514" s="13">
        <v>-2</v>
      </c>
      <c r="J514" s="10">
        <v>5052.1000000000004</v>
      </c>
      <c r="K514" s="10">
        <f t="shared" ref="K514:K577" si="17">I514*J514</f>
        <v>-10104.200000000001</v>
      </c>
      <c r="L514" s="2">
        <v>0.2</v>
      </c>
      <c r="M514" s="2" t="s">
        <v>83</v>
      </c>
      <c r="N514" s="2" t="s">
        <v>121</v>
      </c>
    </row>
    <row r="515" spans="1:14" x14ac:dyDescent="0.2">
      <c r="A515" s="13">
        <v>101462</v>
      </c>
      <c r="B515" s="5">
        <v>45334</v>
      </c>
      <c r="C515" s="5" t="str">
        <f t="shared" si="16"/>
        <v>Feb</v>
      </c>
      <c r="D515" s="2" t="s">
        <v>563</v>
      </c>
      <c r="E515" s="2" t="s">
        <v>37</v>
      </c>
      <c r="F515" s="2" t="s">
        <v>69</v>
      </c>
      <c r="G515" s="2" t="s">
        <v>106</v>
      </c>
      <c r="H515" s="2" t="s">
        <v>135</v>
      </c>
      <c r="I515" s="13">
        <v>6</v>
      </c>
      <c r="J515" s="10">
        <v>4405.05</v>
      </c>
      <c r="K515" s="10">
        <f t="shared" si="17"/>
        <v>26430.300000000003</v>
      </c>
      <c r="L515" s="2">
        <v>0.2</v>
      </c>
      <c r="M515" s="2" t="s">
        <v>83</v>
      </c>
      <c r="N515" s="2" t="s">
        <v>87</v>
      </c>
    </row>
    <row r="516" spans="1:14" x14ac:dyDescent="0.2">
      <c r="A516" s="13">
        <v>100190</v>
      </c>
      <c r="B516" s="5">
        <v>45522</v>
      </c>
      <c r="C516" s="5" t="str">
        <f t="shared" si="16"/>
        <v>Aug</v>
      </c>
      <c r="D516" s="2" t="s">
        <v>1069</v>
      </c>
      <c r="E516" s="2" t="s">
        <v>140</v>
      </c>
      <c r="F516" s="2" t="s">
        <v>79</v>
      </c>
      <c r="G516" s="2" t="s">
        <v>64</v>
      </c>
      <c r="H516" s="2" t="s">
        <v>165</v>
      </c>
      <c r="I516" s="13">
        <v>3</v>
      </c>
      <c r="J516" s="10">
        <v>82.2</v>
      </c>
      <c r="K516" s="10">
        <f t="shared" si="17"/>
        <v>246.60000000000002</v>
      </c>
      <c r="L516" s="2">
        <v>0.05</v>
      </c>
      <c r="M516" s="2" t="s">
        <v>66</v>
      </c>
      <c r="N516" s="2" t="s">
        <v>143</v>
      </c>
    </row>
    <row r="517" spans="1:14" x14ac:dyDescent="0.2">
      <c r="A517" s="13">
        <v>100028</v>
      </c>
      <c r="B517" s="5">
        <v>45602</v>
      </c>
      <c r="C517" s="5" t="str">
        <f t="shared" si="16"/>
        <v>Nov</v>
      </c>
      <c r="D517" s="2" t="s">
        <v>566</v>
      </c>
      <c r="E517" s="2" t="s">
        <v>140</v>
      </c>
      <c r="F517" s="2" t="s">
        <v>79</v>
      </c>
      <c r="G517" s="2" t="s">
        <v>50</v>
      </c>
      <c r="H517" s="2" t="s">
        <v>51</v>
      </c>
      <c r="I517" s="13">
        <v>10</v>
      </c>
      <c r="J517" s="10">
        <v>2591.44</v>
      </c>
      <c r="K517" s="10">
        <f t="shared" si="17"/>
        <v>25914.400000000001</v>
      </c>
      <c r="L517" s="2">
        <v>0.1</v>
      </c>
      <c r="M517" s="2" t="s">
        <v>41</v>
      </c>
      <c r="N517" s="2" t="s">
        <v>52</v>
      </c>
    </row>
    <row r="518" spans="1:14" x14ac:dyDescent="0.2">
      <c r="A518" s="13">
        <v>100862</v>
      </c>
      <c r="B518" s="5">
        <v>45382</v>
      </c>
      <c r="C518" s="5" t="str">
        <f t="shared" si="16"/>
        <v>Mar</v>
      </c>
      <c r="D518" s="2" t="s">
        <v>112</v>
      </c>
      <c r="E518" s="2" t="s">
        <v>37</v>
      </c>
      <c r="F518" s="2" t="s">
        <v>69</v>
      </c>
      <c r="G518" s="2" t="s">
        <v>45</v>
      </c>
      <c r="H518" s="2" t="s">
        <v>46</v>
      </c>
      <c r="I518" s="13">
        <v>4</v>
      </c>
      <c r="J518" s="10">
        <v>29072.3</v>
      </c>
      <c r="K518" s="10">
        <f t="shared" si="17"/>
        <v>116289.2</v>
      </c>
      <c r="L518" s="2">
        <v>0</v>
      </c>
      <c r="M518" s="2" t="s">
        <v>83</v>
      </c>
      <c r="N518" s="2" t="s">
        <v>18</v>
      </c>
    </row>
    <row r="519" spans="1:14" x14ac:dyDescent="0.2">
      <c r="A519" s="13">
        <v>100936</v>
      </c>
      <c r="B519" s="5">
        <v>45347</v>
      </c>
      <c r="C519" s="5" t="str">
        <f t="shared" si="16"/>
        <v>Feb</v>
      </c>
      <c r="D519" s="2" t="s">
        <v>567</v>
      </c>
      <c r="E519" s="2" t="s">
        <v>31</v>
      </c>
      <c r="F519" s="2" t="s">
        <v>32</v>
      </c>
      <c r="G519" s="2" t="s">
        <v>106</v>
      </c>
      <c r="H519" s="2" t="s">
        <v>137</v>
      </c>
      <c r="I519" s="13">
        <v>7</v>
      </c>
      <c r="J519" s="10">
        <v>4033.09</v>
      </c>
      <c r="K519" s="10">
        <f t="shared" si="17"/>
        <v>28231.63</v>
      </c>
      <c r="L519" s="2">
        <v>0.05</v>
      </c>
      <c r="M519" s="2" t="s">
        <v>17</v>
      </c>
      <c r="N519" s="2" t="s">
        <v>42</v>
      </c>
    </row>
    <row r="520" spans="1:14" x14ac:dyDescent="0.2">
      <c r="A520" s="13">
        <v>101169</v>
      </c>
      <c r="B520" s="5">
        <v>45480</v>
      </c>
      <c r="C520" s="5" t="str">
        <f t="shared" si="16"/>
        <v>Jul</v>
      </c>
      <c r="D520" s="2" t="s">
        <v>314</v>
      </c>
      <c r="E520" s="2" t="s">
        <v>31</v>
      </c>
      <c r="F520" s="2" t="s">
        <v>54</v>
      </c>
      <c r="G520" s="2" t="s">
        <v>106</v>
      </c>
      <c r="H520" s="2" t="s">
        <v>135</v>
      </c>
      <c r="I520" s="13">
        <v>1</v>
      </c>
      <c r="J520" s="10">
        <v>2334.14</v>
      </c>
      <c r="K520" s="10">
        <f t="shared" si="17"/>
        <v>2334.14</v>
      </c>
      <c r="L520" s="2">
        <v>0.2</v>
      </c>
      <c r="M520" s="2" t="s">
        <v>29</v>
      </c>
      <c r="N520" s="2" t="s">
        <v>121</v>
      </c>
    </row>
    <row r="521" spans="1:14" x14ac:dyDescent="0.2">
      <c r="A521" s="13">
        <v>101242</v>
      </c>
      <c r="B521" s="5">
        <v>45332</v>
      </c>
      <c r="C521" s="5" t="str">
        <f t="shared" si="16"/>
        <v>Feb</v>
      </c>
      <c r="D521" s="2" t="s">
        <v>304</v>
      </c>
      <c r="E521" s="2" t="s">
        <v>61</v>
      </c>
      <c r="F521" s="2" t="s">
        <v>14</v>
      </c>
      <c r="G521" s="2" t="s">
        <v>45</v>
      </c>
      <c r="H521" s="2" t="s">
        <v>71</v>
      </c>
      <c r="I521" s="13">
        <v>1</v>
      </c>
      <c r="J521" s="10">
        <v>25477.48</v>
      </c>
      <c r="K521" s="10">
        <f t="shared" si="17"/>
        <v>25477.48</v>
      </c>
      <c r="L521" s="2">
        <v>0.05</v>
      </c>
      <c r="M521" s="2" t="s">
        <v>29</v>
      </c>
      <c r="N521" s="2" t="s">
        <v>87</v>
      </c>
    </row>
    <row r="522" spans="1:14" x14ac:dyDescent="0.2">
      <c r="A522" s="13">
        <v>101794</v>
      </c>
      <c r="B522" s="5">
        <v>45381</v>
      </c>
      <c r="C522" s="5" t="str">
        <f t="shared" si="16"/>
        <v>Mar</v>
      </c>
      <c r="D522" s="2" t="s">
        <v>464</v>
      </c>
      <c r="E522" s="2" t="s">
        <v>31</v>
      </c>
      <c r="F522" s="2" t="s">
        <v>32</v>
      </c>
      <c r="G522" s="2" t="s">
        <v>64</v>
      </c>
      <c r="H522" s="2" t="s">
        <v>114</v>
      </c>
      <c r="I522" s="13">
        <v>10</v>
      </c>
      <c r="J522" s="10">
        <v>535.17999999999995</v>
      </c>
      <c r="K522" s="10">
        <f t="shared" si="17"/>
        <v>5351.7999999999993</v>
      </c>
      <c r="L522" s="2">
        <v>0.1</v>
      </c>
      <c r="M522" s="2" t="s">
        <v>24</v>
      </c>
      <c r="N522" s="2" t="s">
        <v>121</v>
      </c>
    </row>
    <row r="523" spans="1:14" x14ac:dyDescent="0.2">
      <c r="A523" s="13">
        <v>101471</v>
      </c>
      <c r="B523" s="5">
        <v>45419</v>
      </c>
      <c r="C523" s="5" t="str">
        <f t="shared" si="16"/>
        <v>May</v>
      </c>
      <c r="D523" s="2" t="s">
        <v>569</v>
      </c>
      <c r="E523" s="2" t="s">
        <v>61</v>
      </c>
      <c r="F523" s="2" t="s">
        <v>14</v>
      </c>
      <c r="G523" s="2" t="s">
        <v>22</v>
      </c>
      <c r="H523" s="2" t="s">
        <v>141</v>
      </c>
      <c r="I523" s="13">
        <v>4</v>
      </c>
      <c r="J523" s="10">
        <v>2920.74</v>
      </c>
      <c r="K523" s="10">
        <f t="shared" si="17"/>
        <v>11682.96</v>
      </c>
      <c r="L523" s="2">
        <v>0</v>
      </c>
      <c r="M523" s="2" t="s">
        <v>24</v>
      </c>
      <c r="N523" s="2" t="s">
        <v>87</v>
      </c>
    </row>
    <row r="524" spans="1:14" x14ac:dyDescent="0.2">
      <c r="A524" s="13">
        <v>101837</v>
      </c>
      <c r="B524" s="5">
        <v>45653</v>
      </c>
      <c r="C524" s="5" t="str">
        <f t="shared" si="16"/>
        <v>Dec</v>
      </c>
      <c r="D524" s="2" t="s">
        <v>463</v>
      </c>
      <c r="E524" s="2" t="s">
        <v>61</v>
      </c>
      <c r="F524" s="2" t="s">
        <v>14</v>
      </c>
      <c r="G524" s="2" t="s">
        <v>45</v>
      </c>
      <c r="H524" s="2" t="s">
        <v>111</v>
      </c>
      <c r="I524" s="13">
        <v>7</v>
      </c>
      <c r="J524" s="10">
        <v>4766.26</v>
      </c>
      <c r="K524" s="10">
        <f t="shared" si="17"/>
        <v>33363.82</v>
      </c>
      <c r="L524" s="2">
        <v>0.1</v>
      </c>
      <c r="M524" s="2" t="s">
        <v>17</v>
      </c>
      <c r="N524" s="2" t="s">
        <v>143</v>
      </c>
    </row>
    <row r="525" spans="1:14" x14ac:dyDescent="0.2">
      <c r="A525" s="13">
        <v>101589</v>
      </c>
      <c r="B525" s="5">
        <v>45655</v>
      </c>
      <c r="C525" s="5" t="str">
        <f t="shared" si="16"/>
        <v>Dec</v>
      </c>
      <c r="D525" s="2" t="s">
        <v>571</v>
      </c>
      <c r="E525" s="2" t="s">
        <v>37</v>
      </c>
      <c r="F525" s="2" t="s">
        <v>69</v>
      </c>
      <c r="G525" s="2" t="s">
        <v>33</v>
      </c>
      <c r="H525" s="2" t="s">
        <v>158</v>
      </c>
      <c r="I525" s="13">
        <v>1</v>
      </c>
      <c r="J525" s="10">
        <v>157.56</v>
      </c>
      <c r="K525" s="10">
        <f t="shared" si="17"/>
        <v>157.56</v>
      </c>
      <c r="L525" s="2">
        <v>0.05</v>
      </c>
      <c r="M525" s="2" t="s">
        <v>17</v>
      </c>
      <c r="N525" s="2" t="s">
        <v>121</v>
      </c>
    </row>
    <row r="526" spans="1:14" x14ac:dyDescent="0.2">
      <c r="A526" s="13">
        <v>101590</v>
      </c>
      <c r="B526" s="5">
        <v>45543</v>
      </c>
      <c r="C526" s="5" t="str">
        <f t="shared" si="16"/>
        <v>Sep</v>
      </c>
      <c r="D526" s="2" t="s">
        <v>572</v>
      </c>
      <c r="E526" s="2" t="s">
        <v>31</v>
      </c>
      <c r="F526" s="2" t="s">
        <v>54</v>
      </c>
      <c r="G526" s="2" t="s">
        <v>15</v>
      </c>
      <c r="H526" s="2" t="s">
        <v>205</v>
      </c>
      <c r="I526" s="13">
        <v>1</v>
      </c>
      <c r="J526" s="10">
        <v>14603.25</v>
      </c>
      <c r="K526" s="10">
        <f t="shared" si="17"/>
        <v>14603.25</v>
      </c>
      <c r="L526" s="2">
        <v>0</v>
      </c>
      <c r="M526" s="2" t="s">
        <v>66</v>
      </c>
      <c r="N526" s="2" t="s">
        <v>52</v>
      </c>
    </row>
    <row r="527" spans="1:14" x14ac:dyDescent="0.2">
      <c r="A527" s="13">
        <v>100267</v>
      </c>
      <c r="B527" s="5">
        <v>45400</v>
      </c>
      <c r="C527" s="5" t="str">
        <f t="shared" si="16"/>
        <v>Apr</v>
      </c>
      <c r="D527" s="2" t="s">
        <v>575</v>
      </c>
      <c r="E527" s="2" t="s">
        <v>140</v>
      </c>
      <c r="F527" s="2" t="s">
        <v>79</v>
      </c>
      <c r="G527" s="2" t="s">
        <v>45</v>
      </c>
      <c r="H527" s="2" t="s">
        <v>149</v>
      </c>
      <c r="I527" s="13">
        <v>12</v>
      </c>
      <c r="J527" s="10">
        <v>38964.28</v>
      </c>
      <c r="K527" s="10">
        <f t="shared" si="17"/>
        <v>467571.36</v>
      </c>
      <c r="L527" s="2">
        <v>0.2</v>
      </c>
      <c r="M527" s="2" t="s">
        <v>83</v>
      </c>
      <c r="N527" s="2" t="s">
        <v>25</v>
      </c>
    </row>
    <row r="528" spans="1:14" x14ac:dyDescent="0.2">
      <c r="A528" s="13">
        <v>100899</v>
      </c>
      <c r="B528" s="5">
        <v>45628</v>
      </c>
      <c r="C528" s="5" t="str">
        <f t="shared" si="16"/>
        <v>Dec</v>
      </c>
      <c r="D528" s="2" t="s">
        <v>576</v>
      </c>
      <c r="E528" s="2" t="s">
        <v>61</v>
      </c>
      <c r="F528" s="2" t="s">
        <v>119</v>
      </c>
      <c r="G528" s="2" t="s">
        <v>45</v>
      </c>
      <c r="H528" s="2" t="s">
        <v>46</v>
      </c>
      <c r="I528" s="13">
        <v>9</v>
      </c>
      <c r="J528" s="10">
        <v>35202.42</v>
      </c>
      <c r="K528" s="10">
        <f t="shared" si="17"/>
        <v>316821.77999999997</v>
      </c>
      <c r="L528" s="2">
        <v>0.05</v>
      </c>
      <c r="M528" s="2" t="s">
        <v>24</v>
      </c>
      <c r="N528" s="2" t="s">
        <v>143</v>
      </c>
    </row>
    <row r="529" spans="1:14" x14ac:dyDescent="0.2">
      <c r="A529" s="13">
        <v>101743</v>
      </c>
      <c r="B529" s="5">
        <v>45454</v>
      </c>
      <c r="C529" s="5" t="str">
        <f t="shared" si="16"/>
        <v>Jun</v>
      </c>
      <c r="D529" s="2" t="s">
        <v>577</v>
      </c>
      <c r="E529" s="2" t="s">
        <v>31</v>
      </c>
      <c r="F529" s="2" t="s">
        <v>32</v>
      </c>
      <c r="G529" s="2" t="s">
        <v>64</v>
      </c>
      <c r="H529" s="2" t="s">
        <v>40</v>
      </c>
      <c r="I529" s="13">
        <v>1</v>
      </c>
      <c r="J529" s="10">
        <v>63.49</v>
      </c>
      <c r="K529" s="10">
        <f t="shared" si="17"/>
        <v>63.49</v>
      </c>
      <c r="L529" s="2">
        <v>0.1</v>
      </c>
      <c r="M529" s="2" t="s">
        <v>41</v>
      </c>
      <c r="N529" s="2" t="s">
        <v>42</v>
      </c>
    </row>
    <row r="530" spans="1:14" x14ac:dyDescent="0.2">
      <c r="A530" s="13">
        <v>100076</v>
      </c>
      <c r="B530" s="5">
        <v>45600</v>
      </c>
      <c r="C530" s="5" t="str">
        <f t="shared" si="16"/>
        <v>Nov</v>
      </c>
      <c r="D530" s="2" t="s">
        <v>578</v>
      </c>
      <c r="E530" s="2" t="s">
        <v>31</v>
      </c>
      <c r="F530" s="2" t="s">
        <v>54</v>
      </c>
      <c r="G530" s="2" t="s">
        <v>50</v>
      </c>
      <c r="H530" s="2" t="s">
        <v>62</v>
      </c>
      <c r="I530" s="13">
        <v>9</v>
      </c>
      <c r="J530" s="10">
        <v>1776.09</v>
      </c>
      <c r="K530" s="10">
        <f t="shared" si="17"/>
        <v>15984.81</v>
      </c>
      <c r="L530" s="2">
        <v>0.15</v>
      </c>
      <c r="M530" s="2" t="s">
        <v>83</v>
      </c>
      <c r="N530" s="2" t="s">
        <v>25</v>
      </c>
    </row>
    <row r="531" spans="1:14" x14ac:dyDescent="0.2">
      <c r="A531" s="13">
        <v>101458</v>
      </c>
      <c r="B531" s="5">
        <v>45375</v>
      </c>
      <c r="C531" s="5" t="str">
        <f t="shared" si="16"/>
        <v>Mar</v>
      </c>
      <c r="D531" s="2" t="s">
        <v>579</v>
      </c>
      <c r="E531" s="2" t="s">
        <v>61</v>
      </c>
      <c r="F531" s="2" t="s">
        <v>14</v>
      </c>
      <c r="G531" s="2" t="s">
        <v>22</v>
      </c>
      <c r="H531" s="2" t="s">
        <v>141</v>
      </c>
      <c r="I531" s="13">
        <v>4</v>
      </c>
      <c r="J531" s="10">
        <v>2713</v>
      </c>
      <c r="K531" s="10">
        <f t="shared" si="17"/>
        <v>10852</v>
      </c>
      <c r="L531" s="2">
        <v>0</v>
      </c>
      <c r="M531" s="2" t="s">
        <v>29</v>
      </c>
      <c r="N531" s="2" t="s">
        <v>35</v>
      </c>
    </row>
    <row r="532" spans="1:14" x14ac:dyDescent="0.2">
      <c r="A532" s="13">
        <v>101404</v>
      </c>
      <c r="B532" s="5">
        <v>45396</v>
      </c>
      <c r="C532" s="5" t="str">
        <f t="shared" si="16"/>
        <v>Apr</v>
      </c>
      <c r="D532" s="2" t="s">
        <v>499</v>
      </c>
      <c r="E532" s="2" t="s">
        <v>27</v>
      </c>
      <c r="F532" s="2" t="s">
        <v>133</v>
      </c>
      <c r="G532" s="2" t="s">
        <v>45</v>
      </c>
      <c r="H532" s="2" t="s">
        <v>111</v>
      </c>
      <c r="I532" s="13">
        <v>4</v>
      </c>
      <c r="J532" s="10">
        <v>29957.43</v>
      </c>
      <c r="K532" s="10">
        <f t="shared" si="17"/>
        <v>119829.72</v>
      </c>
      <c r="L532" s="2">
        <v>0.1</v>
      </c>
      <c r="M532" s="2" t="s">
        <v>66</v>
      </c>
      <c r="N532" s="2" t="s">
        <v>143</v>
      </c>
    </row>
    <row r="533" spans="1:14" x14ac:dyDescent="0.2">
      <c r="A533" s="13">
        <v>100856</v>
      </c>
      <c r="B533" s="5">
        <v>45622</v>
      </c>
      <c r="C533" s="5" t="str">
        <f t="shared" si="16"/>
        <v>Nov</v>
      </c>
      <c r="D533" s="2" t="s">
        <v>389</v>
      </c>
      <c r="E533" s="2" t="s">
        <v>31</v>
      </c>
      <c r="F533" s="2" t="s">
        <v>32</v>
      </c>
      <c r="G533" s="2" t="s">
        <v>45</v>
      </c>
      <c r="H533" s="2" t="s">
        <v>153</v>
      </c>
      <c r="I533" s="13">
        <v>9</v>
      </c>
      <c r="J533" s="10">
        <v>40913.22</v>
      </c>
      <c r="K533" s="10">
        <f t="shared" si="17"/>
        <v>368218.98</v>
      </c>
      <c r="L533" s="2">
        <v>0.15</v>
      </c>
      <c r="M533" s="2" t="s">
        <v>66</v>
      </c>
      <c r="N533" s="2" t="s">
        <v>42</v>
      </c>
    </row>
    <row r="534" spans="1:14" x14ac:dyDescent="0.2">
      <c r="A534" s="13">
        <v>101173</v>
      </c>
      <c r="B534" s="5">
        <v>45386</v>
      </c>
      <c r="C534" s="5" t="str">
        <f t="shared" si="16"/>
        <v>Apr</v>
      </c>
      <c r="D534" s="2" t="s">
        <v>581</v>
      </c>
      <c r="E534" s="2" t="s">
        <v>27</v>
      </c>
      <c r="F534" s="2" t="s">
        <v>21</v>
      </c>
      <c r="G534" s="2" t="s">
        <v>64</v>
      </c>
      <c r="H534" s="2" t="s">
        <v>40</v>
      </c>
      <c r="I534" s="13">
        <v>1</v>
      </c>
      <c r="J534" s="10">
        <v>122.04</v>
      </c>
      <c r="K534" s="10">
        <f t="shared" si="17"/>
        <v>122.04</v>
      </c>
      <c r="L534" s="2">
        <v>0.15</v>
      </c>
      <c r="M534" s="2" t="s">
        <v>29</v>
      </c>
      <c r="N534" s="2" t="s">
        <v>18</v>
      </c>
    </row>
    <row r="535" spans="1:14" x14ac:dyDescent="0.2">
      <c r="A535" s="13">
        <v>100749</v>
      </c>
      <c r="B535" s="5">
        <v>45491</v>
      </c>
      <c r="C535" s="5" t="str">
        <f t="shared" si="16"/>
        <v>Jul</v>
      </c>
      <c r="D535" s="2" t="s">
        <v>240</v>
      </c>
      <c r="E535" s="2" t="s">
        <v>31</v>
      </c>
      <c r="F535" s="2" t="s">
        <v>32</v>
      </c>
      <c r="G535" s="2" t="s">
        <v>45</v>
      </c>
      <c r="H535" s="2" t="s">
        <v>71</v>
      </c>
      <c r="I535" s="13">
        <v>9</v>
      </c>
      <c r="J535" s="10">
        <v>34406.86</v>
      </c>
      <c r="K535" s="10">
        <f t="shared" si="17"/>
        <v>309661.74</v>
      </c>
      <c r="L535" s="2">
        <v>0.1</v>
      </c>
      <c r="M535" s="2" t="s">
        <v>83</v>
      </c>
      <c r="N535" s="2" t="s">
        <v>52</v>
      </c>
    </row>
    <row r="536" spans="1:14" x14ac:dyDescent="0.2">
      <c r="A536" s="13">
        <v>100769</v>
      </c>
      <c r="B536" s="5">
        <v>45543</v>
      </c>
      <c r="C536" s="5" t="str">
        <f t="shared" si="16"/>
        <v>Sep</v>
      </c>
      <c r="D536" s="2" t="s">
        <v>362</v>
      </c>
      <c r="E536" s="2" t="s">
        <v>61</v>
      </c>
      <c r="F536" s="2" t="s">
        <v>14</v>
      </c>
      <c r="G536" s="2" t="s">
        <v>15</v>
      </c>
      <c r="H536" s="2" t="s">
        <v>116</v>
      </c>
      <c r="I536" s="13">
        <v>7</v>
      </c>
      <c r="J536" s="10">
        <v>22365.02</v>
      </c>
      <c r="K536" s="10">
        <f t="shared" si="17"/>
        <v>156555.14000000001</v>
      </c>
      <c r="L536" s="2">
        <v>0.15</v>
      </c>
      <c r="M536" s="2" t="s">
        <v>66</v>
      </c>
      <c r="N536" s="2" t="s">
        <v>87</v>
      </c>
    </row>
    <row r="537" spans="1:14" x14ac:dyDescent="0.2">
      <c r="A537" s="13">
        <v>101909</v>
      </c>
      <c r="B537" s="5">
        <v>45497</v>
      </c>
      <c r="C537" s="5" t="str">
        <f t="shared" si="16"/>
        <v>Jul</v>
      </c>
      <c r="D537" s="2" t="s">
        <v>197</v>
      </c>
      <c r="E537" s="2" t="s">
        <v>140</v>
      </c>
      <c r="F537" s="2" t="s">
        <v>49</v>
      </c>
      <c r="G537" s="2" t="s">
        <v>106</v>
      </c>
      <c r="H537" s="2" t="s">
        <v>156</v>
      </c>
      <c r="I537" s="13">
        <v>8</v>
      </c>
      <c r="J537" s="10">
        <v>2702.67</v>
      </c>
      <c r="K537" s="10">
        <f t="shared" si="17"/>
        <v>21621.360000000001</v>
      </c>
      <c r="L537" s="2">
        <v>0.05</v>
      </c>
      <c r="M537" s="2" t="s">
        <v>41</v>
      </c>
      <c r="N537" s="2" t="s">
        <v>35</v>
      </c>
    </row>
    <row r="538" spans="1:14" x14ac:dyDescent="0.2">
      <c r="A538" s="13">
        <v>101330</v>
      </c>
      <c r="B538" s="5">
        <v>45351</v>
      </c>
      <c r="C538" s="5" t="str">
        <f t="shared" si="16"/>
        <v>Feb</v>
      </c>
      <c r="D538" s="2" t="s">
        <v>372</v>
      </c>
      <c r="E538" s="2" t="s">
        <v>37</v>
      </c>
      <c r="F538" s="2" t="s">
        <v>69</v>
      </c>
      <c r="G538" s="2" t="s">
        <v>50</v>
      </c>
      <c r="H538" s="2" t="s">
        <v>207</v>
      </c>
      <c r="I538" s="13">
        <v>9</v>
      </c>
      <c r="J538" s="10">
        <v>9552.25</v>
      </c>
      <c r="K538" s="10">
        <f t="shared" si="17"/>
        <v>85970.25</v>
      </c>
      <c r="L538" s="2">
        <v>0.25</v>
      </c>
      <c r="M538" s="2" t="s">
        <v>83</v>
      </c>
      <c r="N538" s="2" t="s">
        <v>121</v>
      </c>
    </row>
    <row r="539" spans="1:14" x14ac:dyDescent="0.2">
      <c r="A539" s="13">
        <v>100563</v>
      </c>
      <c r="B539" s="5">
        <v>45312</v>
      </c>
      <c r="C539" s="5" t="str">
        <f t="shared" si="16"/>
        <v>Jan</v>
      </c>
      <c r="D539" s="2" t="s">
        <v>446</v>
      </c>
      <c r="E539" s="2" t="s">
        <v>27</v>
      </c>
      <c r="F539" s="2" t="s">
        <v>133</v>
      </c>
      <c r="G539" s="2" t="s">
        <v>50</v>
      </c>
      <c r="H539" s="2" t="s">
        <v>56</v>
      </c>
      <c r="I539" s="13">
        <v>5</v>
      </c>
      <c r="J539" s="10">
        <v>977.22</v>
      </c>
      <c r="K539" s="10">
        <f t="shared" si="17"/>
        <v>4886.1000000000004</v>
      </c>
      <c r="L539" s="2">
        <v>0.25</v>
      </c>
      <c r="M539" s="2" t="s">
        <v>66</v>
      </c>
      <c r="N539" s="2" t="s">
        <v>18</v>
      </c>
    </row>
    <row r="540" spans="1:14" x14ac:dyDescent="0.2">
      <c r="A540" s="13">
        <v>101585</v>
      </c>
      <c r="B540" s="5">
        <v>45555</v>
      </c>
      <c r="C540" s="5" t="str">
        <f t="shared" si="16"/>
        <v>Sep</v>
      </c>
      <c r="D540" s="2" t="s">
        <v>583</v>
      </c>
      <c r="E540" s="2" t="s">
        <v>37</v>
      </c>
      <c r="F540" s="2" t="s">
        <v>69</v>
      </c>
      <c r="G540" s="2" t="s">
        <v>15</v>
      </c>
      <c r="H540" s="2" t="s">
        <v>152</v>
      </c>
      <c r="I540" s="13">
        <v>9</v>
      </c>
      <c r="J540" s="10">
        <v>7210.8</v>
      </c>
      <c r="K540" s="10">
        <f t="shared" si="17"/>
        <v>64897.200000000004</v>
      </c>
      <c r="L540" s="2">
        <v>0</v>
      </c>
      <c r="M540" s="2" t="s">
        <v>83</v>
      </c>
      <c r="N540" s="2" t="s">
        <v>35</v>
      </c>
    </row>
    <row r="541" spans="1:14" x14ac:dyDescent="0.2">
      <c r="A541" s="13">
        <v>100181</v>
      </c>
      <c r="B541" s="5">
        <v>45552</v>
      </c>
      <c r="C541" s="5" t="str">
        <f t="shared" si="16"/>
        <v>Sep</v>
      </c>
      <c r="D541" s="2" t="s">
        <v>585</v>
      </c>
      <c r="E541" s="2" t="s">
        <v>140</v>
      </c>
      <c r="F541" s="2" t="s">
        <v>79</v>
      </c>
      <c r="G541" s="2" t="s">
        <v>33</v>
      </c>
      <c r="H541" s="2" t="s">
        <v>93</v>
      </c>
      <c r="I541" s="13">
        <v>-3</v>
      </c>
      <c r="J541" s="10">
        <v>290.70999999999998</v>
      </c>
      <c r="K541" s="10">
        <f t="shared" si="17"/>
        <v>-872.12999999999988</v>
      </c>
      <c r="L541" s="2">
        <v>0.2</v>
      </c>
      <c r="M541" s="2" t="s">
        <v>41</v>
      </c>
      <c r="N541" s="2" t="s">
        <v>25</v>
      </c>
    </row>
    <row r="542" spans="1:14" x14ac:dyDescent="0.2">
      <c r="A542" s="13">
        <v>101844</v>
      </c>
      <c r="B542" s="5">
        <v>45620</v>
      </c>
      <c r="C542" s="5" t="str">
        <f t="shared" si="16"/>
        <v>Nov</v>
      </c>
      <c r="D542" s="2" t="s">
        <v>586</v>
      </c>
      <c r="E542" s="2" t="s">
        <v>31</v>
      </c>
      <c r="F542" s="2" t="s">
        <v>54</v>
      </c>
      <c r="G542" s="2" t="s">
        <v>22</v>
      </c>
      <c r="H542" s="2" t="s">
        <v>232</v>
      </c>
      <c r="I542" s="13">
        <v>5</v>
      </c>
      <c r="J542" s="10">
        <v>2721.59</v>
      </c>
      <c r="K542" s="10">
        <f t="shared" si="17"/>
        <v>13607.95</v>
      </c>
      <c r="L542" s="2">
        <v>0.05</v>
      </c>
      <c r="M542" s="2" t="s">
        <v>17</v>
      </c>
      <c r="N542" s="2" t="s">
        <v>121</v>
      </c>
    </row>
    <row r="543" spans="1:14" x14ac:dyDescent="0.2">
      <c r="A543" s="13">
        <v>100708</v>
      </c>
      <c r="B543" s="5">
        <v>45650</v>
      </c>
      <c r="C543" s="5" t="str">
        <f t="shared" si="16"/>
        <v>Dec</v>
      </c>
      <c r="D543" s="2" t="s">
        <v>307</v>
      </c>
      <c r="E543" s="2" t="s">
        <v>27</v>
      </c>
      <c r="F543" s="2" t="s">
        <v>133</v>
      </c>
      <c r="G543" s="2" t="s">
        <v>64</v>
      </c>
      <c r="H543" s="2" t="s">
        <v>242</v>
      </c>
      <c r="I543" s="13">
        <v>3</v>
      </c>
      <c r="J543" s="10">
        <v>893.06</v>
      </c>
      <c r="K543" s="10">
        <f t="shared" si="17"/>
        <v>2679.18</v>
      </c>
      <c r="L543" s="2">
        <v>0.15</v>
      </c>
      <c r="M543" s="2" t="s">
        <v>83</v>
      </c>
      <c r="N543" s="2" t="s">
        <v>18</v>
      </c>
    </row>
    <row r="544" spans="1:14" x14ac:dyDescent="0.2">
      <c r="A544" s="13">
        <v>100825</v>
      </c>
      <c r="B544" s="5">
        <v>45426</v>
      </c>
      <c r="C544" s="5" t="str">
        <f t="shared" si="16"/>
        <v>May</v>
      </c>
      <c r="D544" s="2" t="s">
        <v>588</v>
      </c>
      <c r="E544" s="2" t="s">
        <v>27</v>
      </c>
      <c r="F544" s="2" t="s">
        <v>21</v>
      </c>
      <c r="G544" s="2" t="s">
        <v>22</v>
      </c>
      <c r="H544" s="2" t="s">
        <v>145</v>
      </c>
      <c r="I544" s="13">
        <v>-1</v>
      </c>
      <c r="J544" s="10">
        <v>1984.24</v>
      </c>
      <c r="K544" s="10">
        <f t="shared" si="17"/>
        <v>-1984.24</v>
      </c>
      <c r="L544" s="2">
        <v>0.1</v>
      </c>
      <c r="M544" s="2" t="s">
        <v>17</v>
      </c>
      <c r="N544" s="2" t="s">
        <v>52</v>
      </c>
    </row>
    <row r="545" spans="1:14" x14ac:dyDescent="0.2">
      <c r="A545" s="13">
        <v>100377</v>
      </c>
      <c r="B545" s="5">
        <v>45517</v>
      </c>
      <c r="C545" s="5" t="str">
        <f t="shared" si="16"/>
        <v>Aug</v>
      </c>
      <c r="D545" s="2" t="s">
        <v>590</v>
      </c>
      <c r="E545" s="2" t="s">
        <v>27</v>
      </c>
      <c r="F545" s="2" t="s">
        <v>133</v>
      </c>
      <c r="G545" s="2" t="s">
        <v>50</v>
      </c>
      <c r="H545" s="2" t="s">
        <v>56</v>
      </c>
      <c r="I545" s="13">
        <v>1</v>
      </c>
      <c r="J545" s="10">
        <v>0</v>
      </c>
      <c r="K545" s="10">
        <f t="shared" si="17"/>
        <v>0</v>
      </c>
      <c r="L545" s="2">
        <v>0</v>
      </c>
      <c r="M545" s="2" t="s">
        <v>41</v>
      </c>
      <c r="N545" s="2" t="s">
        <v>42</v>
      </c>
    </row>
    <row r="546" spans="1:14" x14ac:dyDescent="0.2">
      <c r="A546" s="13">
        <v>101346</v>
      </c>
      <c r="B546" s="5">
        <v>45531</v>
      </c>
      <c r="C546" s="5" t="str">
        <f t="shared" si="16"/>
        <v>Aug</v>
      </c>
      <c r="D546" s="2" t="s">
        <v>592</v>
      </c>
      <c r="E546" s="2" t="s">
        <v>140</v>
      </c>
      <c r="F546" s="2" t="s">
        <v>79</v>
      </c>
      <c r="G546" s="2" t="s">
        <v>45</v>
      </c>
      <c r="H546" s="2" t="s">
        <v>153</v>
      </c>
      <c r="I546" s="13">
        <v>2</v>
      </c>
      <c r="J546" s="10">
        <v>37626.31</v>
      </c>
      <c r="K546" s="10">
        <f t="shared" si="17"/>
        <v>75252.62</v>
      </c>
      <c r="L546" s="2">
        <v>0</v>
      </c>
      <c r="M546" s="2" t="s">
        <v>66</v>
      </c>
      <c r="N546" s="2" t="s">
        <v>87</v>
      </c>
    </row>
    <row r="547" spans="1:14" x14ac:dyDescent="0.2">
      <c r="A547" s="13">
        <v>100024</v>
      </c>
      <c r="B547" s="5">
        <v>45438</v>
      </c>
      <c r="C547" s="5" t="str">
        <f t="shared" si="16"/>
        <v>May</v>
      </c>
      <c r="D547" s="2" t="s">
        <v>594</v>
      </c>
      <c r="E547" s="2" t="s">
        <v>31</v>
      </c>
      <c r="F547" s="2" t="s">
        <v>54</v>
      </c>
      <c r="G547" s="2" t="s">
        <v>15</v>
      </c>
      <c r="H547" s="2" t="s">
        <v>116</v>
      </c>
      <c r="I547" s="13">
        <v>5</v>
      </c>
      <c r="J547" s="10">
        <v>12351.6</v>
      </c>
      <c r="K547" s="10">
        <f t="shared" si="17"/>
        <v>61758</v>
      </c>
      <c r="L547" s="2">
        <v>0</v>
      </c>
      <c r="M547" s="2" t="s">
        <v>17</v>
      </c>
      <c r="N547" s="2" t="s">
        <v>121</v>
      </c>
    </row>
    <row r="548" spans="1:14" x14ac:dyDescent="0.2">
      <c r="A548" s="13">
        <v>100347</v>
      </c>
      <c r="B548" s="5">
        <v>45602</v>
      </c>
      <c r="C548" s="5" t="str">
        <f t="shared" si="16"/>
        <v>Nov</v>
      </c>
      <c r="D548" s="2" t="s">
        <v>499</v>
      </c>
      <c r="E548" s="2" t="s">
        <v>37</v>
      </c>
      <c r="F548" s="2" t="s">
        <v>69</v>
      </c>
      <c r="G548" s="2" t="s">
        <v>50</v>
      </c>
      <c r="H548" s="2" t="s">
        <v>62</v>
      </c>
      <c r="I548" s="13">
        <v>5</v>
      </c>
      <c r="J548" s="10">
        <v>9777.2800000000007</v>
      </c>
      <c r="K548" s="10">
        <f t="shared" si="17"/>
        <v>48886.400000000001</v>
      </c>
      <c r="L548" s="2">
        <v>0.25</v>
      </c>
      <c r="M548" s="2" t="s">
        <v>17</v>
      </c>
      <c r="N548" s="2" t="s">
        <v>42</v>
      </c>
    </row>
    <row r="549" spans="1:14" x14ac:dyDescent="0.2">
      <c r="A549" s="13">
        <v>101664</v>
      </c>
      <c r="B549" s="5">
        <v>45409</v>
      </c>
      <c r="C549" s="5" t="str">
        <f t="shared" si="16"/>
        <v>Apr</v>
      </c>
      <c r="D549" s="2" t="s">
        <v>322</v>
      </c>
      <c r="E549" s="2" t="s">
        <v>37</v>
      </c>
      <c r="F549" s="2" t="s">
        <v>69</v>
      </c>
      <c r="G549" s="2" t="s">
        <v>15</v>
      </c>
      <c r="H549" s="2" t="s">
        <v>205</v>
      </c>
      <c r="I549" s="13">
        <v>8</v>
      </c>
      <c r="J549" s="10">
        <v>12174.13</v>
      </c>
      <c r="K549" s="10">
        <f t="shared" si="17"/>
        <v>97393.04</v>
      </c>
      <c r="L549" s="2">
        <v>0.05</v>
      </c>
      <c r="M549" s="2" t="s">
        <v>17</v>
      </c>
      <c r="N549" s="2" t="s">
        <v>25</v>
      </c>
    </row>
    <row r="550" spans="1:14" x14ac:dyDescent="0.2">
      <c r="A550" s="13">
        <v>101420</v>
      </c>
      <c r="B550" s="5">
        <v>45522</v>
      </c>
      <c r="C550" s="5" t="str">
        <f t="shared" si="16"/>
        <v>Aug</v>
      </c>
      <c r="D550" s="2" t="s">
        <v>352</v>
      </c>
      <c r="E550" s="2" t="s">
        <v>140</v>
      </c>
      <c r="F550" s="2" t="s">
        <v>79</v>
      </c>
      <c r="G550" s="2" t="s">
        <v>45</v>
      </c>
      <c r="H550" s="2" t="s">
        <v>111</v>
      </c>
      <c r="I550" s="13">
        <v>4</v>
      </c>
      <c r="J550" s="10">
        <v>36350.58</v>
      </c>
      <c r="K550" s="10">
        <f t="shared" si="17"/>
        <v>145402.32</v>
      </c>
      <c r="L550" s="2">
        <v>0.15</v>
      </c>
      <c r="M550" s="2" t="s">
        <v>17</v>
      </c>
      <c r="N550" s="2" t="s">
        <v>42</v>
      </c>
    </row>
    <row r="551" spans="1:14" x14ac:dyDescent="0.2">
      <c r="A551" s="13">
        <v>101744</v>
      </c>
      <c r="B551" s="5">
        <v>45330</v>
      </c>
      <c r="C551" s="5" t="str">
        <f t="shared" si="16"/>
        <v>Feb</v>
      </c>
      <c r="D551" s="2" t="s">
        <v>125</v>
      </c>
      <c r="E551" s="2" t="s">
        <v>37</v>
      </c>
      <c r="F551" s="2" t="s">
        <v>38</v>
      </c>
      <c r="G551" s="2" t="s">
        <v>50</v>
      </c>
      <c r="H551" s="2" t="s">
        <v>51</v>
      </c>
      <c r="I551" s="13">
        <v>11</v>
      </c>
      <c r="J551" s="10">
        <v>4846.7700000000004</v>
      </c>
      <c r="K551" s="10">
        <f t="shared" si="17"/>
        <v>53314.47</v>
      </c>
      <c r="L551" s="2">
        <v>0</v>
      </c>
      <c r="M551" s="2" t="s">
        <v>24</v>
      </c>
      <c r="N551" s="2" t="s">
        <v>143</v>
      </c>
    </row>
    <row r="552" spans="1:14" x14ac:dyDescent="0.2">
      <c r="A552" s="13">
        <v>100009</v>
      </c>
      <c r="B552" s="5">
        <v>45461</v>
      </c>
      <c r="C552" s="5" t="str">
        <f t="shared" si="16"/>
        <v>Jun</v>
      </c>
      <c r="D552" s="2" t="s">
        <v>225</v>
      </c>
      <c r="E552" s="2" t="s">
        <v>31</v>
      </c>
      <c r="F552" s="2" t="s">
        <v>32</v>
      </c>
      <c r="G552" s="2" t="s">
        <v>15</v>
      </c>
      <c r="H552" s="2" t="s">
        <v>152</v>
      </c>
      <c r="I552" s="13">
        <v>-3</v>
      </c>
      <c r="J552" s="10">
        <v>9775.9699999999993</v>
      </c>
      <c r="K552" s="10">
        <f t="shared" si="17"/>
        <v>-29327.909999999996</v>
      </c>
      <c r="L552" s="2">
        <v>0</v>
      </c>
      <c r="M552" s="2" t="s">
        <v>66</v>
      </c>
      <c r="N552" s="2" t="s">
        <v>121</v>
      </c>
    </row>
    <row r="553" spans="1:14" x14ac:dyDescent="0.2">
      <c r="A553" s="13">
        <v>100229</v>
      </c>
      <c r="B553" s="5">
        <v>45457</v>
      </c>
      <c r="C553" s="5" t="str">
        <f t="shared" si="16"/>
        <v>Jun</v>
      </c>
      <c r="D553" s="2" t="s">
        <v>596</v>
      </c>
      <c r="E553" s="2" t="s">
        <v>27</v>
      </c>
      <c r="F553" s="2" t="s">
        <v>133</v>
      </c>
      <c r="G553" s="2" t="s">
        <v>50</v>
      </c>
      <c r="H553" s="2" t="s">
        <v>99</v>
      </c>
      <c r="I553" s="13">
        <v>7</v>
      </c>
      <c r="J553" s="10">
        <v>8903.14</v>
      </c>
      <c r="K553" s="10">
        <f t="shared" si="17"/>
        <v>62321.979999999996</v>
      </c>
      <c r="L553" s="2">
        <v>0</v>
      </c>
      <c r="M553" s="2" t="s">
        <v>41</v>
      </c>
      <c r="N553" s="2" t="s">
        <v>143</v>
      </c>
    </row>
    <row r="554" spans="1:14" x14ac:dyDescent="0.2">
      <c r="A554" s="13">
        <v>100490</v>
      </c>
      <c r="B554" s="5">
        <v>45440</v>
      </c>
      <c r="C554" s="5" t="str">
        <f t="shared" si="16"/>
        <v>May</v>
      </c>
      <c r="D554" s="2" t="s">
        <v>598</v>
      </c>
      <c r="E554" s="2" t="s">
        <v>37</v>
      </c>
      <c r="F554" s="2" t="s">
        <v>38</v>
      </c>
      <c r="G554" s="2" t="s">
        <v>33</v>
      </c>
      <c r="H554" s="2" t="s">
        <v>81</v>
      </c>
      <c r="I554" s="13">
        <v>4</v>
      </c>
      <c r="J554" s="10">
        <v>582.64</v>
      </c>
      <c r="K554" s="10">
        <f t="shared" si="17"/>
        <v>2330.56</v>
      </c>
      <c r="L554" s="2">
        <v>0</v>
      </c>
      <c r="M554" s="2" t="s">
        <v>41</v>
      </c>
      <c r="N554" s="2" t="s">
        <v>87</v>
      </c>
    </row>
    <row r="555" spans="1:14" x14ac:dyDescent="0.2">
      <c r="A555" s="13">
        <v>100214</v>
      </c>
      <c r="B555" s="5">
        <v>45412</v>
      </c>
      <c r="C555" s="5" t="str">
        <f t="shared" si="16"/>
        <v>Apr</v>
      </c>
      <c r="D555" s="2" t="s">
        <v>599</v>
      </c>
      <c r="E555" s="2" t="s">
        <v>31</v>
      </c>
      <c r="F555" s="2" t="s">
        <v>32</v>
      </c>
      <c r="G555" s="2" t="s">
        <v>64</v>
      </c>
      <c r="H555" s="2" t="s">
        <v>165</v>
      </c>
      <c r="I555" s="13">
        <v>10</v>
      </c>
      <c r="J555" s="10">
        <v>360.32</v>
      </c>
      <c r="K555" s="10">
        <f t="shared" si="17"/>
        <v>3603.2</v>
      </c>
      <c r="L555" s="2">
        <v>0.05</v>
      </c>
      <c r="M555" s="2" t="s">
        <v>29</v>
      </c>
      <c r="N555" s="2" t="s">
        <v>121</v>
      </c>
    </row>
    <row r="556" spans="1:14" x14ac:dyDescent="0.2">
      <c r="A556" s="13">
        <v>101345</v>
      </c>
      <c r="B556" s="5">
        <v>45615</v>
      </c>
      <c r="C556" s="5" t="str">
        <f t="shared" si="16"/>
        <v>Nov</v>
      </c>
      <c r="D556" s="2" t="s">
        <v>545</v>
      </c>
      <c r="E556" s="2" t="s">
        <v>27</v>
      </c>
      <c r="F556" s="2" t="s">
        <v>133</v>
      </c>
      <c r="G556" s="2" t="s">
        <v>50</v>
      </c>
      <c r="H556" s="2" t="s">
        <v>99</v>
      </c>
      <c r="I556" s="13">
        <v>10</v>
      </c>
      <c r="J556" s="10">
        <v>7286.38</v>
      </c>
      <c r="K556" s="10">
        <f t="shared" si="17"/>
        <v>72863.8</v>
      </c>
      <c r="L556" s="2">
        <v>0</v>
      </c>
      <c r="M556" s="2" t="s">
        <v>17</v>
      </c>
      <c r="N556" s="2" t="s">
        <v>35</v>
      </c>
    </row>
    <row r="557" spans="1:14" x14ac:dyDescent="0.2">
      <c r="A557" s="13">
        <v>100450</v>
      </c>
      <c r="B557" s="5">
        <v>45617</v>
      </c>
      <c r="C557" s="5" t="str">
        <f t="shared" si="16"/>
        <v>Nov</v>
      </c>
      <c r="D557" s="2" t="s">
        <v>449</v>
      </c>
      <c r="E557" s="2" t="s">
        <v>140</v>
      </c>
      <c r="F557" s="2" t="s">
        <v>49</v>
      </c>
      <c r="G557" s="2" t="s">
        <v>33</v>
      </c>
      <c r="H557" s="2" t="s">
        <v>158</v>
      </c>
      <c r="I557" s="13">
        <v>7</v>
      </c>
      <c r="J557" s="10">
        <v>81.55</v>
      </c>
      <c r="K557" s="10">
        <f t="shared" si="17"/>
        <v>570.85</v>
      </c>
      <c r="L557" s="2">
        <v>0.25</v>
      </c>
      <c r="M557" s="2" t="s">
        <v>66</v>
      </c>
      <c r="N557" s="2" t="s">
        <v>35</v>
      </c>
    </row>
    <row r="558" spans="1:14" x14ac:dyDescent="0.2">
      <c r="A558" s="13">
        <v>101207</v>
      </c>
      <c r="B558" s="5">
        <v>45469</v>
      </c>
      <c r="C558" s="5" t="str">
        <f t="shared" si="16"/>
        <v>Jun</v>
      </c>
      <c r="D558" s="2" t="s">
        <v>1069</v>
      </c>
      <c r="E558" s="2" t="s">
        <v>61</v>
      </c>
      <c r="F558" s="2" t="s">
        <v>119</v>
      </c>
      <c r="G558" s="2" t="s">
        <v>15</v>
      </c>
      <c r="H558" s="2" t="s">
        <v>116</v>
      </c>
      <c r="I558" s="13">
        <v>10</v>
      </c>
      <c r="J558" s="10">
        <v>13957.99</v>
      </c>
      <c r="K558" s="10">
        <f t="shared" si="17"/>
        <v>139579.9</v>
      </c>
      <c r="L558" s="2">
        <v>0.1</v>
      </c>
      <c r="M558" s="2" t="s">
        <v>66</v>
      </c>
      <c r="N558" s="2" t="s">
        <v>42</v>
      </c>
    </row>
    <row r="559" spans="1:14" x14ac:dyDescent="0.2">
      <c r="A559" s="13">
        <v>100016</v>
      </c>
      <c r="B559" s="5">
        <v>45426</v>
      </c>
      <c r="C559" s="5" t="str">
        <f t="shared" si="16"/>
        <v>May</v>
      </c>
      <c r="D559" s="2" t="s">
        <v>601</v>
      </c>
      <c r="E559" s="2" t="s">
        <v>37</v>
      </c>
      <c r="F559" s="2" t="s">
        <v>69</v>
      </c>
      <c r="G559" s="2" t="s">
        <v>106</v>
      </c>
      <c r="H559" s="2" t="s">
        <v>135</v>
      </c>
      <c r="I559" s="13">
        <v>7</v>
      </c>
      <c r="J559" s="10">
        <v>4121.3500000000004</v>
      </c>
      <c r="K559" s="10">
        <f t="shared" si="17"/>
        <v>28849.450000000004</v>
      </c>
      <c r="L559" s="2">
        <v>0.15</v>
      </c>
      <c r="M559" s="2" t="s">
        <v>41</v>
      </c>
      <c r="N559" s="2" t="s">
        <v>87</v>
      </c>
    </row>
    <row r="560" spans="1:14" x14ac:dyDescent="0.2">
      <c r="A560" s="13">
        <v>101497</v>
      </c>
      <c r="B560" s="5">
        <v>45654</v>
      </c>
      <c r="C560" s="5" t="str">
        <f t="shared" si="16"/>
        <v>Dec</v>
      </c>
      <c r="D560" s="2" t="s">
        <v>144</v>
      </c>
      <c r="E560" s="2" t="s">
        <v>31</v>
      </c>
      <c r="F560" s="2" t="s">
        <v>32</v>
      </c>
      <c r="G560" s="2" t="s">
        <v>33</v>
      </c>
      <c r="H560" s="2" t="s">
        <v>158</v>
      </c>
      <c r="I560" s="13">
        <v>11</v>
      </c>
      <c r="J560" s="10">
        <v>220.96</v>
      </c>
      <c r="K560" s="10">
        <f t="shared" si="17"/>
        <v>2430.56</v>
      </c>
      <c r="L560" s="2">
        <v>0.25</v>
      </c>
      <c r="M560" s="2" t="s">
        <v>41</v>
      </c>
      <c r="N560" s="2" t="s">
        <v>143</v>
      </c>
    </row>
    <row r="561" spans="1:14" x14ac:dyDescent="0.2">
      <c r="A561" s="13">
        <v>101803</v>
      </c>
      <c r="B561" s="5">
        <v>45379</v>
      </c>
      <c r="C561" s="5" t="str">
        <f t="shared" si="16"/>
        <v>Mar</v>
      </c>
      <c r="D561" s="2" t="s">
        <v>1069</v>
      </c>
      <c r="E561" s="2" t="s">
        <v>27</v>
      </c>
      <c r="F561" s="2" t="s">
        <v>21</v>
      </c>
      <c r="G561" s="2" t="s">
        <v>22</v>
      </c>
      <c r="H561" s="2" t="s">
        <v>141</v>
      </c>
      <c r="I561" s="13">
        <v>2</v>
      </c>
      <c r="J561" s="10">
        <v>3026.13</v>
      </c>
      <c r="K561" s="10">
        <f t="shared" si="17"/>
        <v>6052.26</v>
      </c>
      <c r="L561" s="2">
        <v>0</v>
      </c>
      <c r="M561" s="2" t="s">
        <v>29</v>
      </c>
      <c r="N561" s="2" t="s">
        <v>143</v>
      </c>
    </row>
    <row r="562" spans="1:14" x14ac:dyDescent="0.2">
      <c r="A562" s="13">
        <v>100670</v>
      </c>
      <c r="B562" s="5">
        <v>45513</v>
      </c>
      <c r="C562" s="5" t="str">
        <f t="shared" si="16"/>
        <v>Aug</v>
      </c>
      <c r="D562" s="2" t="s">
        <v>603</v>
      </c>
      <c r="E562" s="2" t="s">
        <v>37</v>
      </c>
      <c r="F562" s="2" t="s">
        <v>38</v>
      </c>
      <c r="G562" s="2" t="s">
        <v>22</v>
      </c>
      <c r="H562" s="2" t="s">
        <v>141</v>
      </c>
      <c r="I562" s="13">
        <v>6</v>
      </c>
      <c r="J562" s="10">
        <v>1661.71</v>
      </c>
      <c r="K562" s="10">
        <f t="shared" si="17"/>
        <v>9970.26</v>
      </c>
      <c r="L562" s="2">
        <v>0.25</v>
      </c>
      <c r="M562" s="2" t="s">
        <v>83</v>
      </c>
      <c r="N562" s="2" t="s">
        <v>35</v>
      </c>
    </row>
    <row r="563" spans="1:14" x14ac:dyDescent="0.2">
      <c r="A563" s="13">
        <v>101324</v>
      </c>
      <c r="B563" s="5">
        <v>45466</v>
      </c>
      <c r="C563" s="5" t="str">
        <f t="shared" si="16"/>
        <v>Jun</v>
      </c>
      <c r="D563" s="2" t="s">
        <v>460</v>
      </c>
      <c r="E563" s="2" t="s">
        <v>31</v>
      </c>
      <c r="F563" s="2" t="s">
        <v>54</v>
      </c>
      <c r="G563" s="2" t="s">
        <v>22</v>
      </c>
      <c r="H563" s="2" t="s">
        <v>23</v>
      </c>
      <c r="I563" s="13">
        <v>4</v>
      </c>
      <c r="J563" s="10">
        <v>3378.25</v>
      </c>
      <c r="K563" s="10">
        <f t="shared" si="17"/>
        <v>13513</v>
      </c>
      <c r="L563" s="2">
        <v>0</v>
      </c>
      <c r="M563" s="2" t="s">
        <v>66</v>
      </c>
      <c r="N563" s="2" t="s">
        <v>143</v>
      </c>
    </row>
    <row r="564" spans="1:14" x14ac:dyDescent="0.2">
      <c r="A564" s="13">
        <v>101422</v>
      </c>
      <c r="B564" s="5">
        <v>45367</v>
      </c>
      <c r="C564" s="5" t="str">
        <f t="shared" si="16"/>
        <v>Mar</v>
      </c>
      <c r="D564" s="2" t="s">
        <v>605</v>
      </c>
      <c r="E564" s="2" t="s">
        <v>31</v>
      </c>
      <c r="F564" s="2" t="s">
        <v>54</v>
      </c>
      <c r="G564" s="2" t="s">
        <v>50</v>
      </c>
      <c r="H564" s="2" t="s">
        <v>51</v>
      </c>
      <c r="I564" s="13">
        <v>3</v>
      </c>
      <c r="J564" s="10">
        <v>3942.45</v>
      </c>
      <c r="K564" s="10">
        <f t="shared" si="17"/>
        <v>11827.349999999999</v>
      </c>
      <c r="L564" s="2">
        <v>0</v>
      </c>
      <c r="M564" s="2" t="s">
        <v>24</v>
      </c>
      <c r="N564" s="2" t="s">
        <v>25</v>
      </c>
    </row>
    <row r="565" spans="1:14" x14ac:dyDescent="0.2">
      <c r="A565" s="13">
        <v>101617</v>
      </c>
      <c r="B565" s="5">
        <v>45610</v>
      </c>
      <c r="C565" s="5" t="str">
        <f t="shared" si="16"/>
        <v>Nov</v>
      </c>
      <c r="D565" s="2" t="s">
        <v>449</v>
      </c>
      <c r="E565" s="2" t="s">
        <v>27</v>
      </c>
      <c r="F565" s="2" t="s">
        <v>21</v>
      </c>
      <c r="G565" s="2" t="s">
        <v>22</v>
      </c>
      <c r="H565" s="2" t="s">
        <v>141</v>
      </c>
      <c r="I565" s="13">
        <v>3</v>
      </c>
      <c r="J565" s="10">
        <v>0</v>
      </c>
      <c r="K565" s="10">
        <f t="shared" si="17"/>
        <v>0</v>
      </c>
      <c r="L565" s="2">
        <v>0.15</v>
      </c>
      <c r="M565" s="2" t="s">
        <v>41</v>
      </c>
      <c r="N565" s="2" t="s">
        <v>35</v>
      </c>
    </row>
    <row r="566" spans="1:14" x14ac:dyDescent="0.2">
      <c r="A566" s="13">
        <v>100547</v>
      </c>
      <c r="B566" s="5">
        <v>45642</v>
      </c>
      <c r="C566" s="5" t="str">
        <f t="shared" si="16"/>
        <v>Dec</v>
      </c>
      <c r="D566" s="2" t="s">
        <v>560</v>
      </c>
      <c r="E566" s="2" t="s">
        <v>37</v>
      </c>
      <c r="F566" s="2" t="s">
        <v>69</v>
      </c>
      <c r="G566" s="2" t="s">
        <v>106</v>
      </c>
      <c r="H566" s="2" t="s">
        <v>156</v>
      </c>
      <c r="I566" s="13">
        <v>12</v>
      </c>
      <c r="J566" s="10">
        <v>4321.4399999999996</v>
      </c>
      <c r="K566" s="10">
        <f t="shared" si="17"/>
        <v>51857.279999999999</v>
      </c>
      <c r="L566" s="2">
        <v>0.25</v>
      </c>
      <c r="M566" s="2" t="s">
        <v>83</v>
      </c>
      <c r="N566" s="2" t="s">
        <v>35</v>
      </c>
    </row>
    <row r="567" spans="1:14" x14ac:dyDescent="0.2">
      <c r="A567" s="13">
        <v>101962</v>
      </c>
      <c r="B567" s="5">
        <v>45319</v>
      </c>
      <c r="C567" s="5" t="str">
        <f t="shared" si="16"/>
        <v>Jan</v>
      </c>
      <c r="D567" s="2" t="s">
        <v>1069</v>
      </c>
      <c r="E567" s="2" t="s">
        <v>27</v>
      </c>
      <c r="F567" s="2" t="s">
        <v>21</v>
      </c>
      <c r="G567" s="2" t="s">
        <v>22</v>
      </c>
      <c r="H567" s="2" t="s">
        <v>23</v>
      </c>
      <c r="I567" s="13">
        <v>7</v>
      </c>
      <c r="J567" s="10">
        <v>1603.41</v>
      </c>
      <c r="K567" s="10">
        <f t="shared" si="17"/>
        <v>11223.87</v>
      </c>
      <c r="L567" s="2">
        <v>0.25</v>
      </c>
      <c r="M567" s="2" t="s">
        <v>17</v>
      </c>
      <c r="N567" s="2" t="s">
        <v>52</v>
      </c>
    </row>
    <row r="568" spans="1:14" x14ac:dyDescent="0.2">
      <c r="A568" s="13">
        <v>101595</v>
      </c>
      <c r="B568" s="5">
        <v>45395</v>
      </c>
      <c r="C568" s="5" t="str">
        <f t="shared" si="16"/>
        <v>Apr</v>
      </c>
      <c r="D568" s="2" t="s">
        <v>609</v>
      </c>
      <c r="E568" s="2" t="s">
        <v>61</v>
      </c>
      <c r="F568" s="2" t="s">
        <v>119</v>
      </c>
      <c r="G568" s="2" t="s">
        <v>64</v>
      </c>
      <c r="H568" s="2" t="s">
        <v>114</v>
      </c>
      <c r="I568" s="13">
        <v>3</v>
      </c>
      <c r="J568" s="10">
        <v>321.33</v>
      </c>
      <c r="K568" s="10">
        <f t="shared" si="17"/>
        <v>963.99</v>
      </c>
      <c r="L568" s="2">
        <v>0.2</v>
      </c>
      <c r="M568" s="2" t="s">
        <v>17</v>
      </c>
      <c r="N568" s="2" t="s">
        <v>42</v>
      </c>
    </row>
    <row r="569" spans="1:14" x14ac:dyDescent="0.2">
      <c r="A569" s="13">
        <v>100355</v>
      </c>
      <c r="B569" s="5">
        <v>45342</v>
      </c>
      <c r="C569" s="5" t="str">
        <f t="shared" si="16"/>
        <v>Feb</v>
      </c>
      <c r="D569" s="2" t="s">
        <v>422</v>
      </c>
      <c r="E569" s="2" t="s">
        <v>61</v>
      </c>
      <c r="F569" s="2" t="s">
        <v>14</v>
      </c>
      <c r="G569" s="2" t="s">
        <v>22</v>
      </c>
      <c r="H569" s="2" t="s">
        <v>145</v>
      </c>
      <c r="I569" s="13">
        <v>4</v>
      </c>
      <c r="J569" s="10">
        <v>2484.54</v>
      </c>
      <c r="K569" s="10">
        <f t="shared" si="17"/>
        <v>9938.16</v>
      </c>
      <c r="L569" s="2">
        <v>0.05</v>
      </c>
      <c r="M569" s="2" t="s">
        <v>41</v>
      </c>
      <c r="N569" s="2" t="s">
        <v>25</v>
      </c>
    </row>
    <row r="570" spans="1:14" x14ac:dyDescent="0.2">
      <c r="A570" s="13">
        <v>101721</v>
      </c>
      <c r="B570" s="5">
        <v>45341</v>
      </c>
      <c r="C570" s="5" t="str">
        <f t="shared" si="16"/>
        <v>Feb</v>
      </c>
      <c r="D570" s="2" t="s">
        <v>373</v>
      </c>
      <c r="E570" s="2" t="s">
        <v>140</v>
      </c>
      <c r="F570" s="2" t="s">
        <v>49</v>
      </c>
      <c r="G570" s="2" t="s">
        <v>64</v>
      </c>
      <c r="H570" s="2" t="s">
        <v>114</v>
      </c>
      <c r="I570" s="13">
        <v>12</v>
      </c>
      <c r="J570" s="10">
        <v>146</v>
      </c>
      <c r="K570" s="10">
        <f t="shared" si="17"/>
        <v>1752</v>
      </c>
      <c r="L570" s="2">
        <v>0</v>
      </c>
      <c r="M570" s="2" t="s">
        <v>17</v>
      </c>
      <c r="N570" s="2" t="s">
        <v>25</v>
      </c>
    </row>
    <row r="571" spans="1:14" x14ac:dyDescent="0.2">
      <c r="A571" s="13">
        <v>100208</v>
      </c>
      <c r="B571" s="5">
        <v>45407</v>
      </c>
      <c r="C571" s="5" t="str">
        <f t="shared" si="16"/>
        <v>Apr</v>
      </c>
      <c r="D571" s="2" t="s">
        <v>610</v>
      </c>
      <c r="E571" s="2" t="s">
        <v>37</v>
      </c>
      <c r="F571" s="2" t="s">
        <v>69</v>
      </c>
      <c r="G571" s="2" t="s">
        <v>106</v>
      </c>
      <c r="H571" s="2" t="s">
        <v>137</v>
      </c>
      <c r="I571" s="13">
        <v>2</v>
      </c>
      <c r="J571" s="10">
        <v>3447.7</v>
      </c>
      <c r="K571" s="10">
        <f t="shared" si="17"/>
        <v>6895.4</v>
      </c>
      <c r="L571" s="2">
        <v>0.15</v>
      </c>
      <c r="M571" s="2" t="s">
        <v>83</v>
      </c>
      <c r="N571" s="2" t="s">
        <v>121</v>
      </c>
    </row>
    <row r="572" spans="1:14" x14ac:dyDescent="0.2">
      <c r="A572" s="13">
        <v>100604</v>
      </c>
      <c r="B572" s="5">
        <v>45656</v>
      </c>
      <c r="C572" s="5" t="str">
        <f t="shared" si="16"/>
        <v>Dec</v>
      </c>
      <c r="D572" s="2" t="s">
        <v>612</v>
      </c>
      <c r="E572" s="2" t="s">
        <v>31</v>
      </c>
      <c r="F572" s="2" t="s">
        <v>32</v>
      </c>
      <c r="G572" s="2" t="s">
        <v>33</v>
      </c>
      <c r="H572" s="2" t="s">
        <v>81</v>
      </c>
      <c r="I572" s="13">
        <v>9</v>
      </c>
      <c r="J572" s="10">
        <v>65.98</v>
      </c>
      <c r="K572" s="10">
        <f t="shared" si="17"/>
        <v>593.82000000000005</v>
      </c>
      <c r="L572" s="2">
        <v>0.25</v>
      </c>
      <c r="M572" s="2" t="s">
        <v>41</v>
      </c>
      <c r="N572" s="2" t="s">
        <v>121</v>
      </c>
    </row>
    <row r="573" spans="1:14" x14ac:dyDescent="0.2">
      <c r="A573" s="13">
        <v>100755</v>
      </c>
      <c r="B573" s="5">
        <v>45619</v>
      </c>
      <c r="C573" s="5" t="str">
        <f t="shared" si="16"/>
        <v>Nov</v>
      </c>
      <c r="D573" s="2" t="s">
        <v>331</v>
      </c>
      <c r="E573" s="2" t="s">
        <v>37</v>
      </c>
      <c r="F573" s="2" t="s">
        <v>69</v>
      </c>
      <c r="G573" s="2" t="s">
        <v>45</v>
      </c>
      <c r="H573" s="2" t="s">
        <v>71</v>
      </c>
      <c r="I573" s="13">
        <v>1</v>
      </c>
      <c r="J573" s="10">
        <v>17503.86</v>
      </c>
      <c r="K573" s="10">
        <f t="shared" si="17"/>
        <v>17503.86</v>
      </c>
      <c r="L573" s="2">
        <v>0</v>
      </c>
      <c r="M573" s="2" t="s">
        <v>24</v>
      </c>
      <c r="N573" s="2" t="s">
        <v>35</v>
      </c>
    </row>
    <row r="574" spans="1:14" x14ac:dyDescent="0.2">
      <c r="A574" s="13">
        <v>101539</v>
      </c>
      <c r="B574" s="5">
        <v>45560</v>
      </c>
      <c r="C574" s="5" t="str">
        <f t="shared" si="16"/>
        <v>Sep</v>
      </c>
      <c r="D574" s="2" t="s">
        <v>243</v>
      </c>
      <c r="E574" s="2" t="s">
        <v>140</v>
      </c>
      <c r="F574" s="2" t="s">
        <v>79</v>
      </c>
      <c r="G574" s="2" t="s">
        <v>50</v>
      </c>
      <c r="H574" s="2" t="s">
        <v>56</v>
      </c>
      <c r="I574" s="13">
        <v>12</v>
      </c>
      <c r="J574" s="10">
        <v>4168.87</v>
      </c>
      <c r="K574" s="10">
        <f t="shared" si="17"/>
        <v>50026.44</v>
      </c>
      <c r="L574" s="2">
        <v>0.2</v>
      </c>
      <c r="M574" s="2" t="s">
        <v>29</v>
      </c>
      <c r="N574" s="2" t="s">
        <v>121</v>
      </c>
    </row>
    <row r="575" spans="1:14" x14ac:dyDescent="0.2">
      <c r="A575" s="13">
        <v>100417</v>
      </c>
      <c r="B575" s="5">
        <v>45586</v>
      </c>
      <c r="C575" s="5" t="str">
        <f t="shared" si="16"/>
        <v>Oct</v>
      </c>
      <c r="D575" s="2" t="s">
        <v>613</v>
      </c>
      <c r="E575" s="2" t="s">
        <v>37</v>
      </c>
      <c r="F575" s="2" t="s">
        <v>38</v>
      </c>
      <c r="G575" s="2" t="s">
        <v>106</v>
      </c>
      <c r="H575" s="2" t="s">
        <v>103</v>
      </c>
      <c r="I575" s="13">
        <v>4</v>
      </c>
      <c r="J575" s="10">
        <v>3283.82</v>
      </c>
      <c r="K575" s="10">
        <f t="shared" si="17"/>
        <v>13135.28</v>
      </c>
      <c r="L575" s="2">
        <v>0</v>
      </c>
      <c r="M575" s="2" t="s">
        <v>29</v>
      </c>
      <c r="N575" s="2" t="s">
        <v>121</v>
      </c>
    </row>
    <row r="576" spans="1:14" x14ac:dyDescent="0.2">
      <c r="A576" s="13">
        <v>101447</v>
      </c>
      <c r="B576" s="5">
        <v>45416</v>
      </c>
      <c r="C576" s="5" t="str">
        <f t="shared" si="16"/>
        <v>May</v>
      </c>
      <c r="D576" s="2" t="s">
        <v>614</v>
      </c>
      <c r="E576" s="2" t="s">
        <v>31</v>
      </c>
      <c r="F576" s="2" t="s">
        <v>32</v>
      </c>
      <c r="G576" s="2" t="s">
        <v>33</v>
      </c>
      <c r="H576" s="2" t="s">
        <v>81</v>
      </c>
      <c r="I576" s="13">
        <v>2</v>
      </c>
      <c r="J576" s="10">
        <v>244.82</v>
      </c>
      <c r="K576" s="10">
        <f t="shared" si="17"/>
        <v>489.64</v>
      </c>
      <c r="L576" s="2">
        <v>0.1</v>
      </c>
      <c r="M576" s="2" t="s">
        <v>41</v>
      </c>
      <c r="N576" s="2" t="s">
        <v>18</v>
      </c>
    </row>
    <row r="577" spans="1:14" x14ac:dyDescent="0.2">
      <c r="A577" s="13">
        <v>101409</v>
      </c>
      <c r="B577" s="5">
        <v>45652</v>
      </c>
      <c r="C577" s="5" t="str">
        <f t="shared" si="16"/>
        <v>Dec</v>
      </c>
      <c r="D577" s="2" t="s">
        <v>615</v>
      </c>
      <c r="E577" s="2" t="s">
        <v>61</v>
      </c>
      <c r="F577" s="2" t="s">
        <v>119</v>
      </c>
      <c r="G577" s="2" t="s">
        <v>50</v>
      </c>
      <c r="H577" s="2" t="s">
        <v>207</v>
      </c>
      <c r="I577" s="13">
        <v>6</v>
      </c>
      <c r="J577" s="10">
        <v>2185.5100000000002</v>
      </c>
      <c r="K577" s="10">
        <f t="shared" si="17"/>
        <v>13113.060000000001</v>
      </c>
      <c r="L577" s="2">
        <v>0</v>
      </c>
      <c r="M577" s="2" t="s">
        <v>41</v>
      </c>
      <c r="N577" s="2" t="s">
        <v>35</v>
      </c>
    </row>
    <row r="578" spans="1:14" x14ac:dyDescent="0.2">
      <c r="A578" s="13">
        <v>101190</v>
      </c>
      <c r="B578" s="5">
        <v>45522</v>
      </c>
      <c r="C578" s="5" t="str">
        <f t="shared" ref="C578:C641" si="18">TEXT(B578,"mmm")</f>
        <v>Aug</v>
      </c>
      <c r="D578" s="2" t="s">
        <v>616</v>
      </c>
      <c r="E578" s="2" t="s">
        <v>31</v>
      </c>
      <c r="F578" s="2" t="s">
        <v>54</v>
      </c>
      <c r="G578" s="2" t="s">
        <v>106</v>
      </c>
      <c r="H578" s="2" t="s">
        <v>156</v>
      </c>
      <c r="I578" s="13">
        <v>7</v>
      </c>
      <c r="J578" s="10">
        <v>668.25</v>
      </c>
      <c r="K578" s="10">
        <f t="shared" ref="K578:K641" si="19">I578*J578</f>
        <v>4677.75</v>
      </c>
      <c r="L578" s="2">
        <v>0.1</v>
      </c>
      <c r="M578" s="2" t="s">
        <v>41</v>
      </c>
      <c r="N578" s="2" t="s">
        <v>121</v>
      </c>
    </row>
    <row r="579" spans="1:14" x14ac:dyDescent="0.2">
      <c r="A579" s="13">
        <v>100716</v>
      </c>
      <c r="B579" s="5">
        <v>45432</v>
      </c>
      <c r="C579" s="5" t="str">
        <f t="shared" si="18"/>
        <v>May</v>
      </c>
      <c r="D579" s="2" t="s">
        <v>53</v>
      </c>
      <c r="E579" s="2" t="s">
        <v>27</v>
      </c>
      <c r="F579" s="2" t="s">
        <v>133</v>
      </c>
      <c r="G579" s="2" t="s">
        <v>64</v>
      </c>
      <c r="H579" s="2" t="s">
        <v>114</v>
      </c>
      <c r="I579" s="13"/>
      <c r="J579" s="10">
        <v>501.13</v>
      </c>
      <c r="K579" s="10">
        <f t="shared" si="19"/>
        <v>0</v>
      </c>
      <c r="L579" s="2">
        <v>0</v>
      </c>
      <c r="M579" s="2" t="s">
        <v>29</v>
      </c>
      <c r="N579" s="2" t="s">
        <v>52</v>
      </c>
    </row>
    <row r="580" spans="1:14" x14ac:dyDescent="0.2">
      <c r="A580" s="13">
        <v>101115</v>
      </c>
      <c r="B580" s="5">
        <v>45589</v>
      </c>
      <c r="C580" s="5" t="str">
        <f t="shared" si="18"/>
        <v>Oct</v>
      </c>
      <c r="D580" s="2" t="s">
        <v>1069</v>
      </c>
      <c r="E580" s="2" t="s">
        <v>61</v>
      </c>
      <c r="F580" s="2" t="s">
        <v>14</v>
      </c>
      <c r="G580" s="2" t="s">
        <v>33</v>
      </c>
      <c r="H580" s="2" t="s">
        <v>34</v>
      </c>
      <c r="I580" s="13">
        <v>9</v>
      </c>
      <c r="J580" s="10">
        <v>118.17</v>
      </c>
      <c r="K580" s="10">
        <f t="shared" si="19"/>
        <v>1063.53</v>
      </c>
      <c r="L580" s="2">
        <v>0</v>
      </c>
      <c r="M580" s="2" t="s">
        <v>29</v>
      </c>
      <c r="N580" s="2" t="s">
        <v>143</v>
      </c>
    </row>
    <row r="581" spans="1:14" x14ac:dyDescent="0.2">
      <c r="A581" s="13">
        <v>101538</v>
      </c>
      <c r="B581" s="5">
        <v>45430</v>
      </c>
      <c r="C581" s="5" t="str">
        <f t="shared" si="18"/>
        <v>May</v>
      </c>
      <c r="D581" s="2" t="s">
        <v>619</v>
      </c>
      <c r="E581" s="2" t="s">
        <v>37</v>
      </c>
      <c r="F581" s="2" t="s">
        <v>38</v>
      </c>
      <c r="G581" s="2" t="s">
        <v>15</v>
      </c>
      <c r="H581" s="2" t="s">
        <v>16</v>
      </c>
      <c r="I581" s="13">
        <v>2</v>
      </c>
      <c r="J581" s="10">
        <v>20301.02</v>
      </c>
      <c r="K581" s="10">
        <f t="shared" si="19"/>
        <v>40602.04</v>
      </c>
      <c r="L581" s="2">
        <v>0.05</v>
      </c>
      <c r="M581" s="2" t="s">
        <v>41</v>
      </c>
      <c r="N581" s="2" t="s">
        <v>87</v>
      </c>
    </row>
    <row r="582" spans="1:14" x14ac:dyDescent="0.2">
      <c r="A582" s="13">
        <v>100537</v>
      </c>
      <c r="B582" s="5">
        <v>45313</v>
      </c>
      <c r="C582" s="5" t="str">
        <f t="shared" si="18"/>
        <v>Jan</v>
      </c>
      <c r="D582" s="2" t="s">
        <v>370</v>
      </c>
      <c r="E582" s="2" t="s">
        <v>31</v>
      </c>
      <c r="F582" s="2" t="s">
        <v>32</v>
      </c>
      <c r="G582" s="2" t="s">
        <v>22</v>
      </c>
      <c r="H582" s="2" t="s">
        <v>23</v>
      </c>
      <c r="I582" s="13">
        <v>5</v>
      </c>
      <c r="J582" s="10">
        <v>1113.02</v>
      </c>
      <c r="K582" s="10">
        <f t="shared" si="19"/>
        <v>5565.1</v>
      </c>
      <c r="L582" s="2">
        <v>0.2</v>
      </c>
      <c r="M582" s="2" t="s">
        <v>29</v>
      </c>
      <c r="N582" s="2" t="s">
        <v>25</v>
      </c>
    </row>
    <row r="583" spans="1:14" x14ac:dyDescent="0.2">
      <c r="A583" s="13">
        <v>100349</v>
      </c>
      <c r="B583" s="5">
        <v>45333</v>
      </c>
      <c r="C583" s="5" t="str">
        <f t="shared" si="18"/>
        <v>Feb</v>
      </c>
      <c r="D583" s="2" t="s">
        <v>620</v>
      </c>
      <c r="E583" s="2" t="s">
        <v>27</v>
      </c>
      <c r="F583" s="2" t="s">
        <v>21</v>
      </c>
      <c r="G583" s="2" t="s">
        <v>33</v>
      </c>
      <c r="H583" s="2" t="s">
        <v>93</v>
      </c>
      <c r="I583" s="13">
        <v>2</v>
      </c>
      <c r="J583" s="10">
        <v>485.42</v>
      </c>
      <c r="K583" s="10">
        <f t="shared" si="19"/>
        <v>970.84</v>
      </c>
      <c r="L583" s="2">
        <v>0</v>
      </c>
      <c r="M583" s="2" t="s">
        <v>83</v>
      </c>
      <c r="N583" s="2" t="s">
        <v>121</v>
      </c>
    </row>
    <row r="584" spans="1:14" x14ac:dyDescent="0.2">
      <c r="A584" s="13">
        <v>101052</v>
      </c>
      <c r="B584" s="5">
        <v>45646</v>
      </c>
      <c r="C584" s="5" t="str">
        <f t="shared" si="18"/>
        <v>Dec</v>
      </c>
      <c r="D584" s="2" t="s">
        <v>457</v>
      </c>
      <c r="E584" s="2" t="s">
        <v>61</v>
      </c>
      <c r="F584" s="2" t="s">
        <v>119</v>
      </c>
      <c r="G584" s="2" t="s">
        <v>33</v>
      </c>
      <c r="H584" s="2" t="s">
        <v>81</v>
      </c>
      <c r="I584" s="13">
        <v>1</v>
      </c>
      <c r="J584" s="10">
        <v>202.42</v>
      </c>
      <c r="K584" s="10">
        <f t="shared" si="19"/>
        <v>202.42</v>
      </c>
      <c r="L584" s="2">
        <v>0.2</v>
      </c>
      <c r="M584" s="2" t="s">
        <v>17</v>
      </c>
      <c r="N584" s="2" t="s">
        <v>143</v>
      </c>
    </row>
    <row r="585" spans="1:14" x14ac:dyDescent="0.2">
      <c r="A585" s="13">
        <v>100404</v>
      </c>
      <c r="B585" s="5">
        <v>45606</v>
      </c>
      <c r="C585" s="5" t="str">
        <f t="shared" si="18"/>
        <v>Nov</v>
      </c>
      <c r="D585" s="2" t="s">
        <v>509</v>
      </c>
      <c r="E585" s="2" t="s">
        <v>61</v>
      </c>
      <c r="F585" s="2" t="s">
        <v>119</v>
      </c>
      <c r="G585" s="2" t="s">
        <v>45</v>
      </c>
      <c r="H585" s="2" t="s">
        <v>111</v>
      </c>
      <c r="I585" s="13">
        <v>2</v>
      </c>
      <c r="J585" s="10">
        <v>32455.01</v>
      </c>
      <c r="K585" s="10">
        <f t="shared" si="19"/>
        <v>64910.02</v>
      </c>
      <c r="L585" s="2">
        <v>0.2</v>
      </c>
      <c r="M585" s="2" t="s">
        <v>83</v>
      </c>
      <c r="N585" s="2" t="s">
        <v>25</v>
      </c>
    </row>
    <row r="586" spans="1:14" x14ac:dyDescent="0.2">
      <c r="A586" s="13">
        <v>100363</v>
      </c>
      <c r="B586" s="5">
        <v>45301</v>
      </c>
      <c r="C586" s="5" t="str">
        <f t="shared" si="18"/>
        <v>Jan</v>
      </c>
      <c r="D586" s="2" t="s">
        <v>621</v>
      </c>
      <c r="E586" s="2" t="s">
        <v>140</v>
      </c>
      <c r="F586" s="2" t="s">
        <v>79</v>
      </c>
      <c r="G586" s="2" t="s">
        <v>22</v>
      </c>
      <c r="H586" s="2" t="s">
        <v>145</v>
      </c>
      <c r="I586" s="13"/>
      <c r="J586" s="10">
        <v>1661.94</v>
      </c>
      <c r="K586" s="10">
        <f t="shared" si="19"/>
        <v>0</v>
      </c>
      <c r="L586" s="2">
        <v>0</v>
      </c>
      <c r="M586" s="2" t="s">
        <v>29</v>
      </c>
      <c r="N586" s="2" t="s">
        <v>42</v>
      </c>
    </row>
    <row r="587" spans="1:14" x14ac:dyDescent="0.2">
      <c r="A587" s="13">
        <v>100027</v>
      </c>
      <c r="B587" s="5">
        <v>45333</v>
      </c>
      <c r="C587" s="5" t="str">
        <f t="shared" si="18"/>
        <v>Feb</v>
      </c>
      <c r="D587" s="2" t="s">
        <v>572</v>
      </c>
      <c r="E587" s="2" t="s">
        <v>27</v>
      </c>
      <c r="F587" s="2" t="s">
        <v>21</v>
      </c>
      <c r="G587" s="2" t="s">
        <v>45</v>
      </c>
      <c r="H587" s="2" t="s">
        <v>71</v>
      </c>
      <c r="I587" s="13">
        <v>7</v>
      </c>
      <c r="J587" s="10">
        <v>15739.84</v>
      </c>
      <c r="K587" s="10">
        <f t="shared" si="19"/>
        <v>110178.88</v>
      </c>
      <c r="L587" s="2">
        <v>0</v>
      </c>
      <c r="M587" s="2" t="s">
        <v>29</v>
      </c>
      <c r="N587" s="2" t="s">
        <v>143</v>
      </c>
    </row>
    <row r="588" spans="1:14" x14ac:dyDescent="0.2">
      <c r="A588" s="13">
        <v>101734</v>
      </c>
      <c r="B588" s="5">
        <v>45532</v>
      </c>
      <c r="C588" s="5" t="str">
        <f t="shared" si="18"/>
        <v>Aug</v>
      </c>
      <c r="D588" s="2" t="s">
        <v>487</v>
      </c>
      <c r="E588" s="2" t="s">
        <v>37</v>
      </c>
      <c r="F588" s="2" t="s">
        <v>69</v>
      </c>
      <c r="G588" s="2" t="s">
        <v>50</v>
      </c>
      <c r="H588" s="2" t="s">
        <v>56</v>
      </c>
      <c r="I588" s="13">
        <v>10</v>
      </c>
      <c r="J588" s="10">
        <v>1832.99</v>
      </c>
      <c r="K588" s="10">
        <f t="shared" si="19"/>
        <v>18329.900000000001</v>
      </c>
      <c r="L588" s="2">
        <v>0.15</v>
      </c>
      <c r="M588" s="2" t="s">
        <v>83</v>
      </c>
      <c r="N588" s="2" t="s">
        <v>25</v>
      </c>
    </row>
    <row r="589" spans="1:14" x14ac:dyDescent="0.2">
      <c r="A589" s="13">
        <v>101191</v>
      </c>
      <c r="B589" s="5">
        <v>45453</v>
      </c>
      <c r="C589" s="5" t="str">
        <f t="shared" si="18"/>
        <v>Jun</v>
      </c>
      <c r="D589" s="2" t="s">
        <v>622</v>
      </c>
      <c r="E589" s="2" t="s">
        <v>31</v>
      </c>
      <c r="F589" s="2" t="s">
        <v>54</v>
      </c>
      <c r="G589" s="2" t="s">
        <v>106</v>
      </c>
      <c r="H589" s="2" t="s">
        <v>156</v>
      </c>
      <c r="I589" s="13">
        <v>6</v>
      </c>
      <c r="J589" s="10">
        <v>2434.9299999999998</v>
      </c>
      <c r="K589" s="10">
        <f t="shared" si="19"/>
        <v>14609.579999999998</v>
      </c>
      <c r="L589" s="2">
        <v>0.2</v>
      </c>
      <c r="M589" s="2" t="s">
        <v>17</v>
      </c>
      <c r="N589" s="2" t="s">
        <v>42</v>
      </c>
    </row>
    <row r="590" spans="1:14" x14ac:dyDescent="0.2">
      <c r="A590" s="13">
        <v>100178</v>
      </c>
      <c r="B590" s="5">
        <v>45476</v>
      </c>
      <c r="C590" s="5" t="str">
        <f t="shared" si="18"/>
        <v>Jul</v>
      </c>
      <c r="D590" s="2" t="s">
        <v>180</v>
      </c>
      <c r="E590" s="2" t="s">
        <v>37</v>
      </c>
      <c r="F590" s="2" t="s">
        <v>69</v>
      </c>
      <c r="G590" s="2" t="s">
        <v>22</v>
      </c>
      <c r="H590" s="2" t="s">
        <v>145</v>
      </c>
      <c r="I590" s="13">
        <v>4</v>
      </c>
      <c r="J590" s="10">
        <v>1090.3900000000001</v>
      </c>
      <c r="K590" s="10">
        <f t="shared" si="19"/>
        <v>4361.5600000000004</v>
      </c>
      <c r="L590" s="2">
        <v>0.25</v>
      </c>
      <c r="M590" s="2" t="s">
        <v>66</v>
      </c>
      <c r="N590" s="2" t="s">
        <v>143</v>
      </c>
    </row>
    <row r="591" spans="1:14" x14ac:dyDescent="0.2">
      <c r="A591" s="13">
        <v>101957</v>
      </c>
      <c r="B591" s="5">
        <v>45619</v>
      </c>
      <c r="C591" s="5" t="str">
        <f t="shared" si="18"/>
        <v>Nov</v>
      </c>
      <c r="D591" s="2" t="s">
        <v>544</v>
      </c>
      <c r="E591" s="2" t="s">
        <v>31</v>
      </c>
      <c r="F591" s="2" t="s">
        <v>54</v>
      </c>
      <c r="G591" s="2" t="s">
        <v>45</v>
      </c>
      <c r="H591" s="2" t="s">
        <v>71</v>
      </c>
      <c r="I591" s="13">
        <v>3</v>
      </c>
      <c r="J591" s="10">
        <v>38295.360000000001</v>
      </c>
      <c r="K591" s="10">
        <f t="shared" si="19"/>
        <v>114886.08</v>
      </c>
      <c r="L591" s="2">
        <v>0</v>
      </c>
      <c r="M591" s="2" t="s">
        <v>66</v>
      </c>
      <c r="N591" s="2" t="s">
        <v>18</v>
      </c>
    </row>
    <row r="592" spans="1:14" x14ac:dyDescent="0.2">
      <c r="A592" s="13">
        <v>101615</v>
      </c>
      <c r="B592" s="5">
        <v>45612</v>
      </c>
      <c r="C592" s="5" t="str">
        <f t="shared" si="18"/>
        <v>Nov</v>
      </c>
      <c r="D592" s="2" t="s">
        <v>451</v>
      </c>
      <c r="E592" s="2" t="s">
        <v>27</v>
      </c>
      <c r="F592" s="2" t="s">
        <v>133</v>
      </c>
      <c r="G592" s="2" t="s">
        <v>22</v>
      </c>
      <c r="H592" s="2" t="s">
        <v>232</v>
      </c>
      <c r="I592" s="13">
        <v>1</v>
      </c>
      <c r="J592" s="10">
        <v>1481.3</v>
      </c>
      <c r="K592" s="10">
        <f t="shared" si="19"/>
        <v>1481.3</v>
      </c>
      <c r="L592" s="2">
        <v>0</v>
      </c>
      <c r="M592" s="2" t="s">
        <v>41</v>
      </c>
      <c r="N592" s="2" t="s">
        <v>42</v>
      </c>
    </row>
    <row r="593" spans="1:14" x14ac:dyDescent="0.2">
      <c r="A593" s="13">
        <v>100636</v>
      </c>
      <c r="B593" s="5">
        <v>45580</v>
      </c>
      <c r="C593" s="5" t="str">
        <f t="shared" si="18"/>
        <v>Oct</v>
      </c>
      <c r="D593" s="2" t="s">
        <v>623</v>
      </c>
      <c r="E593" s="2" t="s">
        <v>37</v>
      </c>
      <c r="F593" s="2" t="s">
        <v>69</v>
      </c>
      <c r="G593" s="2" t="s">
        <v>22</v>
      </c>
      <c r="H593" s="2" t="s">
        <v>141</v>
      </c>
      <c r="I593" s="13">
        <v>1</v>
      </c>
      <c r="J593" s="10">
        <v>2694.02</v>
      </c>
      <c r="K593" s="10">
        <f t="shared" si="19"/>
        <v>2694.02</v>
      </c>
      <c r="L593" s="2">
        <v>0.05</v>
      </c>
      <c r="M593" s="2" t="s">
        <v>29</v>
      </c>
      <c r="N593" s="2" t="s">
        <v>35</v>
      </c>
    </row>
    <row r="594" spans="1:14" x14ac:dyDescent="0.2">
      <c r="A594" s="13">
        <v>100692</v>
      </c>
      <c r="B594" s="5">
        <v>45432</v>
      </c>
      <c r="C594" s="5" t="str">
        <f t="shared" si="18"/>
        <v>May</v>
      </c>
      <c r="D594" s="2" t="s">
        <v>358</v>
      </c>
      <c r="E594" s="2" t="s">
        <v>61</v>
      </c>
      <c r="F594" s="2" t="s">
        <v>119</v>
      </c>
      <c r="G594" s="2" t="s">
        <v>50</v>
      </c>
      <c r="H594" s="2" t="s">
        <v>56</v>
      </c>
      <c r="I594" s="13">
        <v>12</v>
      </c>
      <c r="J594" s="10">
        <v>3319</v>
      </c>
      <c r="K594" s="10">
        <f t="shared" si="19"/>
        <v>39828</v>
      </c>
      <c r="L594" s="2">
        <v>0.25</v>
      </c>
      <c r="M594" s="2" t="s">
        <v>24</v>
      </c>
      <c r="N594" s="2" t="s">
        <v>18</v>
      </c>
    </row>
    <row r="595" spans="1:14" x14ac:dyDescent="0.2">
      <c r="A595" s="13">
        <v>100253</v>
      </c>
      <c r="B595" s="5">
        <v>45370</v>
      </c>
      <c r="C595" s="5" t="str">
        <f t="shared" si="18"/>
        <v>Mar</v>
      </c>
      <c r="D595" s="2" t="s">
        <v>68</v>
      </c>
      <c r="E595" s="2" t="s">
        <v>31</v>
      </c>
      <c r="F595" s="2" t="s">
        <v>32</v>
      </c>
      <c r="G595" s="2" t="s">
        <v>45</v>
      </c>
      <c r="H595" s="2" t="s">
        <v>153</v>
      </c>
      <c r="I595" s="13">
        <v>7</v>
      </c>
      <c r="J595" s="10">
        <v>17532.77</v>
      </c>
      <c r="K595" s="10">
        <f t="shared" si="19"/>
        <v>122729.39</v>
      </c>
      <c r="L595" s="2">
        <v>0.25</v>
      </c>
      <c r="M595" s="2" t="s">
        <v>66</v>
      </c>
      <c r="N595" s="2" t="s">
        <v>143</v>
      </c>
    </row>
    <row r="596" spans="1:14" x14ac:dyDescent="0.2">
      <c r="A596" s="13">
        <v>100415</v>
      </c>
      <c r="B596" s="5">
        <v>45459</v>
      </c>
      <c r="C596" s="5" t="str">
        <f t="shared" si="18"/>
        <v>Jun</v>
      </c>
      <c r="D596" s="2" t="s">
        <v>108</v>
      </c>
      <c r="E596" s="2" t="s">
        <v>61</v>
      </c>
      <c r="F596" s="2" t="s">
        <v>14</v>
      </c>
      <c r="G596" s="2" t="s">
        <v>106</v>
      </c>
      <c r="H596" s="2" t="s">
        <v>137</v>
      </c>
      <c r="I596" s="13">
        <v>11</v>
      </c>
      <c r="J596" s="10">
        <v>1593.81</v>
      </c>
      <c r="K596" s="10">
        <f t="shared" si="19"/>
        <v>17531.91</v>
      </c>
      <c r="L596" s="2">
        <v>0.2</v>
      </c>
      <c r="M596" s="2" t="s">
        <v>17</v>
      </c>
      <c r="N596" s="2" t="s">
        <v>35</v>
      </c>
    </row>
    <row r="597" spans="1:14" x14ac:dyDescent="0.2">
      <c r="A597" s="13">
        <v>100559</v>
      </c>
      <c r="B597" s="5">
        <v>45631</v>
      </c>
      <c r="C597" s="5" t="str">
        <f t="shared" si="18"/>
        <v>Dec</v>
      </c>
      <c r="D597" s="2" t="s">
        <v>433</v>
      </c>
      <c r="E597" s="2" t="s">
        <v>61</v>
      </c>
      <c r="F597" s="2" t="s">
        <v>119</v>
      </c>
      <c r="G597" s="2" t="s">
        <v>64</v>
      </c>
      <c r="H597" s="2" t="s">
        <v>40</v>
      </c>
      <c r="I597" s="13">
        <v>2</v>
      </c>
      <c r="J597" s="10">
        <v>756.64</v>
      </c>
      <c r="K597" s="10">
        <f t="shared" si="19"/>
        <v>1513.28</v>
      </c>
      <c r="L597" s="2">
        <v>0</v>
      </c>
      <c r="M597" s="2" t="s">
        <v>83</v>
      </c>
      <c r="N597" s="2" t="s">
        <v>35</v>
      </c>
    </row>
    <row r="598" spans="1:14" x14ac:dyDescent="0.2">
      <c r="A598" s="13">
        <v>100554</v>
      </c>
      <c r="B598" s="5">
        <v>45639</v>
      </c>
      <c r="C598" s="5" t="str">
        <f t="shared" si="18"/>
        <v>Dec</v>
      </c>
      <c r="D598" s="2" t="s">
        <v>1069</v>
      </c>
      <c r="E598" s="2" t="s">
        <v>61</v>
      </c>
      <c r="F598" s="2" t="s">
        <v>119</v>
      </c>
      <c r="G598" s="2" t="s">
        <v>106</v>
      </c>
      <c r="H598" s="2" t="s">
        <v>156</v>
      </c>
      <c r="I598" s="13">
        <v>11</v>
      </c>
      <c r="J598" s="10">
        <v>4475.0200000000004</v>
      </c>
      <c r="K598" s="10">
        <f t="shared" si="19"/>
        <v>49225.22</v>
      </c>
      <c r="L598" s="2">
        <v>0.1</v>
      </c>
      <c r="M598" s="2" t="s">
        <v>29</v>
      </c>
      <c r="N598" s="2" t="s">
        <v>121</v>
      </c>
    </row>
    <row r="599" spans="1:14" x14ac:dyDescent="0.2">
      <c r="A599" s="13">
        <v>100194</v>
      </c>
      <c r="B599" s="5">
        <v>45639</v>
      </c>
      <c r="C599" s="5" t="str">
        <f t="shared" si="18"/>
        <v>Dec</v>
      </c>
      <c r="D599" s="2" t="s">
        <v>406</v>
      </c>
      <c r="E599" s="2" t="s">
        <v>37</v>
      </c>
      <c r="F599" s="2" t="s">
        <v>38</v>
      </c>
      <c r="G599" s="2" t="s">
        <v>106</v>
      </c>
      <c r="H599" s="2" t="s">
        <v>135</v>
      </c>
      <c r="I599" s="13">
        <v>6</v>
      </c>
      <c r="J599" s="10">
        <v>3730.8</v>
      </c>
      <c r="K599" s="10">
        <f t="shared" si="19"/>
        <v>22384.800000000003</v>
      </c>
      <c r="L599" s="2">
        <v>0.2</v>
      </c>
      <c r="M599" s="2" t="s">
        <v>83</v>
      </c>
      <c r="N599" s="2" t="s">
        <v>35</v>
      </c>
    </row>
    <row r="600" spans="1:14" x14ac:dyDescent="0.2">
      <c r="A600" s="13">
        <v>101569</v>
      </c>
      <c r="B600" s="5">
        <v>45388</v>
      </c>
      <c r="C600" s="5" t="str">
        <f t="shared" si="18"/>
        <v>Apr</v>
      </c>
      <c r="D600" s="2" t="s">
        <v>626</v>
      </c>
      <c r="E600" s="2" t="s">
        <v>27</v>
      </c>
      <c r="F600" s="2" t="s">
        <v>21</v>
      </c>
      <c r="G600" s="2" t="s">
        <v>22</v>
      </c>
      <c r="H600" s="2" t="s">
        <v>141</v>
      </c>
      <c r="I600" s="13">
        <v>2</v>
      </c>
      <c r="J600" s="10">
        <v>2378.06</v>
      </c>
      <c r="K600" s="10">
        <f t="shared" si="19"/>
        <v>4756.12</v>
      </c>
      <c r="L600" s="2">
        <v>0</v>
      </c>
      <c r="M600" s="2" t="s">
        <v>83</v>
      </c>
      <c r="N600" s="2" t="s">
        <v>121</v>
      </c>
    </row>
    <row r="601" spans="1:14" x14ac:dyDescent="0.2">
      <c r="A601" s="13">
        <v>100719</v>
      </c>
      <c r="B601" s="5">
        <v>45397</v>
      </c>
      <c r="C601" s="5" t="str">
        <f t="shared" si="18"/>
        <v>Apr</v>
      </c>
      <c r="D601" s="2" t="s">
        <v>627</v>
      </c>
      <c r="E601" s="2" t="s">
        <v>140</v>
      </c>
      <c r="F601" s="2" t="s">
        <v>49</v>
      </c>
      <c r="G601" s="2" t="s">
        <v>45</v>
      </c>
      <c r="H601" s="2" t="s">
        <v>97</v>
      </c>
      <c r="I601" s="13">
        <v>2</v>
      </c>
      <c r="J601" s="10">
        <v>6811.24</v>
      </c>
      <c r="K601" s="10">
        <f t="shared" si="19"/>
        <v>13622.48</v>
      </c>
      <c r="L601" s="2">
        <v>0</v>
      </c>
      <c r="M601" s="2" t="s">
        <v>41</v>
      </c>
      <c r="N601" s="2" t="s">
        <v>87</v>
      </c>
    </row>
    <row r="602" spans="1:14" x14ac:dyDescent="0.2">
      <c r="A602" s="13">
        <v>101048</v>
      </c>
      <c r="B602" s="5">
        <v>45537</v>
      </c>
      <c r="C602" s="5" t="str">
        <f t="shared" si="18"/>
        <v>Sep</v>
      </c>
      <c r="D602" s="2" t="s">
        <v>628</v>
      </c>
      <c r="E602" s="2" t="s">
        <v>140</v>
      </c>
      <c r="F602" s="2" t="s">
        <v>79</v>
      </c>
      <c r="G602" s="2" t="s">
        <v>50</v>
      </c>
      <c r="H602" s="2" t="s">
        <v>51</v>
      </c>
      <c r="I602" s="13">
        <v>6</v>
      </c>
      <c r="J602" s="10">
        <v>8082.17</v>
      </c>
      <c r="K602" s="10">
        <f t="shared" si="19"/>
        <v>48493.020000000004</v>
      </c>
      <c r="L602" s="2">
        <v>0</v>
      </c>
      <c r="M602" s="2" t="s">
        <v>29</v>
      </c>
      <c r="N602" s="2" t="s">
        <v>35</v>
      </c>
    </row>
    <row r="603" spans="1:14" x14ac:dyDescent="0.2">
      <c r="A603" s="13">
        <v>100446</v>
      </c>
      <c r="B603" s="5">
        <v>45490</v>
      </c>
      <c r="C603" s="5" t="str">
        <f t="shared" si="18"/>
        <v>Jul</v>
      </c>
      <c r="D603" s="2" t="s">
        <v>475</v>
      </c>
      <c r="E603" s="2" t="s">
        <v>27</v>
      </c>
      <c r="F603" s="2" t="s">
        <v>21</v>
      </c>
      <c r="G603" s="2" t="s">
        <v>22</v>
      </c>
      <c r="H603" s="2" t="s">
        <v>145</v>
      </c>
      <c r="I603" s="13">
        <v>2</v>
      </c>
      <c r="J603" s="10">
        <v>441.84</v>
      </c>
      <c r="K603" s="10">
        <f t="shared" si="19"/>
        <v>883.68</v>
      </c>
      <c r="L603" s="2">
        <v>0</v>
      </c>
      <c r="M603" s="2" t="s">
        <v>24</v>
      </c>
      <c r="N603" s="2" t="s">
        <v>121</v>
      </c>
    </row>
    <row r="604" spans="1:14" x14ac:dyDescent="0.2">
      <c r="A604" s="13">
        <v>100805</v>
      </c>
      <c r="B604" s="5">
        <v>45439</v>
      </c>
      <c r="C604" s="5" t="str">
        <f t="shared" si="18"/>
        <v>May</v>
      </c>
      <c r="D604" s="2" t="s">
        <v>1073</v>
      </c>
      <c r="E604" s="2" t="s">
        <v>61</v>
      </c>
      <c r="F604" s="2" t="s">
        <v>119</v>
      </c>
      <c r="G604" s="2" t="s">
        <v>50</v>
      </c>
      <c r="H604" s="2" t="s">
        <v>207</v>
      </c>
      <c r="I604" s="13">
        <v>3</v>
      </c>
      <c r="J604" s="10">
        <v>9517.6299999999992</v>
      </c>
      <c r="K604" s="10">
        <f t="shared" si="19"/>
        <v>28552.89</v>
      </c>
      <c r="L604" s="2">
        <v>0.15</v>
      </c>
      <c r="M604" s="2" t="s">
        <v>41</v>
      </c>
      <c r="N604" s="2" t="s">
        <v>121</v>
      </c>
    </row>
    <row r="605" spans="1:14" x14ac:dyDescent="0.2">
      <c r="A605" s="13">
        <v>100949</v>
      </c>
      <c r="B605" s="5">
        <v>45364</v>
      </c>
      <c r="C605" s="5" t="str">
        <f t="shared" si="18"/>
        <v>Mar</v>
      </c>
      <c r="D605" s="2" t="s">
        <v>614</v>
      </c>
      <c r="E605" s="2" t="s">
        <v>61</v>
      </c>
      <c r="F605" s="2" t="s">
        <v>14</v>
      </c>
      <c r="G605" s="2" t="s">
        <v>22</v>
      </c>
      <c r="H605" s="2" t="s">
        <v>232</v>
      </c>
      <c r="I605" s="13">
        <v>4</v>
      </c>
      <c r="J605" s="10">
        <v>2262.4299999999998</v>
      </c>
      <c r="K605" s="10">
        <f t="shared" si="19"/>
        <v>9049.7199999999993</v>
      </c>
      <c r="L605" s="2">
        <v>0.25</v>
      </c>
      <c r="M605" s="2" t="s">
        <v>66</v>
      </c>
      <c r="N605" s="2" t="s">
        <v>143</v>
      </c>
    </row>
    <row r="606" spans="1:14" x14ac:dyDescent="0.2">
      <c r="A606" s="13">
        <v>101011</v>
      </c>
      <c r="B606" s="5">
        <v>45567</v>
      </c>
      <c r="C606" s="5" t="str">
        <f t="shared" si="18"/>
        <v>Oct</v>
      </c>
      <c r="D606" s="2" t="s">
        <v>718</v>
      </c>
      <c r="E606" s="2" t="s">
        <v>61</v>
      </c>
      <c r="F606" s="2" t="s">
        <v>119</v>
      </c>
      <c r="G606" s="2" t="s">
        <v>15</v>
      </c>
      <c r="H606" s="2" t="s">
        <v>116</v>
      </c>
      <c r="I606" s="13">
        <v>12</v>
      </c>
      <c r="J606" s="10">
        <v>2433.8000000000002</v>
      </c>
      <c r="K606" s="10">
        <f t="shared" si="19"/>
        <v>29205.600000000002</v>
      </c>
      <c r="L606" s="2">
        <v>0.1</v>
      </c>
      <c r="M606" s="2" t="s">
        <v>17</v>
      </c>
      <c r="N606" s="2" t="s">
        <v>143</v>
      </c>
    </row>
    <row r="607" spans="1:14" x14ac:dyDescent="0.2">
      <c r="A607" s="13">
        <v>101479</v>
      </c>
      <c r="B607" s="5">
        <v>45631</v>
      </c>
      <c r="C607" s="5" t="str">
        <f t="shared" si="18"/>
        <v>Dec</v>
      </c>
      <c r="D607" s="2" t="s">
        <v>631</v>
      </c>
      <c r="E607" s="2" t="s">
        <v>61</v>
      </c>
      <c r="F607" s="2" t="s">
        <v>119</v>
      </c>
      <c r="G607" s="2" t="s">
        <v>33</v>
      </c>
      <c r="H607" s="2" t="s">
        <v>81</v>
      </c>
      <c r="I607" s="13">
        <v>2</v>
      </c>
      <c r="J607" s="10">
        <v>485.57</v>
      </c>
      <c r="K607" s="10">
        <f t="shared" si="19"/>
        <v>971.14</v>
      </c>
      <c r="L607" s="2">
        <v>0</v>
      </c>
      <c r="M607" s="2" t="s">
        <v>17</v>
      </c>
      <c r="N607" s="2" t="s">
        <v>25</v>
      </c>
    </row>
    <row r="608" spans="1:14" x14ac:dyDescent="0.2">
      <c r="A608" s="13">
        <v>100452</v>
      </c>
      <c r="B608" s="5">
        <v>45479</v>
      </c>
      <c r="C608" s="5" t="str">
        <f t="shared" si="18"/>
        <v>Jul</v>
      </c>
      <c r="D608" s="2" t="s">
        <v>243</v>
      </c>
      <c r="E608" s="2" t="s">
        <v>31</v>
      </c>
      <c r="F608" s="2" t="s">
        <v>54</v>
      </c>
      <c r="G608" s="2" t="s">
        <v>15</v>
      </c>
      <c r="H608" s="2" t="s">
        <v>205</v>
      </c>
      <c r="I608" s="13">
        <v>12</v>
      </c>
      <c r="J608" s="10">
        <v>3284.91</v>
      </c>
      <c r="K608" s="10">
        <f t="shared" si="19"/>
        <v>39418.92</v>
      </c>
      <c r="L608" s="2">
        <v>0.2</v>
      </c>
      <c r="M608" s="2" t="s">
        <v>41</v>
      </c>
      <c r="N608" s="2" t="s">
        <v>121</v>
      </c>
    </row>
    <row r="609" spans="1:14" x14ac:dyDescent="0.2">
      <c r="A609" s="13">
        <v>101414</v>
      </c>
      <c r="B609" s="5">
        <v>45454</v>
      </c>
      <c r="C609" s="5" t="str">
        <f t="shared" si="18"/>
        <v>Jun</v>
      </c>
      <c r="D609" s="2" t="s">
        <v>334</v>
      </c>
      <c r="E609" s="2" t="s">
        <v>61</v>
      </c>
      <c r="F609" s="2" t="s">
        <v>14</v>
      </c>
      <c r="G609" s="2" t="s">
        <v>45</v>
      </c>
      <c r="H609" s="2" t="s">
        <v>111</v>
      </c>
      <c r="I609" s="13">
        <v>4</v>
      </c>
      <c r="J609" s="10">
        <v>18636.71</v>
      </c>
      <c r="K609" s="10">
        <f t="shared" si="19"/>
        <v>74546.84</v>
      </c>
      <c r="L609" s="2">
        <v>0.15</v>
      </c>
      <c r="M609" s="2" t="s">
        <v>41</v>
      </c>
      <c r="N609" s="2" t="s">
        <v>52</v>
      </c>
    </row>
    <row r="610" spans="1:14" x14ac:dyDescent="0.2">
      <c r="A610" s="13">
        <v>100465</v>
      </c>
      <c r="B610" s="5">
        <v>45493</v>
      </c>
      <c r="C610" s="5" t="str">
        <f t="shared" si="18"/>
        <v>Jul</v>
      </c>
      <c r="D610" s="2" t="s">
        <v>294</v>
      </c>
      <c r="E610" s="2" t="s">
        <v>31</v>
      </c>
      <c r="F610" s="2" t="s">
        <v>54</v>
      </c>
      <c r="G610" s="2" t="s">
        <v>22</v>
      </c>
      <c r="H610" s="2" t="s">
        <v>145</v>
      </c>
      <c r="I610" s="13">
        <v>10</v>
      </c>
      <c r="J610" s="10">
        <v>1606.33</v>
      </c>
      <c r="K610" s="10">
        <f t="shared" si="19"/>
        <v>16063.3</v>
      </c>
      <c r="L610" s="2">
        <v>0</v>
      </c>
      <c r="M610" s="2" t="s">
        <v>83</v>
      </c>
      <c r="N610" s="2" t="s">
        <v>87</v>
      </c>
    </row>
    <row r="611" spans="1:14" x14ac:dyDescent="0.2">
      <c r="A611" s="13">
        <v>100702</v>
      </c>
      <c r="B611" s="5">
        <v>45524</v>
      </c>
      <c r="C611" s="5" t="str">
        <f t="shared" si="18"/>
        <v>Aug</v>
      </c>
      <c r="D611" s="2" t="s">
        <v>194</v>
      </c>
      <c r="E611" s="2" t="s">
        <v>61</v>
      </c>
      <c r="F611" s="2" t="s">
        <v>119</v>
      </c>
      <c r="G611" s="2" t="s">
        <v>50</v>
      </c>
      <c r="H611" s="2" t="s">
        <v>99</v>
      </c>
      <c r="I611" s="13">
        <v>5</v>
      </c>
      <c r="J611" s="10">
        <v>8232.84</v>
      </c>
      <c r="K611" s="10">
        <f t="shared" si="19"/>
        <v>41164.199999999997</v>
      </c>
      <c r="L611" s="2">
        <v>0.05</v>
      </c>
      <c r="M611" s="2" t="s">
        <v>17</v>
      </c>
      <c r="N611" s="2" t="s">
        <v>25</v>
      </c>
    </row>
    <row r="612" spans="1:14" x14ac:dyDescent="0.2">
      <c r="A612" s="13">
        <v>100459</v>
      </c>
      <c r="B612" s="5">
        <v>45610</v>
      </c>
      <c r="C612" s="5" t="str">
        <f t="shared" si="18"/>
        <v>Nov</v>
      </c>
      <c r="D612" s="2" t="s">
        <v>312</v>
      </c>
      <c r="E612" s="2" t="s">
        <v>27</v>
      </c>
      <c r="F612" s="2" t="s">
        <v>21</v>
      </c>
      <c r="G612" s="2" t="s">
        <v>15</v>
      </c>
      <c r="H612" s="2" t="s">
        <v>116</v>
      </c>
      <c r="I612" s="13">
        <v>5</v>
      </c>
      <c r="J612" s="10">
        <v>4240.34</v>
      </c>
      <c r="K612" s="10">
        <f t="shared" si="19"/>
        <v>21201.7</v>
      </c>
      <c r="L612" s="2">
        <v>0</v>
      </c>
      <c r="M612" s="2" t="s">
        <v>83</v>
      </c>
      <c r="N612" s="2" t="s">
        <v>18</v>
      </c>
    </row>
    <row r="613" spans="1:14" x14ac:dyDescent="0.2">
      <c r="A613" s="13">
        <v>101390</v>
      </c>
      <c r="B613" s="5">
        <v>45298</v>
      </c>
      <c r="C613" s="5" t="str">
        <f t="shared" si="18"/>
        <v>Jan</v>
      </c>
      <c r="D613" s="2" t="s">
        <v>1069</v>
      </c>
      <c r="E613" s="2" t="s">
        <v>37</v>
      </c>
      <c r="F613" s="2" t="s">
        <v>69</v>
      </c>
      <c r="G613" s="2" t="s">
        <v>33</v>
      </c>
      <c r="H613" s="2" t="s">
        <v>93</v>
      </c>
      <c r="I613" s="13">
        <v>6</v>
      </c>
      <c r="J613" s="10">
        <v>256.58999999999997</v>
      </c>
      <c r="K613" s="10">
        <f t="shared" si="19"/>
        <v>1539.54</v>
      </c>
      <c r="L613" s="2">
        <v>0</v>
      </c>
      <c r="M613" s="2" t="s">
        <v>41</v>
      </c>
      <c r="N613" s="2" t="s">
        <v>143</v>
      </c>
    </row>
    <row r="614" spans="1:14" x14ac:dyDescent="0.2">
      <c r="A614" s="13">
        <v>101117</v>
      </c>
      <c r="B614" s="5">
        <v>45326</v>
      </c>
      <c r="C614" s="5" t="str">
        <f t="shared" si="18"/>
        <v>Feb</v>
      </c>
      <c r="D614" s="2" t="s">
        <v>636</v>
      </c>
      <c r="E614" s="2" t="s">
        <v>37</v>
      </c>
      <c r="F614" s="2" t="s">
        <v>69</v>
      </c>
      <c r="G614" s="2" t="s">
        <v>64</v>
      </c>
      <c r="H614" s="2" t="s">
        <v>40</v>
      </c>
      <c r="I614" s="13">
        <v>12</v>
      </c>
      <c r="J614" s="10">
        <v>484.38</v>
      </c>
      <c r="K614" s="10">
        <f t="shared" si="19"/>
        <v>5812.5599999999995</v>
      </c>
      <c r="L614" s="2">
        <v>0.05</v>
      </c>
      <c r="M614" s="2" t="s">
        <v>29</v>
      </c>
      <c r="N614" s="2" t="s">
        <v>42</v>
      </c>
    </row>
    <row r="615" spans="1:14" x14ac:dyDescent="0.2">
      <c r="A615" s="13">
        <v>100838</v>
      </c>
      <c r="B615" s="5">
        <v>45526</v>
      </c>
      <c r="C615" s="5" t="str">
        <f t="shared" si="18"/>
        <v>Aug</v>
      </c>
      <c r="D615" s="2" t="s">
        <v>128</v>
      </c>
      <c r="E615" s="2" t="s">
        <v>31</v>
      </c>
      <c r="F615" s="2" t="s">
        <v>32</v>
      </c>
      <c r="G615" s="2" t="s">
        <v>15</v>
      </c>
      <c r="H615" s="2" t="s">
        <v>16</v>
      </c>
      <c r="I615" s="13"/>
      <c r="J615" s="10">
        <v>10728.66</v>
      </c>
      <c r="K615" s="10">
        <f t="shared" si="19"/>
        <v>0</v>
      </c>
      <c r="L615" s="2">
        <v>0</v>
      </c>
      <c r="M615" s="2" t="s">
        <v>83</v>
      </c>
      <c r="N615" s="2" t="s">
        <v>18</v>
      </c>
    </row>
    <row r="616" spans="1:14" x14ac:dyDescent="0.2">
      <c r="A616" s="13">
        <v>100763</v>
      </c>
      <c r="B616" s="5">
        <v>45564</v>
      </c>
      <c r="C616" s="5" t="str">
        <f t="shared" si="18"/>
        <v>Sep</v>
      </c>
      <c r="D616" s="2" t="s">
        <v>637</v>
      </c>
      <c r="E616" s="2" t="s">
        <v>27</v>
      </c>
      <c r="F616" s="2" t="s">
        <v>21</v>
      </c>
      <c r="G616" s="2" t="s">
        <v>50</v>
      </c>
      <c r="H616" s="2" t="s">
        <v>62</v>
      </c>
      <c r="I616" s="13">
        <v>10</v>
      </c>
      <c r="J616" s="10">
        <v>7159.46</v>
      </c>
      <c r="K616" s="10">
        <f t="shared" si="19"/>
        <v>71594.600000000006</v>
      </c>
      <c r="L616" s="2">
        <v>0.25</v>
      </c>
      <c r="M616" s="2" t="s">
        <v>17</v>
      </c>
      <c r="N616" s="2" t="s">
        <v>52</v>
      </c>
    </row>
    <row r="617" spans="1:14" x14ac:dyDescent="0.2">
      <c r="A617" s="13">
        <v>100370</v>
      </c>
      <c r="B617" s="5">
        <v>45404</v>
      </c>
      <c r="C617" s="5" t="str">
        <f t="shared" si="18"/>
        <v>Apr</v>
      </c>
      <c r="D617" s="2" t="s">
        <v>473</v>
      </c>
      <c r="E617" s="2" t="s">
        <v>140</v>
      </c>
      <c r="F617" s="2" t="s">
        <v>49</v>
      </c>
      <c r="G617" s="2" t="s">
        <v>50</v>
      </c>
      <c r="H617" s="2" t="s">
        <v>99</v>
      </c>
      <c r="I617" s="13">
        <v>9</v>
      </c>
      <c r="J617" s="10">
        <v>2251.0700000000002</v>
      </c>
      <c r="K617" s="10">
        <f t="shared" si="19"/>
        <v>20259.63</v>
      </c>
      <c r="L617" s="2">
        <v>0.05</v>
      </c>
      <c r="M617" s="2" t="s">
        <v>66</v>
      </c>
      <c r="N617" s="2" t="s">
        <v>143</v>
      </c>
    </row>
    <row r="618" spans="1:14" x14ac:dyDescent="0.2">
      <c r="A618" s="13">
        <v>100485</v>
      </c>
      <c r="B618" s="5">
        <v>45509</v>
      </c>
      <c r="C618" s="5" t="str">
        <f t="shared" si="18"/>
        <v>Aug</v>
      </c>
      <c r="D618" s="2" t="s">
        <v>638</v>
      </c>
      <c r="E618" s="2" t="s">
        <v>31</v>
      </c>
      <c r="F618" s="2" t="s">
        <v>54</v>
      </c>
      <c r="G618" s="2" t="s">
        <v>15</v>
      </c>
      <c r="H618" s="2" t="s">
        <v>16</v>
      </c>
      <c r="I618" s="13">
        <v>12</v>
      </c>
      <c r="J618" s="10">
        <v>13820.33</v>
      </c>
      <c r="K618" s="10">
        <f t="shared" si="19"/>
        <v>165843.96</v>
      </c>
      <c r="L618" s="2">
        <v>0</v>
      </c>
      <c r="M618" s="2" t="s">
        <v>24</v>
      </c>
      <c r="N618" s="2" t="s">
        <v>42</v>
      </c>
    </row>
    <row r="619" spans="1:14" x14ac:dyDescent="0.2">
      <c r="A619" s="13">
        <v>100722</v>
      </c>
      <c r="B619" s="5">
        <v>45584</v>
      </c>
      <c r="C619" s="5" t="str">
        <f t="shared" si="18"/>
        <v>Oct</v>
      </c>
      <c r="D619" s="2" t="s">
        <v>1069</v>
      </c>
      <c r="E619" s="2" t="s">
        <v>140</v>
      </c>
      <c r="F619" s="2" t="s">
        <v>79</v>
      </c>
      <c r="G619" s="2" t="s">
        <v>106</v>
      </c>
      <c r="H619" s="2" t="s">
        <v>103</v>
      </c>
      <c r="I619" s="13">
        <v>6</v>
      </c>
      <c r="J619" s="10">
        <v>2477.38</v>
      </c>
      <c r="K619" s="10">
        <f t="shared" si="19"/>
        <v>14864.28</v>
      </c>
      <c r="L619" s="2">
        <v>0.15</v>
      </c>
      <c r="M619" s="2" t="s">
        <v>17</v>
      </c>
      <c r="N619" s="2" t="s">
        <v>52</v>
      </c>
    </row>
    <row r="620" spans="1:14" x14ac:dyDescent="0.2">
      <c r="A620" s="13">
        <v>101201</v>
      </c>
      <c r="B620" s="5">
        <v>45421</v>
      </c>
      <c r="C620" s="5" t="str">
        <f t="shared" si="18"/>
        <v>May</v>
      </c>
      <c r="D620" s="2" t="s">
        <v>639</v>
      </c>
      <c r="E620" s="2" t="s">
        <v>31</v>
      </c>
      <c r="F620" s="2" t="s">
        <v>54</v>
      </c>
      <c r="G620" s="2" t="s">
        <v>50</v>
      </c>
      <c r="H620" s="2" t="s">
        <v>56</v>
      </c>
      <c r="I620" s="13">
        <v>6</v>
      </c>
      <c r="J620" s="10">
        <v>4436.95</v>
      </c>
      <c r="K620" s="10">
        <f t="shared" si="19"/>
        <v>26621.699999999997</v>
      </c>
      <c r="L620" s="2">
        <v>0</v>
      </c>
      <c r="M620" s="2" t="s">
        <v>17</v>
      </c>
      <c r="N620" s="2" t="s">
        <v>25</v>
      </c>
    </row>
    <row r="621" spans="1:14" x14ac:dyDescent="0.2">
      <c r="A621" s="13">
        <v>100308</v>
      </c>
      <c r="B621" s="5">
        <v>45368</v>
      </c>
      <c r="C621" s="5" t="str">
        <f t="shared" si="18"/>
        <v>Mar</v>
      </c>
      <c r="D621" s="2" t="s">
        <v>496</v>
      </c>
      <c r="E621" s="2" t="s">
        <v>140</v>
      </c>
      <c r="F621" s="2" t="s">
        <v>79</v>
      </c>
      <c r="G621" s="2" t="s">
        <v>45</v>
      </c>
      <c r="H621" s="2" t="s">
        <v>71</v>
      </c>
      <c r="I621" s="13">
        <v>2</v>
      </c>
      <c r="J621" s="10">
        <v>34444.03</v>
      </c>
      <c r="K621" s="10">
        <f t="shared" si="19"/>
        <v>68888.06</v>
      </c>
      <c r="L621" s="2">
        <v>0</v>
      </c>
      <c r="M621" s="2" t="s">
        <v>41</v>
      </c>
      <c r="N621" s="2" t="s">
        <v>42</v>
      </c>
    </row>
    <row r="622" spans="1:14" x14ac:dyDescent="0.2">
      <c r="A622" s="13">
        <v>100286</v>
      </c>
      <c r="B622" s="5">
        <v>45295</v>
      </c>
      <c r="C622" s="5" t="str">
        <f t="shared" si="18"/>
        <v>Jan</v>
      </c>
      <c r="D622" s="2" t="s">
        <v>641</v>
      </c>
      <c r="E622" s="2" t="s">
        <v>31</v>
      </c>
      <c r="F622" s="2" t="s">
        <v>32</v>
      </c>
      <c r="G622" s="2" t="s">
        <v>15</v>
      </c>
      <c r="H622" s="2" t="s">
        <v>16</v>
      </c>
      <c r="I622" s="13">
        <v>9</v>
      </c>
      <c r="J622" s="10">
        <v>24466.2</v>
      </c>
      <c r="K622" s="10">
        <f t="shared" si="19"/>
        <v>220195.80000000002</v>
      </c>
      <c r="L622" s="2">
        <v>0.05</v>
      </c>
      <c r="M622" s="2" t="s">
        <v>41</v>
      </c>
      <c r="N622" s="2" t="s">
        <v>18</v>
      </c>
    </row>
    <row r="623" spans="1:14" x14ac:dyDescent="0.2">
      <c r="A623" s="13">
        <v>101919</v>
      </c>
      <c r="B623" s="5">
        <v>45321</v>
      </c>
      <c r="C623" s="5" t="str">
        <f t="shared" si="18"/>
        <v>Jan</v>
      </c>
      <c r="D623" s="2" t="s">
        <v>358</v>
      </c>
      <c r="E623" s="2" t="s">
        <v>61</v>
      </c>
      <c r="F623" s="2" t="s">
        <v>14</v>
      </c>
      <c r="G623" s="2" t="s">
        <v>64</v>
      </c>
      <c r="H623" s="2" t="s">
        <v>165</v>
      </c>
      <c r="I623" s="13">
        <v>9</v>
      </c>
      <c r="J623" s="10">
        <v>313.73</v>
      </c>
      <c r="K623" s="10">
        <f t="shared" si="19"/>
        <v>2823.57</v>
      </c>
      <c r="L623" s="2">
        <v>0</v>
      </c>
      <c r="M623" s="2" t="s">
        <v>41</v>
      </c>
      <c r="N623" s="2" t="s">
        <v>35</v>
      </c>
    </row>
    <row r="624" spans="1:14" x14ac:dyDescent="0.2">
      <c r="A624" s="13">
        <v>101078</v>
      </c>
      <c r="B624" s="5">
        <v>45450</v>
      </c>
      <c r="C624" s="5" t="str">
        <f t="shared" si="18"/>
        <v>Jun</v>
      </c>
      <c r="D624" s="2" t="s">
        <v>613</v>
      </c>
      <c r="E624" s="2" t="s">
        <v>31</v>
      </c>
      <c r="F624" s="2" t="s">
        <v>32</v>
      </c>
      <c r="G624" s="2" t="s">
        <v>45</v>
      </c>
      <c r="H624" s="2" t="s">
        <v>46</v>
      </c>
      <c r="I624" s="13">
        <v>8</v>
      </c>
      <c r="J624" s="10">
        <v>0</v>
      </c>
      <c r="K624" s="10">
        <f t="shared" si="19"/>
        <v>0</v>
      </c>
      <c r="L624" s="2">
        <v>0.1</v>
      </c>
      <c r="M624" s="2" t="s">
        <v>41</v>
      </c>
      <c r="N624" s="2" t="s">
        <v>35</v>
      </c>
    </row>
    <row r="625" spans="1:14" x14ac:dyDescent="0.2">
      <c r="A625" s="13">
        <v>100700</v>
      </c>
      <c r="B625" s="5">
        <v>45423</v>
      </c>
      <c r="C625" s="5" t="str">
        <f t="shared" si="18"/>
        <v>May</v>
      </c>
      <c r="D625" s="2" t="s">
        <v>642</v>
      </c>
      <c r="E625" s="2" t="s">
        <v>37</v>
      </c>
      <c r="F625" s="2" t="s">
        <v>69</v>
      </c>
      <c r="G625" s="2" t="s">
        <v>64</v>
      </c>
      <c r="H625" s="2" t="s">
        <v>40</v>
      </c>
      <c r="I625" s="13">
        <v>9</v>
      </c>
      <c r="J625" s="10">
        <v>116.4</v>
      </c>
      <c r="K625" s="10">
        <f t="shared" si="19"/>
        <v>1047.6000000000001</v>
      </c>
      <c r="L625" s="2">
        <v>0.25</v>
      </c>
      <c r="M625" s="2" t="s">
        <v>29</v>
      </c>
      <c r="N625" s="2" t="s">
        <v>52</v>
      </c>
    </row>
    <row r="626" spans="1:14" x14ac:dyDescent="0.2">
      <c r="A626" s="13">
        <v>101304</v>
      </c>
      <c r="B626" s="5">
        <v>45417</v>
      </c>
      <c r="C626" s="5" t="str">
        <f t="shared" si="18"/>
        <v>May</v>
      </c>
      <c r="D626" s="2" t="s">
        <v>213</v>
      </c>
      <c r="E626" s="2" t="s">
        <v>31</v>
      </c>
      <c r="F626" s="2" t="s">
        <v>32</v>
      </c>
      <c r="G626" s="2" t="s">
        <v>33</v>
      </c>
      <c r="H626" s="2" t="s">
        <v>34</v>
      </c>
      <c r="I626" s="13">
        <v>10</v>
      </c>
      <c r="J626" s="10">
        <v>289.97000000000003</v>
      </c>
      <c r="K626" s="10">
        <f t="shared" si="19"/>
        <v>2899.7000000000003</v>
      </c>
      <c r="L626" s="2">
        <v>0</v>
      </c>
      <c r="M626" s="2" t="s">
        <v>83</v>
      </c>
      <c r="N626" s="2" t="s">
        <v>121</v>
      </c>
    </row>
    <row r="627" spans="1:14" x14ac:dyDescent="0.2">
      <c r="A627" s="13">
        <v>101268</v>
      </c>
      <c r="B627" s="5">
        <v>45400</v>
      </c>
      <c r="C627" s="5" t="str">
        <f t="shared" si="18"/>
        <v>Apr</v>
      </c>
      <c r="D627" s="2" t="s">
        <v>226</v>
      </c>
      <c r="E627" s="2" t="s">
        <v>31</v>
      </c>
      <c r="F627" s="2" t="s">
        <v>54</v>
      </c>
      <c r="G627" s="2" t="s">
        <v>15</v>
      </c>
      <c r="H627" s="2" t="s">
        <v>205</v>
      </c>
      <c r="I627" s="13">
        <v>5</v>
      </c>
      <c r="J627" s="10">
        <v>19189.23</v>
      </c>
      <c r="K627" s="10">
        <f t="shared" si="19"/>
        <v>95946.15</v>
      </c>
      <c r="L627" s="2">
        <v>0.2</v>
      </c>
      <c r="M627" s="2" t="s">
        <v>17</v>
      </c>
      <c r="N627" s="2" t="s">
        <v>42</v>
      </c>
    </row>
    <row r="628" spans="1:14" x14ac:dyDescent="0.2">
      <c r="A628" s="13">
        <v>100758</v>
      </c>
      <c r="B628" s="5">
        <v>45640</v>
      </c>
      <c r="C628" s="5" t="str">
        <f t="shared" si="18"/>
        <v>Dec</v>
      </c>
      <c r="D628" s="2" t="s">
        <v>200</v>
      </c>
      <c r="E628" s="2" t="s">
        <v>140</v>
      </c>
      <c r="F628" s="2" t="s">
        <v>79</v>
      </c>
      <c r="G628" s="2" t="s">
        <v>22</v>
      </c>
      <c r="H628" s="2" t="s">
        <v>75</v>
      </c>
      <c r="I628" s="13">
        <v>1</v>
      </c>
      <c r="J628" s="10">
        <v>3142.07</v>
      </c>
      <c r="K628" s="10">
        <f t="shared" si="19"/>
        <v>3142.07</v>
      </c>
      <c r="L628" s="2">
        <v>0</v>
      </c>
      <c r="M628" s="2" t="s">
        <v>41</v>
      </c>
      <c r="N628" s="2" t="s">
        <v>25</v>
      </c>
    </row>
    <row r="629" spans="1:14" x14ac:dyDescent="0.2">
      <c r="A629" s="13">
        <v>100888</v>
      </c>
      <c r="B629" s="5">
        <v>45488</v>
      </c>
      <c r="C629" s="5" t="str">
        <f t="shared" si="18"/>
        <v>Jul</v>
      </c>
      <c r="D629" s="2" t="s">
        <v>402</v>
      </c>
      <c r="E629" s="2" t="s">
        <v>27</v>
      </c>
      <c r="F629" s="2" t="s">
        <v>133</v>
      </c>
      <c r="G629" s="2" t="s">
        <v>50</v>
      </c>
      <c r="H629" s="2" t="s">
        <v>99</v>
      </c>
      <c r="I629" s="13">
        <v>1</v>
      </c>
      <c r="J629" s="10">
        <v>9521.94</v>
      </c>
      <c r="K629" s="10">
        <f t="shared" si="19"/>
        <v>9521.94</v>
      </c>
      <c r="L629" s="2">
        <v>0.25</v>
      </c>
      <c r="M629" s="2" t="s">
        <v>24</v>
      </c>
      <c r="N629" s="2" t="s">
        <v>18</v>
      </c>
    </row>
    <row r="630" spans="1:14" x14ac:dyDescent="0.2">
      <c r="A630" s="13">
        <v>100689</v>
      </c>
      <c r="B630" s="5">
        <v>45644</v>
      </c>
      <c r="C630" s="5" t="str">
        <f t="shared" si="18"/>
        <v>Dec</v>
      </c>
      <c r="D630" s="2" t="s">
        <v>1069</v>
      </c>
      <c r="E630" s="2" t="s">
        <v>31</v>
      </c>
      <c r="F630" s="2" t="s">
        <v>32</v>
      </c>
      <c r="G630" s="2" t="s">
        <v>15</v>
      </c>
      <c r="H630" s="2" t="s">
        <v>16</v>
      </c>
      <c r="I630" s="13">
        <v>4</v>
      </c>
      <c r="J630" s="10">
        <v>15124.19</v>
      </c>
      <c r="K630" s="10">
        <f t="shared" si="19"/>
        <v>60496.76</v>
      </c>
      <c r="L630" s="2">
        <v>0.15</v>
      </c>
      <c r="M630" s="2" t="s">
        <v>66</v>
      </c>
      <c r="N630" s="2" t="s">
        <v>52</v>
      </c>
    </row>
    <row r="631" spans="1:14" x14ac:dyDescent="0.2">
      <c r="A631" s="13">
        <v>100685</v>
      </c>
      <c r="B631" s="5">
        <v>45430</v>
      </c>
      <c r="C631" s="5" t="str">
        <f t="shared" si="18"/>
        <v>May</v>
      </c>
      <c r="D631" s="2" t="s">
        <v>542</v>
      </c>
      <c r="E631" s="2" t="s">
        <v>37</v>
      </c>
      <c r="F631" s="2" t="s">
        <v>38</v>
      </c>
      <c r="G631" s="2" t="s">
        <v>50</v>
      </c>
      <c r="H631" s="2" t="s">
        <v>51</v>
      </c>
      <c r="I631" s="13">
        <v>11</v>
      </c>
      <c r="J631" s="10">
        <v>8404.7099999999991</v>
      </c>
      <c r="K631" s="10">
        <f t="shared" si="19"/>
        <v>92451.81</v>
      </c>
      <c r="L631" s="2">
        <v>0</v>
      </c>
      <c r="M631" s="2" t="s">
        <v>17</v>
      </c>
      <c r="N631" s="2" t="s">
        <v>35</v>
      </c>
    </row>
    <row r="632" spans="1:14" x14ac:dyDescent="0.2">
      <c r="A632" s="13">
        <v>100972</v>
      </c>
      <c r="B632" s="5">
        <v>45650</v>
      </c>
      <c r="C632" s="5" t="str">
        <f t="shared" si="18"/>
        <v>Dec</v>
      </c>
      <c r="D632" s="2" t="s">
        <v>644</v>
      </c>
      <c r="E632" s="2" t="s">
        <v>37</v>
      </c>
      <c r="F632" s="2" t="s">
        <v>69</v>
      </c>
      <c r="G632" s="2" t="s">
        <v>15</v>
      </c>
      <c r="H632" s="2" t="s">
        <v>59</v>
      </c>
      <c r="I632" s="13">
        <v>1</v>
      </c>
      <c r="J632" s="10">
        <v>19433.12</v>
      </c>
      <c r="K632" s="10">
        <f t="shared" si="19"/>
        <v>19433.12</v>
      </c>
      <c r="L632" s="2">
        <v>0.1</v>
      </c>
      <c r="M632" s="2" t="s">
        <v>41</v>
      </c>
      <c r="N632" s="2" t="s">
        <v>35</v>
      </c>
    </row>
    <row r="633" spans="1:14" x14ac:dyDescent="0.2">
      <c r="A633" s="13">
        <v>100839</v>
      </c>
      <c r="B633" s="5">
        <v>45350</v>
      </c>
      <c r="C633" s="5" t="str">
        <f t="shared" si="18"/>
        <v>Feb</v>
      </c>
      <c r="D633" s="2" t="s">
        <v>530</v>
      </c>
      <c r="E633" s="2" t="s">
        <v>27</v>
      </c>
      <c r="F633" s="2" t="s">
        <v>133</v>
      </c>
      <c r="G633" s="2" t="s">
        <v>106</v>
      </c>
      <c r="H633" s="2" t="s">
        <v>135</v>
      </c>
      <c r="I633" s="13">
        <v>10</v>
      </c>
      <c r="J633" s="10">
        <v>3376.75</v>
      </c>
      <c r="K633" s="10">
        <f t="shared" si="19"/>
        <v>33767.5</v>
      </c>
      <c r="L633" s="2">
        <v>0</v>
      </c>
      <c r="M633" s="2" t="s">
        <v>24</v>
      </c>
      <c r="N633" s="2" t="s">
        <v>52</v>
      </c>
    </row>
    <row r="634" spans="1:14" x14ac:dyDescent="0.2">
      <c r="A634" s="13">
        <v>101610</v>
      </c>
      <c r="B634" s="5">
        <v>45367</v>
      </c>
      <c r="C634" s="5" t="str">
        <f t="shared" si="18"/>
        <v>Mar</v>
      </c>
      <c r="D634" s="2" t="s">
        <v>380</v>
      </c>
      <c r="E634" s="2" t="s">
        <v>61</v>
      </c>
      <c r="F634" s="2" t="s">
        <v>14</v>
      </c>
      <c r="G634" s="2" t="s">
        <v>15</v>
      </c>
      <c r="H634" s="2" t="s">
        <v>59</v>
      </c>
      <c r="I634" s="13">
        <v>1</v>
      </c>
      <c r="J634" s="10">
        <v>21391.360000000001</v>
      </c>
      <c r="K634" s="10">
        <f t="shared" si="19"/>
        <v>21391.360000000001</v>
      </c>
      <c r="L634" s="2">
        <v>0.25</v>
      </c>
      <c r="M634" s="2" t="s">
        <v>66</v>
      </c>
      <c r="N634" s="2" t="s">
        <v>42</v>
      </c>
    </row>
    <row r="635" spans="1:14" x14ac:dyDescent="0.2">
      <c r="A635" s="13">
        <v>100658</v>
      </c>
      <c r="B635" s="5">
        <v>45580</v>
      </c>
      <c r="C635" s="5" t="str">
        <f t="shared" si="18"/>
        <v>Oct</v>
      </c>
      <c r="D635" s="2" t="s">
        <v>240</v>
      </c>
      <c r="E635" s="2" t="s">
        <v>140</v>
      </c>
      <c r="F635" s="2" t="s">
        <v>49</v>
      </c>
      <c r="G635" s="2" t="s">
        <v>15</v>
      </c>
      <c r="H635" s="2" t="s">
        <v>116</v>
      </c>
      <c r="I635" s="13">
        <v>4</v>
      </c>
      <c r="J635" s="10">
        <v>18114.86</v>
      </c>
      <c r="K635" s="10">
        <f t="shared" si="19"/>
        <v>72459.44</v>
      </c>
      <c r="L635" s="2">
        <v>0.2</v>
      </c>
      <c r="M635" s="2" t="s">
        <v>83</v>
      </c>
      <c r="N635" s="2" t="s">
        <v>87</v>
      </c>
    </row>
    <row r="636" spans="1:14" x14ac:dyDescent="0.2">
      <c r="A636" s="13">
        <v>101682</v>
      </c>
      <c r="B636" s="5">
        <v>45320</v>
      </c>
      <c r="C636" s="5" t="str">
        <f t="shared" si="18"/>
        <v>Jan</v>
      </c>
      <c r="D636" s="2" t="s">
        <v>646</v>
      </c>
      <c r="E636" s="2" t="s">
        <v>37</v>
      </c>
      <c r="F636" s="2" t="s">
        <v>38</v>
      </c>
      <c r="G636" s="2" t="s">
        <v>33</v>
      </c>
      <c r="H636" s="2" t="s">
        <v>158</v>
      </c>
      <c r="I636" s="13">
        <v>9</v>
      </c>
      <c r="J636" s="10">
        <v>146.82</v>
      </c>
      <c r="K636" s="10">
        <f t="shared" si="19"/>
        <v>1321.3799999999999</v>
      </c>
      <c r="L636" s="2">
        <v>0</v>
      </c>
      <c r="M636" s="2" t="s">
        <v>17</v>
      </c>
      <c r="N636" s="2" t="s">
        <v>143</v>
      </c>
    </row>
    <row r="637" spans="1:14" x14ac:dyDescent="0.2">
      <c r="A637" s="13">
        <v>100098</v>
      </c>
      <c r="B637" s="5">
        <v>45355</v>
      </c>
      <c r="C637" s="5" t="str">
        <f t="shared" si="18"/>
        <v>Mar</v>
      </c>
      <c r="D637" s="2" t="s">
        <v>464</v>
      </c>
      <c r="E637" s="2" t="s">
        <v>140</v>
      </c>
      <c r="F637" s="2" t="s">
        <v>79</v>
      </c>
      <c r="G637" s="2" t="s">
        <v>45</v>
      </c>
      <c r="H637" s="2" t="s">
        <v>97</v>
      </c>
      <c r="I637" s="13">
        <v>8</v>
      </c>
      <c r="J637" s="10">
        <v>24844.720000000001</v>
      </c>
      <c r="K637" s="10">
        <f t="shared" si="19"/>
        <v>198757.76000000001</v>
      </c>
      <c r="L637" s="2">
        <v>0.25</v>
      </c>
      <c r="M637" s="2" t="s">
        <v>66</v>
      </c>
      <c r="N637" s="2" t="s">
        <v>35</v>
      </c>
    </row>
    <row r="638" spans="1:14" x14ac:dyDescent="0.2">
      <c r="A638" s="13">
        <v>100807</v>
      </c>
      <c r="B638" s="5">
        <v>45550</v>
      </c>
      <c r="C638" s="5" t="str">
        <f t="shared" si="18"/>
        <v>Sep</v>
      </c>
      <c r="D638" s="2" t="s">
        <v>396</v>
      </c>
      <c r="E638" s="2" t="s">
        <v>61</v>
      </c>
      <c r="F638" s="2" t="s">
        <v>14</v>
      </c>
      <c r="G638" s="2" t="s">
        <v>22</v>
      </c>
      <c r="H638" s="2" t="s">
        <v>232</v>
      </c>
      <c r="I638" s="13">
        <v>4</v>
      </c>
      <c r="J638" s="10">
        <v>2966.08</v>
      </c>
      <c r="K638" s="10">
        <f t="shared" si="19"/>
        <v>11864.32</v>
      </c>
      <c r="L638" s="2">
        <v>0</v>
      </c>
      <c r="M638" s="2" t="s">
        <v>24</v>
      </c>
      <c r="N638" s="2" t="s">
        <v>35</v>
      </c>
    </row>
    <row r="639" spans="1:14" x14ac:dyDescent="0.2">
      <c r="A639" s="13">
        <v>101023</v>
      </c>
      <c r="B639" s="5">
        <v>45458</v>
      </c>
      <c r="C639" s="5" t="str">
        <f t="shared" si="18"/>
        <v>Jun</v>
      </c>
      <c r="D639" s="2" t="s">
        <v>229</v>
      </c>
      <c r="E639" s="2" t="s">
        <v>31</v>
      </c>
      <c r="F639" s="2" t="s">
        <v>54</v>
      </c>
      <c r="G639" s="2" t="s">
        <v>50</v>
      </c>
      <c r="H639" s="2" t="s">
        <v>62</v>
      </c>
      <c r="I639" s="13">
        <v>4</v>
      </c>
      <c r="J639" s="10">
        <v>10479.44</v>
      </c>
      <c r="K639" s="10">
        <f t="shared" si="19"/>
        <v>41917.760000000002</v>
      </c>
      <c r="L639" s="2">
        <v>0.15</v>
      </c>
      <c r="M639" s="2" t="s">
        <v>24</v>
      </c>
      <c r="N639" s="2" t="s">
        <v>18</v>
      </c>
    </row>
    <row r="640" spans="1:14" x14ac:dyDescent="0.2">
      <c r="A640" s="13">
        <v>101488</v>
      </c>
      <c r="B640" s="5">
        <v>45292</v>
      </c>
      <c r="C640" s="5" t="str">
        <f t="shared" si="18"/>
        <v>Jan</v>
      </c>
      <c r="D640" s="2" t="s">
        <v>235</v>
      </c>
      <c r="E640" s="2" t="s">
        <v>27</v>
      </c>
      <c r="F640" s="2" t="s">
        <v>21</v>
      </c>
      <c r="G640" s="2" t="s">
        <v>33</v>
      </c>
      <c r="H640" s="2" t="s">
        <v>81</v>
      </c>
      <c r="I640" s="13">
        <v>9</v>
      </c>
      <c r="J640" s="10">
        <v>519.88</v>
      </c>
      <c r="K640" s="10">
        <f t="shared" si="19"/>
        <v>4678.92</v>
      </c>
      <c r="L640" s="2">
        <v>0</v>
      </c>
      <c r="M640" s="2" t="s">
        <v>41</v>
      </c>
      <c r="N640" s="2" t="s">
        <v>18</v>
      </c>
    </row>
    <row r="641" spans="1:14" x14ac:dyDescent="0.2">
      <c r="A641" s="13">
        <v>100140</v>
      </c>
      <c r="B641" s="5">
        <v>45456</v>
      </c>
      <c r="C641" s="5" t="str">
        <f t="shared" si="18"/>
        <v>Jun</v>
      </c>
      <c r="D641" s="2" t="s">
        <v>30</v>
      </c>
      <c r="E641" s="2" t="s">
        <v>31</v>
      </c>
      <c r="F641" s="2" t="s">
        <v>54</v>
      </c>
      <c r="G641" s="2" t="s">
        <v>50</v>
      </c>
      <c r="H641" s="2" t="s">
        <v>51</v>
      </c>
      <c r="I641" s="13">
        <v>-3</v>
      </c>
      <c r="J641" s="10">
        <v>0</v>
      </c>
      <c r="K641" s="10">
        <f t="shared" si="19"/>
        <v>0</v>
      </c>
      <c r="L641" s="2">
        <v>0</v>
      </c>
      <c r="M641" s="2" t="s">
        <v>17</v>
      </c>
      <c r="N641" s="2" t="s">
        <v>25</v>
      </c>
    </row>
    <row r="642" spans="1:14" x14ac:dyDescent="0.2">
      <c r="A642" s="13">
        <v>101460</v>
      </c>
      <c r="B642" s="5">
        <v>45576</v>
      </c>
      <c r="C642" s="5" t="str">
        <f t="shared" ref="C642:C705" si="20">TEXT(B642,"mmm")</f>
        <v>Oct</v>
      </c>
      <c r="D642" s="2" t="s">
        <v>1069</v>
      </c>
      <c r="E642" s="2" t="s">
        <v>27</v>
      </c>
      <c r="F642" s="2" t="s">
        <v>21</v>
      </c>
      <c r="G642" s="2" t="s">
        <v>33</v>
      </c>
      <c r="H642" s="2" t="s">
        <v>158</v>
      </c>
      <c r="I642" s="13">
        <v>7</v>
      </c>
      <c r="J642" s="10">
        <v>441.16</v>
      </c>
      <c r="K642" s="10">
        <f t="shared" ref="K642:K705" si="21">I642*J642</f>
        <v>3088.1200000000003</v>
      </c>
      <c r="L642" s="2">
        <v>0.15</v>
      </c>
      <c r="M642" s="2" t="s">
        <v>41</v>
      </c>
      <c r="N642" s="2" t="s">
        <v>18</v>
      </c>
    </row>
    <row r="643" spans="1:14" x14ac:dyDescent="0.2">
      <c r="A643" s="13">
        <v>100954</v>
      </c>
      <c r="B643" s="5">
        <v>45513</v>
      </c>
      <c r="C643" s="5" t="str">
        <f t="shared" si="20"/>
        <v>Aug</v>
      </c>
      <c r="D643" s="2" t="s">
        <v>36</v>
      </c>
      <c r="E643" s="2" t="s">
        <v>31</v>
      </c>
      <c r="F643" s="2" t="s">
        <v>54</v>
      </c>
      <c r="G643" s="2" t="s">
        <v>106</v>
      </c>
      <c r="H643" s="2" t="s">
        <v>156</v>
      </c>
      <c r="I643" s="13">
        <v>3</v>
      </c>
      <c r="J643" s="10">
        <v>3748.34</v>
      </c>
      <c r="K643" s="10">
        <f t="shared" si="21"/>
        <v>11245.02</v>
      </c>
      <c r="L643" s="2">
        <v>0</v>
      </c>
      <c r="M643" s="2" t="s">
        <v>41</v>
      </c>
      <c r="N643" s="2" t="s">
        <v>35</v>
      </c>
    </row>
    <row r="644" spans="1:14" x14ac:dyDescent="0.2">
      <c r="A644" s="13">
        <v>100730</v>
      </c>
      <c r="B644" s="5">
        <v>45588</v>
      </c>
      <c r="C644" s="5" t="str">
        <f t="shared" si="20"/>
        <v>Oct</v>
      </c>
      <c r="D644" s="2" t="s">
        <v>647</v>
      </c>
      <c r="E644" s="2" t="s">
        <v>27</v>
      </c>
      <c r="F644" s="2" t="s">
        <v>21</v>
      </c>
      <c r="G644" s="2" t="s">
        <v>64</v>
      </c>
      <c r="H644" s="2" t="s">
        <v>242</v>
      </c>
      <c r="I644" s="13">
        <v>8</v>
      </c>
      <c r="J644" s="10">
        <v>789.46</v>
      </c>
      <c r="K644" s="10">
        <f t="shared" si="21"/>
        <v>6315.68</v>
      </c>
      <c r="L644" s="2">
        <v>0</v>
      </c>
      <c r="M644" s="2" t="s">
        <v>29</v>
      </c>
      <c r="N644" s="2" t="s">
        <v>35</v>
      </c>
    </row>
    <row r="645" spans="1:14" x14ac:dyDescent="0.2">
      <c r="A645" s="13">
        <v>101474</v>
      </c>
      <c r="B645" s="5">
        <v>45353</v>
      </c>
      <c r="C645" s="5" t="str">
        <f t="shared" si="20"/>
        <v>Mar</v>
      </c>
      <c r="D645" s="2" t="s">
        <v>91</v>
      </c>
      <c r="E645" s="2" t="s">
        <v>61</v>
      </c>
      <c r="F645" s="2" t="s">
        <v>119</v>
      </c>
      <c r="G645" s="2" t="s">
        <v>50</v>
      </c>
      <c r="H645" s="2" t="s">
        <v>56</v>
      </c>
      <c r="I645" s="13">
        <v>8</v>
      </c>
      <c r="J645" s="10">
        <v>8559.24</v>
      </c>
      <c r="K645" s="10">
        <f t="shared" si="21"/>
        <v>68473.919999999998</v>
      </c>
      <c r="L645" s="2">
        <v>0</v>
      </c>
      <c r="M645" s="2" t="s">
        <v>24</v>
      </c>
      <c r="N645" s="2" t="s">
        <v>42</v>
      </c>
    </row>
    <row r="646" spans="1:14" x14ac:dyDescent="0.2">
      <c r="A646" s="13">
        <v>101344</v>
      </c>
      <c r="B646" s="5">
        <v>45380</v>
      </c>
      <c r="C646" s="5" t="str">
        <f t="shared" si="20"/>
        <v>Mar</v>
      </c>
      <c r="D646" s="2" t="s">
        <v>649</v>
      </c>
      <c r="E646" s="2" t="s">
        <v>140</v>
      </c>
      <c r="F646" s="2" t="s">
        <v>79</v>
      </c>
      <c r="G646" s="2" t="s">
        <v>33</v>
      </c>
      <c r="H646" s="2" t="s">
        <v>93</v>
      </c>
      <c r="I646" s="13">
        <v>11</v>
      </c>
      <c r="J646" s="10">
        <v>312.92</v>
      </c>
      <c r="K646" s="10">
        <f t="shared" si="21"/>
        <v>3442.1200000000003</v>
      </c>
      <c r="L646" s="2">
        <v>0.15</v>
      </c>
      <c r="M646" s="2" t="s">
        <v>17</v>
      </c>
      <c r="N646" s="2" t="s">
        <v>42</v>
      </c>
    </row>
    <row r="647" spans="1:14" x14ac:dyDescent="0.2">
      <c r="A647" s="13">
        <v>100968</v>
      </c>
      <c r="B647" s="5">
        <v>45406</v>
      </c>
      <c r="C647" s="5" t="str">
        <f t="shared" si="20"/>
        <v>Apr</v>
      </c>
      <c r="D647" s="2" t="s">
        <v>650</v>
      </c>
      <c r="E647" s="2" t="s">
        <v>31</v>
      </c>
      <c r="F647" s="2" t="s">
        <v>32</v>
      </c>
      <c r="G647" s="2" t="s">
        <v>106</v>
      </c>
      <c r="H647" s="2" t="s">
        <v>156</v>
      </c>
      <c r="I647" s="13">
        <v>1</v>
      </c>
      <c r="J647" s="10">
        <v>4206.26</v>
      </c>
      <c r="K647" s="10">
        <f t="shared" si="21"/>
        <v>4206.26</v>
      </c>
      <c r="L647" s="2">
        <v>0</v>
      </c>
      <c r="M647" s="2" t="s">
        <v>83</v>
      </c>
      <c r="N647" s="2" t="s">
        <v>18</v>
      </c>
    </row>
    <row r="648" spans="1:14" x14ac:dyDescent="0.2">
      <c r="A648" s="13">
        <v>101195</v>
      </c>
      <c r="B648" s="5">
        <v>45608</v>
      </c>
      <c r="C648" s="5" t="str">
        <f t="shared" si="20"/>
        <v>Nov</v>
      </c>
      <c r="D648" s="2" t="s">
        <v>378</v>
      </c>
      <c r="E648" s="2" t="s">
        <v>140</v>
      </c>
      <c r="F648" s="2" t="s">
        <v>79</v>
      </c>
      <c r="G648" s="2" t="s">
        <v>50</v>
      </c>
      <c r="H648" s="2" t="s">
        <v>56</v>
      </c>
      <c r="I648" s="13">
        <v>10</v>
      </c>
      <c r="J648" s="10">
        <v>11349.28</v>
      </c>
      <c r="K648" s="10">
        <f t="shared" si="21"/>
        <v>113492.8</v>
      </c>
      <c r="L648" s="2">
        <v>0</v>
      </c>
      <c r="M648" s="2" t="s">
        <v>24</v>
      </c>
      <c r="N648" s="2" t="s">
        <v>35</v>
      </c>
    </row>
    <row r="649" spans="1:14" x14ac:dyDescent="0.2">
      <c r="A649" s="13">
        <v>101226</v>
      </c>
      <c r="B649" s="5">
        <v>45316</v>
      </c>
      <c r="C649" s="5" t="str">
        <f t="shared" si="20"/>
        <v>Jan</v>
      </c>
      <c r="D649" s="2" t="s">
        <v>415</v>
      </c>
      <c r="E649" s="2" t="s">
        <v>61</v>
      </c>
      <c r="F649" s="2" t="s">
        <v>14</v>
      </c>
      <c r="G649" s="2" t="s">
        <v>64</v>
      </c>
      <c r="H649" s="2" t="s">
        <v>114</v>
      </c>
      <c r="I649" s="13">
        <v>4</v>
      </c>
      <c r="J649" s="10">
        <v>550.78</v>
      </c>
      <c r="K649" s="10">
        <f t="shared" si="21"/>
        <v>2203.12</v>
      </c>
      <c r="L649" s="2">
        <v>0.05</v>
      </c>
      <c r="M649" s="2" t="s">
        <v>41</v>
      </c>
      <c r="N649" s="2" t="s">
        <v>52</v>
      </c>
    </row>
    <row r="650" spans="1:14" x14ac:dyDescent="0.2">
      <c r="A650" s="13">
        <v>100129</v>
      </c>
      <c r="B650" s="5">
        <v>45543</v>
      </c>
      <c r="C650" s="5" t="str">
        <f t="shared" si="20"/>
        <v>Sep</v>
      </c>
      <c r="D650" s="2" t="s">
        <v>1069</v>
      </c>
      <c r="E650" s="2" t="s">
        <v>140</v>
      </c>
      <c r="F650" s="2" t="s">
        <v>49</v>
      </c>
      <c r="G650" s="2" t="s">
        <v>15</v>
      </c>
      <c r="H650" s="2" t="s">
        <v>205</v>
      </c>
      <c r="I650" s="13">
        <v>9</v>
      </c>
      <c r="J650" s="10">
        <v>13378.44</v>
      </c>
      <c r="K650" s="10">
        <f t="shared" si="21"/>
        <v>120405.96</v>
      </c>
      <c r="L650" s="2">
        <v>0.25</v>
      </c>
      <c r="M650" s="2" t="s">
        <v>17</v>
      </c>
      <c r="N650" s="2" t="s">
        <v>35</v>
      </c>
    </row>
    <row r="651" spans="1:14" x14ac:dyDescent="0.2">
      <c r="A651" s="13">
        <v>100706</v>
      </c>
      <c r="B651" s="5">
        <v>45601</v>
      </c>
      <c r="C651" s="5" t="str">
        <f t="shared" si="20"/>
        <v>Nov</v>
      </c>
      <c r="D651" s="2" t="s">
        <v>533</v>
      </c>
      <c r="E651" s="2" t="s">
        <v>31</v>
      </c>
      <c r="F651" s="2" t="s">
        <v>54</v>
      </c>
      <c r="G651" s="2" t="s">
        <v>106</v>
      </c>
      <c r="H651" s="2" t="s">
        <v>135</v>
      </c>
      <c r="I651" s="13">
        <v>11</v>
      </c>
      <c r="J651" s="10">
        <v>824.52</v>
      </c>
      <c r="K651" s="10">
        <f t="shared" si="21"/>
        <v>9069.7199999999993</v>
      </c>
      <c r="L651" s="2">
        <v>0</v>
      </c>
      <c r="M651" s="2" t="s">
        <v>83</v>
      </c>
      <c r="N651" s="2" t="s">
        <v>87</v>
      </c>
    </row>
    <row r="652" spans="1:14" x14ac:dyDescent="0.2">
      <c r="A652" s="13">
        <v>101170</v>
      </c>
      <c r="B652" s="5">
        <v>45312</v>
      </c>
      <c r="C652" s="5" t="str">
        <f t="shared" si="20"/>
        <v>Jan</v>
      </c>
      <c r="D652" s="2" t="s">
        <v>652</v>
      </c>
      <c r="E652" s="2" t="s">
        <v>61</v>
      </c>
      <c r="F652" s="2" t="s">
        <v>14</v>
      </c>
      <c r="G652" s="2" t="s">
        <v>22</v>
      </c>
      <c r="H652" s="2" t="s">
        <v>232</v>
      </c>
      <c r="I652" s="13">
        <v>3</v>
      </c>
      <c r="J652" s="10">
        <v>3029.8</v>
      </c>
      <c r="K652" s="10">
        <f t="shared" si="21"/>
        <v>9089.4000000000015</v>
      </c>
      <c r="L652" s="2">
        <v>0.1</v>
      </c>
      <c r="M652" s="2" t="s">
        <v>66</v>
      </c>
      <c r="N652" s="2" t="s">
        <v>87</v>
      </c>
    </row>
    <row r="653" spans="1:14" x14ac:dyDescent="0.2">
      <c r="A653" s="13">
        <v>101947</v>
      </c>
      <c r="B653" s="5">
        <v>45607</v>
      </c>
      <c r="C653" s="5" t="str">
        <f t="shared" si="20"/>
        <v>Nov</v>
      </c>
      <c r="D653" s="2" t="s">
        <v>127</v>
      </c>
      <c r="E653" s="2" t="s">
        <v>61</v>
      </c>
      <c r="F653" s="2" t="s">
        <v>14</v>
      </c>
      <c r="G653" s="2" t="s">
        <v>33</v>
      </c>
      <c r="H653" s="2" t="s">
        <v>34</v>
      </c>
      <c r="I653" s="13">
        <v>5</v>
      </c>
      <c r="J653" s="10">
        <v>355.42</v>
      </c>
      <c r="K653" s="10">
        <f t="shared" si="21"/>
        <v>1777.1000000000001</v>
      </c>
      <c r="L653" s="2">
        <v>0</v>
      </c>
      <c r="M653" s="2" t="s">
        <v>83</v>
      </c>
      <c r="N653" s="2" t="s">
        <v>52</v>
      </c>
    </row>
    <row r="654" spans="1:14" x14ac:dyDescent="0.2">
      <c r="A654" s="13">
        <v>101376</v>
      </c>
      <c r="B654" s="5">
        <v>45356</v>
      </c>
      <c r="C654" s="5" t="str">
        <f t="shared" si="20"/>
        <v>Mar</v>
      </c>
      <c r="D654" s="2" t="s">
        <v>653</v>
      </c>
      <c r="E654" s="2" t="s">
        <v>61</v>
      </c>
      <c r="F654" s="2" t="s">
        <v>119</v>
      </c>
      <c r="G654" s="2" t="s">
        <v>64</v>
      </c>
      <c r="H654" s="2" t="s">
        <v>114</v>
      </c>
      <c r="I654" s="13">
        <v>9</v>
      </c>
      <c r="J654" s="10">
        <v>274.14</v>
      </c>
      <c r="K654" s="10">
        <f t="shared" si="21"/>
        <v>2467.2599999999998</v>
      </c>
      <c r="L654" s="2">
        <v>0</v>
      </c>
      <c r="M654" s="2" t="s">
        <v>29</v>
      </c>
      <c r="N654" s="2" t="s">
        <v>121</v>
      </c>
    </row>
    <row r="655" spans="1:14" x14ac:dyDescent="0.2">
      <c r="A655" s="13">
        <v>100523</v>
      </c>
      <c r="B655" s="5">
        <v>45323</v>
      </c>
      <c r="C655" s="5" t="str">
        <f t="shared" si="20"/>
        <v>Feb</v>
      </c>
      <c r="D655" s="2" t="s">
        <v>309</v>
      </c>
      <c r="E655" s="2" t="s">
        <v>37</v>
      </c>
      <c r="F655" s="2" t="s">
        <v>38</v>
      </c>
      <c r="G655" s="2" t="s">
        <v>64</v>
      </c>
      <c r="H655" s="2" t="s">
        <v>40</v>
      </c>
      <c r="I655" s="13">
        <v>6</v>
      </c>
      <c r="J655" s="10">
        <v>357.6</v>
      </c>
      <c r="K655" s="10">
        <f t="shared" si="21"/>
        <v>2145.6000000000004</v>
      </c>
      <c r="L655" s="2">
        <v>0.25</v>
      </c>
      <c r="M655" s="2" t="s">
        <v>66</v>
      </c>
      <c r="N655" s="2" t="s">
        <v>52</v>
      </c>
    </row>
    <row r="656" spans="1:14" x14ac:dyDescent="0.2">
      <c r="A656" s="13">
        <v>100265</v>
      </c>
      <c r="B656" s="5">
        <v>45571</v>
      </c>
      <c r="C656" s="5" t="str">
        <f t="shared" si="20"/>
        <v>Oct</v>
      </c>
      <c r="D656" s="2" t="s">
        <v>322</v>
      </c>
      <c r="E656" s="2" t="s">
        <v>27</v>
      </c>
      <c r="F656" s="2" t="s">
        <v>133</v>
      </c>
      <c r="G656" s="2" t="s">
        <v>45</v>
      </c>
      <c r="H656" s="2" t="s">
        <v>153</v>
      </c>
      <c r="I656" s="13">
        <v>7</v>
      </c>
      <c r="J656" s="10">
        <v>25646.32</v>
      </c>
      <c r="K656" s="10">
        <f t="shared" si="21"/>
        <v>179524.24</v>
      </c>
      <c r="L656" s="2">
        <v>0.2</v>
      </c>
      <c r="M656" s="2" t="s">
        <v>29</v>
      </c>
      <c r="N656" s="2" t="s">
        <v>143</v>
      </c>
    </row>
    <row r="657" spans="1:14" x14ac:dyDescent="0.2">
      <c r="A657" s="13">
        <v>101019</v>
      </c>
      <c r="B657" s="5">
        <v>45572</v>
      </c>
      <c r="C657" s="5" t="str">
        <f t="shared" si="20"/>
        <v>Oct</v>
      </c>
      <c r="D657" s="2" t="s">
        <v>91</v>
      </c>
      <c r="E657" s="2" t="s">
        <v>27</v>
      </c>
      <c r="F657" s="2" t="s">
        <v>21</v>
      </c>
      <c r="G657" s="2" t="s">
        <v>33</v>
      </c>
      <c r="H657" s="2" t="s">
        <v>34</v>
      </c>
      <c r="I657" s="13">
        <v>11</v>
      </c>
      <c r="J657" s="10">
        <v>84.52</v>
      </c>
      <c r="K657" s="10">
        <f t="shared" si="21"/>
        <v>929.71999999999991</v>
      </c>
      <c r="L657" s="2">
        <v>0</v>
      </c>
      <c r="M657" s="2" t="s">
        <v>41</v>
      </c>
      <c r="N657" s="2" t="s">
        <v>42</v>
      </c>
    </row>
    <row r="658" spans="1:14" x14ac:dyDescent="0.2">
      <c r="A658" s="13">
        <v>100947</v>
      </c>
      <c r="B658" s="5">
        <v>45297</v>
      </c>
      <c r="C658" s="5" t="str">
        <f t="shared" si="20"/>
        <v>Jan</v>
      </c>
      <c r="D658" s="2" t="s">
        <v>654</v>
      </c>
      <c r="E658" s="2" t="s">
        <v>140</v>
      </c>
      <c r="F658" s="2" t="s">
        <v>49</v>
      </c>
      <c r="G658" s="2" t="s">
        <v>22</v>
      </c>
      <c r="H658" s="2" t="s">
        <v>141</v>
      </c>
      <c r="I658" s="13">
        <v>8</v>
      </c>
      <c r="J658" s="10">
        <v>0</v>
      </c>
      <c r="K658" s="10">
        <f t="shared" si="21"/>
        <v>0</v>
      </c>
      <c r="L658" s="2">
        <v>0.2</v>
      </c>
      <c r="M658" s="2" t="s">
        <v>17</v>
      </c>
      <c r="N658" s="2" t="s">
        <v>87</v>
      </c>
    </row>
    <row r="659" spans="1:14" x14ac:dyDescent="0.2">
      <c r="A659" s="13">
        <v>100664</v>
      </c>
      <c r="B659" s="5">
        <v>45314</v>
      </c>
      <c r="C659" s="5" t="str">
        <f t="shared" si="20"/>
        <v>Jan</v>
      </c>
      <c r="D659" s="2" t="s">
        <v>655</v>
      </c>
      <c r="E659" s="2" t="s">
        <v>31</v>
      </c>
      <c r="F659" s="2" t="s">
        <v>54</v>
      </c>
      <c r="G659" s="2" t="s">
        <v>106</v>
      </c>
      <c r="H659" s="2" t="s">
        <v>103</v>
      </c>
      <c r="I659" s="13">
        <v>2</v>
      </c>
      <c r="J659" s="10">
        <v>1318.36</v>
      </c>
      <c r="K659" s="10">
        <f t="shared" si="21"/>
        <v>2636.72</v>
      </c>
      <c r="L659" s="2">
        <v>0.05</v>
      </c>
      <c r="M659" s="2" t="s">
        <v>41</v>
      </c>
      <c r="N659" s="2" t="s">
        <v>42</v>
      </c>
    </row>
    <row r="660" spans="1:14" x14ac:dyDescent="0.2">
      <c r="A660" s="13">
        <v>100632</v>
      </c>
      <c r="B660" s="5">
        <v>45611</v>
      </c>
      <c r="C660" s="5" t="str">
        <f t="shared" si="20"/>
        <v>Nov</v>
      </c>
      <c r="D660" s="2" t="s">
        <v>656</v>
      </c>
      <c r="E660" s="2" t="s">
        <v>140</v>
      </c>
      <c r="F660" s="2" t="s">
        <v>79</v>
      </c>
      <c r="G660" s="2" t="s">
        <v>64</v>
      </c>
      <c r="H660" s="2" t="s">
        <v>165</v>
      </c>
      <c r="I660" s="13">
        <v>1</v>
      </c>
      <c r="J660" s="10">
        <v>422.39</v>
      </c>
      <c r="K660" s="10">
        <f t="shared" si="21"/>
        <v>422.39</v>
      </c>
      <c r="L660" s="2">
        <v>0.05</v>
      </c>
      <c r="M660" s="2" t="s">
        <v>17</v>
      </c>
      <c r="N660" s="2" t="s">
        <v>18</v>
      </c>
    </row>
    <row r="661" spans="1:14" x14ac:dyDescent="0.2">
      <c r="A661" s="13">
        <v>100499</v>
      </c>
      <c r="B661" s="5">
        <v>45384</v>
      </c>
      <c r="C661" s="5" t="str">
        <f t="shared" si="20"/>
        <v>Apr</v>
      </c>
      <c r="D661" s="2" t="s">
        <v>1069</v>
      </c>
      <c r="E661" s="2" t="s">
        <v>27</v>
      </c>
      <c r="F661" s="2" t="s">
        <v>21</v>
      </c>
      <c r="G661" s="2" t="s">
        <v>106</v>
      </c>
      <c r="H661" s="2" t="s">
        <v>103</v>
      </c>
      <c r="I661" s="13">
        <v>3</v>
      </c>
      <c r="J661" s="10">
        <v>1045.6099999999999</v>
      </c>
      <c r="K661" s="10">
        <f t="shared" si="21"/>
        <v>3136.83</v>
      </c>
      <c r="L661" s="2">
        <v>0</v>
      </c>
      <c r="M661" s="2" t="s">
        <v>41</v>
      </c>
      <c r="N661" s="2" t="s">
        <v>87</v>
      </c>
    </row>
    <row r="662" spans="1:14" x14ac:dyDescent="0.2">
      <c r="A662" s="13">
        <v>101772</v>
      </c>
      <c r="B662" s="5">
        <v>45474</v>
      </c>
      <c r="C662" s="5" t="str">
        <f t="shared" si="20"/>
        <v>Jul</v>
      </c>
      <c r="D662" s="2" t="s">
        <v>206</v>
      </c>
      <c r="E662" s="2" t="s">
        <v>31</v>
      </c>
      <c r="F662" s="2" t="s">
        <v>32</v>
      </c>
      <c r="G662" s="2" t="s">
        <v>106</v>
      </c>
      <c r="H662" s="2" t="s">
        <v>135</v>
      </c>
      <c r="I662" s="13">
        <v>4</v>
      </c>
      <c r="J662" s="10">
        <v>689.74</v>
      </c>
      <c r="K662" s="10">
        <f t="shared" si="21"/>
        <v>2758.96</v>
      </c>
      <c r="L662" s="2">
        <v>0.25</v>
      </c>
      <c r="M662" s="2" t="s">
        <v>66</v>
      </c>
      <c r="N662" s="2" t="s">
        <v>52</v>
      </c>
    </row>
    <row r="663" spans="1:14" x14ac:dyDescent="0.2">
      <c r="A663" s="13">
        <v>101964</v>
      </c>
      <c r="B663" s="5">
        <v>45519</v>
      </c>
      <c r="C663" s="5" t="str">
        <f t="shared" si="20"/>
        <v>Aug</v>
      </c>
      <c r="D663" s="2" t="s">
        <v>658</v>
      </c>
      <c r="E663" s="2" t="s">
        <v>140</v>
      </c>
      <c r="F663" s="2" t="s">
        <v>49</v>
      </c>
      <c r="G663" s="2" t="s">
        <v>64</v>
      </c>
      <c r="H663" s="2" t="s">
        <v>114</v>
      </c>
      <c r="I663" s="13">
        <v>9</v>
      </c>
      <c r="J663" s="10">
        <v>260.19</v>
      </c>
      <c r="K663" s="10">
        <f t="shared" si="21"/>
        <v>2341.71</v>
      </c>
      <c r="L663" s="2">
        <v>0</v>
      </c>
      <c r="M663" s="2" t="s">
        <v>41</v>
      </c>
      <c r="N663" s="2" t="s">
        <v>42</v>
      </c>
    </row>
    <row r="664" spans="1:14" x14ac:dyDescent="0.2">
      <c r="A664" s="13">
        <v>101679</v>
      </c>
      <c r="B664" s="5">
        <v>45496</v>
      </c>
      <c r="C664" s="5" t="str">
        <f t="shared" si="20"/>
        <v>Jul</v>
      </c>
      <c r="D664" s="2" t="s">
        <v>659</v>
      </c>
      <c r="E664" s="2" t="s">
        <v>61</v>
      </c>
      <c r="F664" s="2" t="s">
        <v>14</v>
      </c>
      <c r="G664" s="2" t="s">
        <v>50</v>
      </c>
      <c r="H664" s="2" t="s">
        <v>62</v>
      </c>
      <c r="I664" s="13">
        <v>5</v>
      </c>
      <c r="J664" s="10">
        <v>0</v>
      </c>
      <c r="K664" s="10">
        <f t="shared" si="21"/>
        <v>0</v>
      </c>
      <c r="L664" s="2">
        <v>0.1</v>
      </c>
      <c r="M664" s="2" t="s">
        <v>29</v>
      </c>
      <c r="N664" s="2" t="s">
        <v>35</v>
      </c>
    </row>
    <row r="665" spans="1:14" x14ac:dyDescent="0.2">
      <c r="A665" s="13">
        <v>100931</v>
      </c>
      <c r="B665" s="5">
        <v>45496</v>
      </c>
      <c r="C665" s="5" t="str">
        <f t="shared" si="20"/>
        <v>Jul</v>
      </c>
      <c r="D665" s="2" t="s">
        <v>506</v>
      </c>
      <c r="E665" s="2" t="s">
        <v>140</v>
      </c>
      <c r="F665" s="2" t="s">
        <v>79</v>
      </c>
      <c r="G665" s="2" t="s">
        <v>106</v>
      </c>
      <c r="H665" s="2" t="s">
        <v>103</v>
      </c>
      <c r="I665" s="13">
        <v>6</v>
      </c>
      <c r="J665" s="10">
        <v>2268.98</v>
      </c>
      <c r="K665" s="10">
        <f t="shared" si="21"/>
        <v>13613.880000000001</v>
      </c>
      <c r="L665" s="2">
        <v>0.2</v>
      </c>
      <c r="M665" s="2" t="s">
        <v>17</v>
      </c>
      <c r="N665" s="2" t="s">
        <v>52</v>
      </c>
    </row>
    <row r="666" spans="1:14" x14ac:dyDescent="0.2">
      <c r="A666" s="13">
        <v>100433</v>
      </c>
      <c r="B666" s="5">
        <v>45506</v>
      </c>
      <c r="C666" s="5" t="str">
        <f t="shared" si="20"/>
        <v>Aug</v>
      </c>
      <c r="D666" s="2" t="s">
        <v>660</v>
      </c>
      <c r="E666" s="2" t="s">
        <v>31</v>
      </c>
      <c r="F666" s="2" t="s">
        <v>32</v>
      </c>
      <c r="G666" s="2" t="s">
        <v>15</v>
      </c>
      <c r="H666" s="2" t="s">
        <v>205</v>
      </c>
      <c r="I666" s="13">
        <v>2</v>
      </c>
      <c r="J666" s="10">
        <v>23812.639999999999</v>
      </c>
      <c r="K666" s="10">
        <f t="shared" si="21"/>
        <v>47625.279999999999</v>
      </c>
      <c r="L666" s="2">
        <v>0</v>
      </c>
      <c r="M666" s="2" t="s">
        <v>41</v>
      </c>
      <c r="N666" s="2" t="s">
        <v>121</v>
      </c>
    </row>
    <row r="667" spans="1:14" x14ac:dyDescent="0.2">
      <c r="A667" s="13">
        <v>101172</v>
      </c>
      <c r="B667" s="5">
        <v>45496</v>
      </c>
      <c r="C667" s="5" t="str">
        <f t="shared" si="20"/>
        <v>Jul</v>
      </c>
      <c r="D667" s="2" t="s">
        <v>1069</v>
      </c>
      <c r="E667" s="2" t="s">
        <v>140</v>
      </c>
      <c r="F667" s="2" t="s">
        <v>79</v>
      </c>
      <c r="G667" s="2" t="s">
        <v>15</v>
      </c>
      <c r="H667" s="2" t="s">
        <v>152</v>
      </c>
      <c r="I667" s="13">
        <v>3</v>
      </c>
      <c r="J667" s="10">
        <v>24337.06</v>
      </c>
      <c r="K667" s="10">
        <f t="shared" si="21"/>
        <v>73011.180000000008</v>
      </c>
      <c r="L667" s="2">
        <v>0.15</v>
      </c>
      <c r="M667" s="2" t="s">
        <v>29</v>
      </c>
      <c r="N667" s="2" t="s">
        <v>42</v>
      </c>
    </row>
    <row r="668" spans="1:14" x14ac:dyDescent="0.2">
      <c r="A668" s="13">
        <v>100818</v>
      </c>
      <c r="B668" s="5">
        <v>45639</v>
      </c>
      <c r="C668" s="5" t="str">
        <f t="shared" si="20"/>
        <v>Dec</v>
      </c>
      <c r="D668" s="2" t="s">
        <v>661</v>
      </c>
      <c r="E668" s="2" t="s">
        <v>27</v>
      </c>
      <c r="F668" s="2" t="s">
        <v>21</v>
      </c>
      <c r="G668" s="2" t="s">
        <v>64</v>
      </c>
      <c r="H668" s="2" t="s">
        <v>292</v>
      </c>
      <c r="I668" s="13">
        <v>11</v>
      </c>
      <c r="J668" s="10">
        <v>478.1</v>
      </c>
      <c r="K668" s="10">
        <f t="shared" si="21"/>
        <v>5259.1</v>
      </c>
      <c r="L668" s="2">
        <v>0</v>
      </c>
      <c r="M668" s="2" t="s">
        <v>24</v>
      </c>
      <c r="N668" s="2" t="s">
        <v>18</v>
      </c>
    </row>
    <row r="669" spans="1:14" x14ac:dyDescent="0.2">
      <c r="A669" s="13">
        <v>100069</v>
      </c>
      <c r="B669" s="5">
        <v>45556</v>
      </c>
      <c r="C669" s="5" t="str">
        <f t="shared" si="20"/>
        <v>Sep</v>
      </c>
      <c r="D669" s="2" t="s">
        <v>300</v>
      </c>
      <c r="E669" s="2" t="s">
        <v>31</v>
      </c>
      <c r="F669" s="2" t="s">
        <v>54</v>
      </c>
      <c r="G669" s="2" t="s">
        <v>22</v>
      </c>
      <c r="H669" s="2" t="s">
        <v>232</v>
      </c>
      <c r="I669" s="13">
        <v>8</v>
      </c>
      <c r="J669" s="10">
        <v>3405.72</v>
      </c>
      <c r="K669" s="10">
        <f t="shared" si="21"/>
        <v>27245.759999999998</v>
      </c>
      <c r="L669" s="2">
        <v>0.25</v>
      </c>
      <c r="M669" s="2" t="s">
        <v>66</v>
      </c>
      <c r="N669" s="2" t="s">
        <v>25</v>
      </c>
    </row>
    <row r="670" spans="1:14" x14ac:dyDescent="0.2">
      <c r="A670" s="13">
        <v>100809</v>
      </c>
      <c r="B670" s="5">
        <v>45582</v>
      </c>
      <c r="C670" s="5" t="str">
        <f t="shared" si="20"/>
        <v>Oct</v>
      </c>
      <c r="D670" s="2" t="s">
        <v>400</v>
      </c>
      <c r="E670" s="2" t="s">
        <v>61</v>
      </c>
      <c r="F670" s="2" t="s">
        <v>119</v>
      </c>
      <c r="G670" s="2" t="s">
        <v>15</v>
      </c>
      <c r="H670" s="2" t="s">
        <v>116</v>
      </c>
      <c r="I670" s="13">
        <v>2</v>
      </c>
      <c r="J670" s="10">
        <v>14738.4</v>
      </c>
      <c r="K670" s="10">
        <f t="shared" si="21"/>
        <v>29476.799999999999</v>
      </c>
      <c r="L670" s="2">
        <v>0</v>
      </c>
      <c r="M670" s="2" t="s">
        <v>41</v>
      </c>
      <c r="N670" s="2" t="s">
        <v>87</v>
      </c>
    </row>
    <row r="671" spans="1:14" x14ac:dyDescent="0.2">
      <c r="A671" s="13">
        <v>100688</v>
      </c>
      <c r="B671" s="5">
        <v>45555</v>
      </c>
      <c r="C671" s="5" t="str">
        <f t="shared" si="20"/>
        <v>Sep</v>
      </c>
      <c r="D671" s="2" t="s">
        <v>221</v>
      </c>
      <c r="E671" s="2" t="s">
        <v>27</v>
      </c>
      <c r="F671" s="2" t="s">
        <v>133</v>
      </c>
      <c r="G671" s="2" t="s">
        <v>50</v>
      </c>
      <c r="H671" s="2" t="s">
        <v>207</v>
      </c>
      <c r="I671" s="13">
        <v>5</v>
      </c>
      <c r="J671" s="10">
        <v>10303.64</v>
      </c>
      <c r="K671" s="10">
        <f t="shared" si="21"/>
        <v>51518.2</v>
      </c>
      <c r="L671" s="2">
        <v>0.2</v>
      </c>
      <c r="M671" s="2" t="s">
        <v>83</v>
      </c>
      <c r="N671" s="2" t="s">
        <v>52</v>
      </c>
    </row>
    <row r="672" spans="1:14" x14ac:dyDescent="0.2">
      <c r="A672" s="13">
        <v>101282</v>
      </c>
      <c r="B672" s="5">
        <v>45338</v>
      </c>
      <c r="C672" s="5" t="str">
        <f t="shared" si="20"/>
        <v>Feb</v>
      </c>
      <c r="D672" s="2" t="s">
        <v>662</v>
      </c>
      <c r="E672" s="2" t="s">
        <v>37</v>
      </c>
      <c r="F672" s="2" t="s">
        <v>38</v>
      </c>
      <c r="G672" s="2" t="s">
        <v>33</v>
      </c>
      <c r="H672" s="2" t="s">
        <v>93</v>
      </c>
      <c r="I672" s="13">
        <v>1</v>
      </c>
      <c r="J672" s="10">
        <v>454.4</v>
      </c>
      <c r="K672" s="10">
        <f t="shared" si="21"/>
        <v>454.4</v>
      </c>
      <c r="L672" s="2">
        <v>0</v>
      </c>
      <c r="M672" s="2" t="s">
        <v>41</v>
      </c>
      <c r="N672" s="2" t="s">
        <v>52</v>
      </c>
    </row>
    <row r="673" spans="1:14" x14ac:dyDescent="0.2">
      <c r="A673" s="13">
        <v>101861</v>
      </c>
      <c r="B673" s="5">
        <v>45528</v>
      </c>
      <c r="C673" s="5" t="str">
        <f t="shared" si="20"/>
        <v>Aug</v>
      </c>
      <c r="D673" s="2" t="s">
        <v>614</v>
      </c>
      <c r="E673" s="2" t="s">
        <v>37</v>
      </c>
      <c r="F673" s="2" t="s">
        <v>69</v>
      </c>
      <c r="G673" s="2" t="s">
        <v>22</v>
      </c>
      <c r="H673" s="2" t="s">
        <v>75</v>
      </c>
      <c r="I673" s="13">
        <v>12</v>
      </c>
      <c r="J673" s="10">
        <v>1982.29</v>
      </c>
      <c r="K673" s="10">
        <f t="shared" si="21"/>
        <v>23787.48</v>
      </c>
      <c r="L673" s="2">
        <v>0.1</v>
      </c>
      <c r="M673" s="2" t="s">
        <v>17</v>
      </c>
      <c r="N673" s="2" t="s">
        <v>35</v>
      </c>
    </row>
    <row r="674" spans="1:14" x14ac:dyDescent="0.2">
      <c r="A674" s="13">
        <v>100574</v>
      </c>
      <c r="B674" s="5">
        <v>45339</v>
      </c>
      <c r="C674" s="5" t="str">
        <f t="shared" si="20"/>
        <v>Feb</v>
      </c>
      <c r="D674" s="2" t="s">
        <v>424</v>
      </c>
      <c r="E674" s="2" t="s">
        <v>61</v>
      </c>
      <c r="F674" s="2" t="s">
        <v>119</v>
      </c>
      <c r="G674" s="2" t="s">
        <v>64</v>
      </c>
      <c r="H674" s="2" t="s">
        <v>242</v>
      </c>
      <c r="I674" s="13">
        <v>6</v>
      </c>
      <c r="J674" s="10">
        <v>198.93</v>
      </c>
      <c r="K674" s="10">
        <f t="shared" si="21"/>
        <v>1193.58</v>
      </c>
      <c r="L674" s="2">
        <v>0</v>
      </c>
      <c r="M674" s="2" t="s">
        <v>17</v>
      </c>
      <c r="N674" s="2" t="s">
        <v>35</v>
      </c>
    </row>
    <row r="675" spans="1:14" x14ac:dyDescent="0.2">
      <c r="A675" s="13">
        <v>100335</v>
      </c>
      <c r="B675" s="5">
        <v>45510</v>
      </c>
      <c r="C675" s="5" t="str">
        <f t="shared" si="20"/>
        <v>Aug</v>
      </c>
      <c r="D675" s="2" t="s">
        <v>30</v>
      </c>
      <c r="E675" s="2" t="s">
        <v>37</v>
      </c>
      <c r="F675" s="2" t="s">
        <v>69</v>
      </c>
      <c r="G675" s="2" t="s">
        <v>64</v>
      </c>
      <c r="H675" s="2" t="s">
        <v>40</v>
      </c>
      <c r="I675" s="13">
        <v>8</v>
      </c>
      <c r="J675" s="10">
        <v>84.67</v>
      </c>
      <c r="K675" s="10">
        <f t="shared" si="21"/>
        <v>677.36</v>
      </c>
      <c r="L675" s="2">
        <v>0</v>
      </c>
      <c r="M675" s="2" t="s">
        <v>66</v>
      </c>
      <c r="N675" s="2" t="s">
        <v>52</v>
      </c>
    </row>
    <row r="676" spans="1:14" x14ac:dyDescent="0.2">
      <c r="A676" s="13">
        <v>100339</v>
      </c>
      <c r="B676" s="5">
        <v>45481</v>
      </c>
      <c r="C676" s="5" t="str">
        <f t="shared" si="20"/>
        <v>Jul</v>
      </c>
      <c r="D676" s="2" t="s">
        <v>665</v>
      </c>
      <c r="E676" s="2" t="s">
        <v>37</v>
      </c>
      <c r="F676" s="2" t="s">
        <v>69</v>
      </c>
      <c r="G676" s="2" t="s">
        <v>106</v>
      </c>
      <c r="H676" s="2" t="s">
        <v>103</v>
      </c>
      <c r="I676" s="13">
        <v>10</v>
      </c>
      <c r="J676" s="10">
        <v>2281.77</v>
      </c>
      <c r="K676" s="10">
        <f t="shared" si="21"/>
        <v>22817.7</v>
      </c>
      <c r="L676" s="2">
        <v>0.15</v>
      </c>
      <c r="M676" s="2" t="s">
        <v>17</v>
      </c>
      <c r="N676" s="2" t="s">
        <v>121</v>
      </c>
    </row>
    <row r="677" spans="1:14" x14ac:dyDescent="0.2">
      <c r="A677" s="13">
        <v>101187</v>
      </c>
      <c r="B677" s="5">
        <v>45376</v>
      </c>
      <c r="C677" s="5" t="str">
        <f t="shared" si="20"/>
        <v>Mar</v>
      </c>
      <c r="D677" s="2" t="s">
        <v>666</v>
      </c>
      <c r="E677" s="2" t="s">
        <v>31</v>
      </c>
      <c r="F677" s="2" t="s">
        <v>32</v>
      </c>
      <c r="G677" s="2" t="s">
        <v>64</v>
      </c>
      <c r="H677" s="2" t="s">
        <v>165</v>
      </c>
      <c r="I677" s="13">
        <v>7</v>
      </c>
      <c r="J677" s="10">
        <v>594.1</v>
      </c>
      <c r="K677" s="10">
        <f t="shared" si="21"/>
        <v>4158.7</v>
      </c>
      <c r="L677" s="2">
        <v>0</v>
      </c>
      <c r="M677" s="2" t="s">
        <v>17</v>
      </c>
      <c r="N677" s="2" t="s">
        <v>121</v>
      </c>
    </row>
    <row r="678" spans="1:14" x14ac:dyDescent="0.2">
      <c r="A678" s="13">
        <v>100665</v>
      </c>
      <c r="B678" s="5">
        <v>45408</v>
      </c>
      <c r="C678" s="5" t="str">
        <f t="shared" si="20"/>
        <v>Apr</v>
      </c>
      <c r="D678" s="2" t="s">
        <v>667</v>
      </c>
      <c r="E678" s="2" t="s">
        <v>61</v>
      </c>
      <c r="F678" s="2" t="s">
        <v>119</v>
      </c>
      <c r="G678" s="2" t="s">
        <v>106</v>
      </c>
      <c r="H678" s="2" t="s">
        <v>135</v>
      </c>
      <c r="I678" s="13">
        <v>4</v>
      </c>
      <c r="J678" s="10">
        <v>549.44000000000005</v>
      </c>
      <c r="K678" s="10">
        <f t="shared" si="21"/>
        <v>2197.7600000000002</v>
      </c>
      <c r="L678" s="2">
        <v>0.15</v>
      </c>
      <c r="M678" s="2" t="s">
        <v>29</v>
      </c>
      <c r="N678" s="2" t="s">
        <v>42</v>
      </c>
    </row>
    <row r="679" spans="1:14" x14ac:dyDescent="0.2">
      <c r="A679" s="13">
        <v>100384</v>
      </c>
      <c r="B679" s="5">
        <v>45429</v>
      </c>
      <c r="C679" s="5" t="str">
        <f t="shared" si="20"/>
        <v>May</v>
      </c>
      <c r="D679" s="2" t="s">
        <v>669</v>
      </c>
      <c r="E679" s="2" t="s">
        <v>140</v>
      </c>
      <c r="F679" s="2" t="s">
        <v>49</v>
      </c>
      <c r="G679" s="2" t="s">
        <v>50</v>
      </c>
      <c r="H679" s="2" t="s">
        <v>62</v>
      </c>
      <c r="I679" s="13">
        <v>1</v>
      </c>
      <c r="J679" s="10">
        <v>11398.55</v>
      </c>
      <c r="K679" s="10">
        <f t="shared" si="21"/>
        <v>11398.55</v>
      </c>
      <c r="L679" s="2">
        <v>0</v>
      </c>
      <c r="M679" s="2" t="s">
        <v>66</v>
      </c>
      <c r="N679" s="2" t="s">
        <v>35</v>
      </c>
    </row>
    <row r="680" spans="1:14" x14ac:dyDescent="0.2">
      <c r="A680" s="13">
        <v>101343</v>
      </c>
      <c r="B680" s="5">
        <v>45592</v>
      </c>
      <c r="C680" s="5" t="str">
        <f t="shared" si="20"/>
        <v>Oct</v>
      </c>
      <c r="D680" s="2" t="s">
        <v>670</v>
      </c>
      <c r="E680" s="2" t="s">
        <v>27</v>
      </c>
      <c r="F680" s="2" t="s">
        <v>21</v>
      </c>
      <c r="G680" s="2" t="s">
        <v>64</v>
      </c>
      <c r="H680" s="2" t="s">
        <v>114</v>
      </c>
      <c r="I680" s="13">
        <v>6</v>
      </c>
      <c r="J680" s="10">
        <v>412.31</v>
      </c>
      <c r="K680" s="10">
        <f t="shared" si="21"/>
        <v>2473.86</v>
      </c>
      <c r="L680" s="2">
        <v>0.05</v>
      </c>
      <c r="M680" s="2" t="s">
        <v>24</v>
      </c>
      <c r="N680" s="2" t="s">
        <v>143</v>
      </c>
    </row>
    <row r="681" spans="1:14" x14ac:dyDescent="0.2">
      <c r="A681" s="13">
        <v>100056</v>
      </c>
      <c r="B681" s="5">
        <v>45379</v>
      </c>
      <c r="C681" s="5" t="str">
        <f t="shared" si="20"/>
        <v>Mar</v>
      </c>
      <c r="D681" s="2" t="s">
        <v>335</v>
      </c>
      <c r="E681" s="2" t="s">
        <v>37</v>
      </c>
      <c r="F681" s="2" t="s">
        <v>69</v>
      </c>
      <c r="G681" s="2" t="s">
        <v>15</v>
      </c>
      <c r="H681" s="2" t="s">
        <v>116</v>
      </c>
      <c r="I681" s="13">
        <v>2</v>
      </c>
      <c r="J681" s="10">
        <v>3544.07</v>
      </c>
      <c r="K681" s="10">
        <f t="shared" si="21"/>
        <v>7088.14</v>
      </c>
      <c r="L681" s="2">
        <v>0</v>
      </c>
      <c r="M681" s="2" t="s">
        <v>29</v>
      </c>
      <c r="N681" s="2" t="s">
        <v>25</v>
      </c>
    </row>
    <row r="682" spans="1:14" x14ac:dyDescent="0.2">
      <c r="A682" s="13">
        <v>101286</v>
      </c>
      <c r="B682" s="5">
        <v>45563</v>
      </c>
      <c r="C682" s="5" t="str">
        <f t="shared" si="20"/>
        <v>Sep</v>
      </c>
      <c r="D682" s="2" t="s">
        <v>212</v>
      </c>
      <c r="E682" s="2" t="s">
        <v>27</v>
      </c>
      <c r="F682" s="2" t="s">
        <v>21</v>
      </c>
      <c r="G682" s="2" t="s">
        <v>50</v>
      </c>
      <c r="H682" s="2" t="s">
        <v>62</v>
      </c>
      <c r="I682" s="13">
        <v>3</v>
      </c>
      <c r="J682" s="10">
        <v>6844.57</v>
      </c>
      <c r="K682" s="10">
        <f t="shared" si="21"/>
        <v>20533.71</v>
      </c>
      <c r="L682" s="2">
        <v>0.25</v>
      </c>
      <c r="M682" s="2" t="s">
        <v>17</v>
      </c>
      <c r="N682" s="2" t="s">
        <v>143</v>
      </c>
    </row>
    <row r="683" spans="1:14" x14ac:dyDescent="0.2">
      <c r="A683" s="13">
        <v>101309</v>
      </c>
      <c r="B683" s="5">
        <v>45407</v>
      </c>
      <c r="C683" s="5" t="str">
        <f t="shared" si="20"/>
        <v>Apr</v>
      </c>
      <c r="D683" s="2" t="s">
        <v>273</v>
      </c>
      <c r="E683" s="2" t="s">
        <v>37</v>
      </c>
      <c r="F683" s="2" t="s">
        <v>38</v>
      </c>
      <c r="G683" s="2" t="s">
        <v>50</v>
      </c>
      <c r="H683" s="2" t="s">
        <v>62</v>
      </c>
      <c r="I683" s="13">
        <v>9</v>
      </c>
      <c r="J683" s="10">
        <v>9189.89</v>
      </c>
      <c r="K683" s="10">
        <f t="shared" si="21"/>
        <v>82709.009999999995</v>
      </c>
      <c r="L683" s="2">
        <v>0</v>
      </c>
      <c r="M683" s="2" t="s">
        <v>17</v>
      </c>
      <c r="N683" s="2" t="s">
        <v>42</v>
      </c>
    </row>
    <row r="684" spans="1:14" x14ac:dyDescent="0.2">
      <c r="A684" s="13">
        <v>101850</v>
      </c>
      <c r="B684" s="5">
        <v>45471</v>
      </c>
      <c r="C684" s="5" t="str">
        <f t="shared" si="20"/>
        <v>Jun</v>
      </c>
      <c r="D684" s="2" t="s">
        <v>671</v>
      </c>
      <c r="E684" s="2" t="s">
        <v>61</v>
      </c>
      <c r="F684" s="2" t="s">
        <v>14</v>
      </c>
      <c r="G684" s="2" t="s">
        <v>33</v>
      </c>
      <c r="H684" s="2" t="s">
        <v>93</v>
      </c>
      <c r="I684" s="13">
        <v>10</v>
      </c>
      <c r="J684" s="10">
        <v>329.44</v>
      </c>
      <c r="K684" s="10">
        <f t="shared" si="21"/>
        <v>3294.4</v>
      </c>
      <c r="L684" s="2">
        <v>0</v>
      </c>
      <c r="M684" s="2" t="s">
        <v>83</v>
      </c>
      <c r="N684" s="2" t="s">
        <v>121</v>
      </c>
    </row>
    <row r="685" spans="1:14" x14ac:dyDescent="0.2">
      <c r="A685" s="13">
        <v>101553</v>
      </c>
      <c r="B685" s="5">
        <v>45575</v>
      </c>
      <c r="C685" s="5" t="str">
        <f t="shared" si="20"/>
        <v>Oct</v>
      </c>
      <c r="D685" s="2" t="s">
        <v>581</v>
      </c>
      <c r="E685" s="2" t="s">
        <v>31</v>
      </c>
      <c r="F685" s="2" t="s">
        <v>32</v>
      </c>
      <c r="G685" s="2" t="s">
        <v>33</v>
      </c>
      <c r="H685" s="2" t="s">
        <v>93</v>
      </c>
      <c r="I685" s="13">
        <v>7</v>
      </c>
      <c r="J685" s="10">
        <v>186.07</v>
      </c>
      <c r="K685" s="10">
        <f t="shared" si="21"/>
        <v>1302.49</v>
      </c>
      <c r="L685" s="2">
        <v>0.25</v>
      </c>
      <c r="M685" s="2" t="s">
        <v>29</v>
      </c>
      <c r="N685" s="2" t="s">
        <v>25</v>
      </c>
    </row>
    <row r="686" spans="1:14" x14ac:dyDescent="0.2">
      <c r="A686" s="13">
        <v>100798</v>
      </c>
      <c r="B686" s="5">
        <v>45403</v>
      </c>
      <c r="C686" s="5" t="str">
        <f t="shared" si="20"/>
        <v>Apr</v>
      </c>
      <c r="D686" s="2" t="s">
        <v>204</v>
      </c>
      <c r="E686" s="2" t="s">
        <v>27</v>
      </c>
      <c r="F686" s="2" t="s">
        <v>21</v>
      </c>
      <c r="G686" s="2" t="s">
        <v>50</v>
      </c>
      <c r="H686" s="2" t="s">
        <v>56</v>
      </c>
      <c r="I686" s="13">
        <v>1</v>
      </c>
      <c r="J686" s="10">
        <v>9704.89</v>
      </c>
      <c r="K686" s="10">
        <f t="shared" si="21"/>
        <v>9704.89</v>
      </c>
      <c r="L686" s="2">
        <v>0</v>
      </c>
      <c r="M686" s="2" t="s">
        <v>66</v>
      </c>
      <c r="N686" s="2" t="s">
        <v>35</v>
      </c>
    </row>
    <row r="687" spans="1:14" x14ac:dyDescent="0.2">
      <c r="A687" s="13">
        <v>101702</v>
      </c>
      <c r="B687" s="5">
        <v>45596</v>
      </c>
      <c r="C687" s="5" t="str">
        <f t="shared" si="20"/>
        <v>Oct</v>
      </c>
      <c r="D687" s="2" t="s">
        <v>892</v>
      </c>
      <c r="E687" s="2" t="s">
        <v>61</v>
      </c>
      <c r="F687" s="2" t="s">
        <v>14</v>
      </c>
      <c r="G687" s="2" t="s">
        <v>15</v>
      </c>
      <c r="H687" s="2" t="s">
        <v>16</v>
      </c>
      <c r="I687" s="13">
        <v>8</v>
      </c>
      <c r="J687" s="10">
        <v>3080.02</v>
      </c>
      <c r="K687" s="10">
        <f t="shared" si="21"/>
        <v>24640.16</v>
      </c>
      <c r="L687" s="2">
        <v>0.25</v>
      </c>
      <c r="M687" s="2" t="s">
        <v>66</v>
      </c>
      <c r="N687" s="2" t="s">
        <v>143</v>
      </c>
    </row>
    <row r="688" spans="1:14" x14ac:dyDescent="0.2">
      <c r="A688" s="13">
        <v>100171</v>
      </c>
      <c r="B688" s="5">
        <v>45440</v>
      </c>
      <c r="C688" s="5" t="str">
        <f t="shared" si="20"/>
        <v>May</v>
      </c>
      <c r="D688" s="2" t="s">
        <v>286</v>
      </c>
      <c r="E688" s="2" t="s">
        <v>27</v>
      </c>
      <c r="F688" s="2" t="s">
        <v>21</v>
      </c>
      <c r="G688" s="2" t="s">
        <v>15</v>
      </c>
      <c r="H688" s="2" t="s">
        <v>152</v>
      </c>
      <c r="I688" s="13">
        <v>11</v>
      </c>
      <c r="J688" s="10">
        <v>15562.94</v>
      </c>
      <c r="K688" s="10">
        <f t="shared" si="21"/>
        <v>171192.34</v>
      </c>
      <c r="L688" s="2">
        <v>0.1</v>
      </c>
      <c r="M688" s="2" t="s">
        <v>29</v>
      </c>
      <c r="N688" s="2" t="s">
        <v>87</v>
      </c>
    </row>
    <row r="689" spans="1:14" x14ac:dyDescent="0.2">
      <c r="A689" s="13">
        <v>100174</v>
      </c>
      <c r="B689" s="5">
        <v>45528</v>
      </c>
      <c r="C689" s="5" t="str">
        <f t="shared" si="20"/>
        <v>Aug</v>
      </c>
      <c r="D689" s="2" t="s">
        <v>282</v>
      </c>
      <c r="E689" s="2" t="s">
        <v>27</v>
      </c>
      <c r="F689" s="2" t="s">
        <v>21</v>
      </c>
      <c r="G689" s="2" t="s">
        <v>33</v>
      </c>
      <c r="H689" s="2" t="s">
        <v>81</v>
      </c>
      <c r="I689" s="13">
        <v>5</v>
      </c>
      <c r="J689" s="10">
        <v>397.27</v>
      </c>
      <c r="K689" s="10">
        <f t="shared" si="21"/>
        <v>1986.35</v>
      </c>
      <c r="L689" s="2">
        <v>0</v>
      </c>
      <c r="M689" s="2" t="s">
        <v>41</v>
      </c>
      <c r="N689" s="2" t="s">
        <v>143</v>
      </c>
    </row>
    <row r="690" spans="1:14" x14ac:dyDescent="0.2">
      <c r="A690" s="13">
        <v>100976</v>
      </c>
      <c r="B690" s="5">
        <v>45551</v>
      </c>
      <c r="C690" s="5" t="str">
        <f t="shared" si="20"/>
        <v>Sep</v>
      </c>
      <c r="D690" s="2" t="s">
        <v>204</v>
      </c>
      <c r="E690" s="2" t="s">
        <v>140</v>
      </c>
      <c r="F690" s="2" t="s">
        <v>49</v>
      </c>
      <c r="G690" s="2" t="s">
        <v>64</v>
      </c>
      <c r="H690" s="2" t="s">
        <v>165</v>
      </c>
      <c r="I690" s="13">
        <v>6</v>
      </c>
      <c r="J690" s="10">
        <v>75.52</v>
      </c>
      <c r="K690" s="10">
        <f t="shared" si="21"/>
        <v>453.12</v>
      </c>
      <c r="L690" s="2">
        <v>0</v>
      </c>
      <c r="M690" s="2" t="s">
        <v>41</v>
      </c>
      <c r="N690" s="2" t="s">
        <v>35</v>
      </c>
    </row>
    <row r="691" spans="1:14" x14ac:dyDescent="0.2">
      <c r="A691" s="13">
        <v>100327</v>
      </c>
      <c r="B691" s="5">
        <v>45639</v>
      </c>
      <c r="C691" s="5" t="str">
        <f t="shared" si="20"/>
        <v>Dec</v>
      </c>
      <c r="D691" s="2" t="s">
        <v>675</v>
      </c>
      <c r="E691" s="2" t="s">
        <v>140</v>
      </c>
      <c r="F691" s="2" t="s">
        <v>79</v>
      </c>
      <c r="G691" s="2" t="s">
        <v>50</v>
      </c>
      <c r="H691" s="2" t="s">
        <v>62</v>
      </c>
      <c r="I691" s="13">
        <v>7</v>
      </c>
      <c r="J691" s="10">
        <v>9080.06</v>
      </c>
      <c r="K691" s="10">
        <f t="shared" si="21"/>
        <v>63560.42</v>
      </c>
      <c r="L691" s="2">
        <v>0</v>
      </c>
      <c r="M691" s="2" t="s">
        <v>29</v>
      </c>
      <c r="N691" s="2" t="s">
        <v>18</v>
      </c>
    </row>
    <row r="692" spans="1:14" x14ac:dyDescent="0.2">
      <c r="A692" s="13">
        <v>100504</v>
      </c>
      <c r="B692" s="5">
        <v>45644</v>
      </c>
      <c r="C692" s="5" t="str">
        <f t="shared" si="20"/>
        <v>Dec</v>
      </c>
      <c r="D692" s="2" t="s">
        <v>218</v>
      </c>
      <c r="E692" s="2" t="s">
        <v>27</v>
      </c>
      <c r="F692" s="2" t="s">
        <v>133</v>
      </c>
      <c r="G692" s="2" t="s">
        <v>106</v>
      </c>
      <c r="H692" s="2" t="s">
        <v>103</v>
      </c>
      <c r="I692" s="13">
        <v>12</v>
      </c>
      <c r="J692" s="10">
        <v>770.28</v>
      </c>
      <c r="K692" s="10">
        <f t="shared" si="21"/>
        <v>9243.36</v>
      </c>
      <c r="L692" s="2">
        <v>0</v>
      </c>
      <c r="M692" s="2" t="s">
        <v>29</v>
      </c>
      <c r="N692" s="2" t="s">
        <v>42</v>
      </c>
    </row>
    <row r="693" spans="1:14" x14ac:dyDescent="0.2">
      <c r="A693" s="13">
        <v>101672</v>
      </c>
      <c r="B693" s="5">
        <v>45442</v>
      </c>
      <c r="C693" s="5" t="str">
        <f t="shared" si="20"/>
        <v>May</v>
      </c>
      <c r="D693" s="2" t="s">
        <v>362</v>
      </c>
      <c r="E693" s="2" t="s">
        <v>61</v>
      </c>
      <c r="F693" s="2" t="s">
        <v>14</v>
      </c>
      <c r="G693" s="2" t="s">
        <v>50</v>
      </c>
      <c r="H693" s="2" t="s">
        <v>207</v>
      </c>
      <c r="I693" s="13">
        <v>9</v>
      </c>
      <c r="J693" s="10">
        <v>4323.96</v>
      </c>
      <c r="K693" s="10">
        <f t="shared" si="21"/>
        <v>38915.64</v>
      </c>
      <c r="L693" s="2">
        <v>0</v>
      </c>
      <c r="M693" s="2" t="s">
        <v>24</v>
      </c>
      <c r="N693" s="2" t="s">
        <v>52</v>
      </c>
    </row>
    <row r="694" spans="1:14" x14ac:dyDescent="0.2">
      <c r="A694" s="13">
        <v>100410</v>
      </c>
      <c r="B694" s="5">
        <v>45492</v>
      </c>
      <c r="C694" s="5" t="str">
        <f t="shared" si="20"/>
        <v>Jul</v>
      </c>
      <c r="D694" s="2" t="s">
        <v>322</v>
      </c>
      <c r="E694" s="2" t="s">
        <v>31</v>
      </c>
      <c r="F694" s="2" t="s">
        <v>54</v>
      </c>
      <c r="G694" s="2" t="s">
        <v>64</v>
      </c>
      <c r="H694" s="2" t="s">
        <v>292</v>
      </c>
      <c r="I694" s="13">
        <v>8</v>
      </c>
      <c r="J694" s="10">
        <v>724.87</v>
      </c>
      <c r="K694" s="10">
        <f t="shared" si="21"/>
        <v>5798.96</v>
      </c>
      <c r="L694" s="2">
        <v>0</v>
      </c>
      <c r="M694" s="2" t="s">
        <v>29</v>
      </c>
      <c r="N694" s="2" t="s">
        <v>143</v>
      </c>
    </row>
    <row r="695" spans="1:14" x14ac:dyDescent="0.2">
      <c r="A695" s="13">
        <v>101805</v>
      </c>
      <c r="B695" s="5">
        <v>45375</v>
      </c>
      <c r="C695" s="5" t="str">
        <f t="shared" si="20"/>
        <v>Mar</v>
      </c>
      <c r="D695" s="2" t="s">
        <v>221</v>
      </c>
      <c r="E695" s="2" t="s">
        <v>37</v>
      </c>
      <c r="F695" s="2" t="s">
        <v>38</v>
      </c>
      <c r="G695" s="2" t="s">
        <v>45</v>
      </c>
      <c r="H695" s="2" t="s">
        <v>97</v>
      </c>
      <c r="I695" s="13">
        <v>11</v>
      </c>
      <c r="J695" s="10">
        <v>43182.02</v>
      </c>
      <c r="K695" s="10">
        <f t="shared" si="21"/>
        <v>475002.22</v>
      </c>
      <c r="L695" s="2">
        <v>0.15</v>
      </c>
      <c r="M695" s="2" t="s">
        <v>66</v>
      </c>
      <c r="N695" s="2" t="s">
        <v>25</v>
      </c>
    </row>
    <row r="696" spans="1:14" x14ac:dyDescent="0.2">
      <c r="A696" s="13">
        <v>100298</v>
      </c>
      <c r="B696" s="5">
        <v>45605</v>
      </c>
      <c r="C696" s="5" t="str">
        <f t="shared" si="20"/>
        <v>Nov</v>
      </c>
      <c r="D696" s="2" t="s">
        <v>331</v>
      </c>
      <c r="E696" s="2" t="s">
        <v>27</v>
      </c>
      <c r="F696" s="2" t="s">
        <v>21</v>
      </c>
      <c r="G696" s="2" t="s">
        <v>45</v>
      </c>
      <c r="H696" s="2" t="s">
        <v>97</v>
      </c>
      <c r="I696" s="13">
        <v>9</v>
      </c>
      <c r="J696" s="10">
        <v>7001.6</v>
      </c>
      <c r="K696" s="10">
        <f t="shared" si="21"/>
        <v>63014.400000000001</v>
      </c>
      <c r="L696" s="2">
        <v>0.15</v>
      </c>
      <c r="M696" s="2" t="s">
        <v>24</v>
      </c>
      <c r="N696" s="2" t="s">
        <v>121</v>
      </c>
    </row>
    <row r="697" spans="1:14" x14ac:dyDescent="0.2">
      <c r="A697" s="13">
        <v>101339</v>
      </c>
      <c r="B697" s="5">
        <v>45644</v>
      </c>
      <c r="C697" s="5" t="str">
        <f t="shared" si="20"/>
        <v>Dec</v>
      </c>
      <c r="D697" s="2" t="s">
        <v>677</v>
      </c>
      <c r="E697" s="2" t="s">
        <v>140</v>
      </c>
      <c r="F697" s="2" t="s">
        <v>49</v>
      </c>
      <c r="G697" s="2" t="s">
        <v>106</v>
      </c>
      <c r="H697" s="2" t="s">
        <v>103</v>
      </c>
      <c r="I697" s="13">
        <v>11</v>
      </c>
      <c r="J697" s="10">
        <v>4190.01</v>
      </c>
      <c r="K697" s="10">
        <f t="shared" si="21"/>
        <v>46090.11</v>
      </c>
      <c r="L697" s="2">
        <v>0.25</v>
      </c>
      <c r="M697" s="2" t="s">
        <v>83</v>
      </c>
      <c r="N697" s="2" t="s">
        <v>18</v>
      </c>
    </row>
    <row r="698" spans="1:14" x14ac:dyDescent="0.2">
      <c r="A698" s="13">
        <v>100846</v>
      </c>
      <c r="B698" s="5">
        <v>45522</v>
      </c>
      <c r="C698" s="5" t="str">
        <f t="shared" si="20"/>
        <v>Aug</v>
      </c>
      <c r="D698" s="2" t="s">
        <v>397</v>
      </c>
      <c r="E698" s="2" t="s">
        <v>140</v>
      </c>
      <c r="F698" s="2" t="s">
        <v>79</v>
      </c>
      <c r="G698" s="2" t="s">
        <v>64</v>
      </c>
      <c r="H698" s="2" t="s">
        <v>242</v>
      </c>
      <c r="I698" s="13">
        <v>6</v>
      </c>
      <c r="J698" s="10">
        <v>52.98</v>
      </c>
      <c r="K698" s="10">
        <f t="shared" si="21"/>
        <v>317.88</v>
      </c>
      <c r="L698" s="2">
        <v>0.25</v>
      </c>
      <c r="M698" s="2" t="s">
        <v>24</v>
      </c>
      <c r="N698" s="2" t="s">
        <v>52</v>
      </c>
    </row>
    <row r="699" spans="1:14" x14ac:dyDescent="0.2">
      <c r="A699" s="13">
        <v>101318</v>
      </c>
      <c r="B699" s="5">
        <v>45395</v>
      </c>
      <c r="C699" s="5" t="str">
        <f t="shared" si="20"/>
        <v>Apr</v>
      </c>
      <c r="D699" s="2" t="s">
        <v>154</v>
      </c>
      <c r="E699" s="2" t="s">
        <v>37</v>
      </c>
      <c r="F699" s="2" t="s">
        <v>69</v>
      </c>
      <c r="G699" s="2" t="s">
        <v>22</v>
      </c>
      <c r="H699" s="2" t="s">
        <v>23</v>
      </c>
      <c r="I699" s="13">
        <v>11</v>
      </c>
      <c r="J699" s="10">
        <v>2014.39</v>
      </c>
      <c r="K699" s="10">
        <f t="shared" si="21"/>
        <v>22158.29</v>
      </c>
      <c r="L699" s="2">
        <v>0.15</v>
      </c>
      <c r="M699" s="2" t="s">
        <v>17</v>
      </c>
      <c r="N699" s="2" t="s">
        <v>87</v>
      </c>
    </row>
    <row r="700" spans="1:14" x14ac:dyDescent="0.2">
      <c r="A700" s="13">
        <v>100857</v>
      </c>
      <c r="B700" s="5">
        <v>45431</v>
      </c>
      <c r="C700" s="5" t="str">
        <f t="shared" si="20"/>
        <v>May</v>
      </c>
      <c r="D700" s="2" t="s">
        <v>161</v>
      </c>
      <c r="E700" s="2" t="s">
        <v>31</v>
      </c>
      <c r="F700" s="2" t="s">
        <v>32</v>
      </c>
      <c r="G700" s="2" t="s">
        <v>106</v>
      </c>
      <c r="H700" s="2" t="s">
        <v>135</v>
      </c>
      <c r="I700" s="13">
        <v>12</v>
      </c>
      <c r="J700" s="10">
        <v>4326.2</v>
      </c>
      <c r="K700" s="10">
        <f t="shared" si="21"/>
        <v>51914.399999999994</v>
      </c>
      <c r="L700" s="2">
        <v>0</v>
      </c>
      <c r="M700" s="2" t="s">
        <v>29</v>
      </c>
      <c r="N700" s="2" t="s">
        <v>87</v>
      </c>
    </row>
    <row r="701" spans="1:14" x14ac:dyDescent="0.2">
      <c r="A701" s="13">
        <v>101820</v>
      </c>
      <c r="B701" s="5">
        <v>45574</v>
      </c>
      <c r="C701" s="5" t="str">
        <f t="shared" si="20"/>
        <v>Oct</v>
      </c>
      <c r="D701" s="2" t="s">
        <v>429</v>
      </c>
      <c r="E701" s="2" t="s">
        <v>31</v>
      </c>
      <c r="F701" s="2" t="s">
        <v>54</v>
      </c>
      <c r="G701" s="2" t="s">
        <v>50</v>
      </c>
      <c r="H701" s="2" t="s">
        <v>62</v>
      </c>
      <c r="I701" s="13">
        <v>12</v>
      </c>
      <c r="J701" s="10">
        <v>9240.27</v>
      </c>
      <c r="K701" s="10">
        <f t="shared" si="21"/>
        <v>110883.24</v>
      </c>
      <c r="L701" s="2">
        <v>0</v>
      </c>
      <c r="M701" s="2" t="s">
        <v>17</v>
      </c>
      <c r="N701" s="2" t="s">
        <v>87</v>
      </c>
    </row>
    <row r="702" spans="1:14" x14ac:dyDescent="0.2">
      <c r="A702" s="13">
        <v>101287</v>
      </c>
      <c r="B702" s="5">
        <v>45500</v>
      </c>
      <c r="C702" s="5" t="str">
        <f t="shared" si="20"/>
        <v>Jul</v>
      </c>
      <c r="D702" s="2" t="s">
        <v>188</v>
      </c>
      <c r="E702" s="2" t="s">
        <v>61</v>
      </c>
      <c r="F702" s="2" t="s">
        <v>14</v>
      </c>
      <c r="G702" s="2" t="s">
        <v>64</v>
      </c>
      <c r="H702" s="2" t="s">
        <v>114</v>
      </c>
      <c r="I702" s="13">
        <v>10</v>
      </c>
      <c r="J702" s="10">
        <v>683.89</v>
      </c>
      <c r="K702" s="10">
        <f t="shared" si="21"/>
        <v>6838.9</v>
      </c>
      <c r="L702" s="2">
        <v>0.15</v>
      </c>
      <c r="M702" s="2" t="s">
        <v>29</v>
      </c>
      <c r="N702" s="2" t="s">
        <v>35</v>
      </c>
    </row>
    <row r="703" spans="1:14" x14ac:dyDescent="0.2">
      <c r="A703" s="13">
        <v>100672</v>
      </c>
      <c r="B703" s="5">
        <v>45595</v>
      </c>
      <c r="C703" s="5" t="str">
        <f t="shared" si="20"/>
        <v>Oct</v>
      </c>
      <c r="D703" s="2" t="s">
        <v>123</v>
      </c>
      <c r="E703" s="2" t="s">
        <v>61</v>
      </c>
      <c r="F703" s="2" t="s">
        <v>119</v>
      </c>
      <c r="G703" s="2" t="s">
        <v>33</v>
      </c>
      <c r="H703" s="2" t="s">
        <v>93</v>
      </c>
      <c r="I703" s="13">
        <v>9</v>
      </c>
      <c r="J703" s="10">
        <v>96.65</v>
      </c>
      <c r="K703" s="10">
        <f t="shared" si="21"/>
        <v>869.85</v>
      </c>
      <c r="L703" s="2">
        <v>0.2</v>
      </c>
      <c r="M703" s="2" t="s">
        <v>17</v>
      </c>
      <c r="N703" s="2" t="s">
        <v>143</v>
      </c>
    </row>
    <row r="704" spans="1:14" x14ac:dyDescent="0.2">
      <c r="A704" s="13">
        <v>100649</v>
      </c>
      <c r="B704" s="5">
        <v>45325</v>
      </c>
      <c r="C704" s="5" t="str">
        <f t="shared" si="20"/>
        <v>Feb</v>
      </c>
      <c r="D704" s="2" t="s">
        <v>555</v>
      </c>
      <c r="E704" s="2" t="s">
        <v>27</v>
      </c>
      <c r="F704" s="2" t="s">
        <v>21</v>
      </c>
      <c r="G704" s="2" t="s">
        <v>106</v>
      </c>
      <c r="H704" s="2" t="s">
        <v>156</v>
      </c>
      <c r="I704" s="13">
        <v>3</v>
      </c>
      <c r="J704" s="10">
        <v>3299.87</v>
      </c>
      <c r="K704" s="10">
        <f t="shared" si="21"/>
        <v>9899.61</v>
      </c>
      <c r="L704" s="2">
        <v>0.05</v>
      </c>
      <c r="M704" s="2" t="s">
        <v>24</v>
      </c>
      <c r="N704" s="2" t="s">
        <v>52</v>
      </c>
    </row>
    <row r="705" spans="1:14" x14ac:dyDescent="0.2">
      <c r="A705" s="13">
        <v>101704</v>
      </c>
      <c r="B705" s="5">
        <v>45387</v>
      </c>
      <c r="C705" s="5" t="str">
        <f t="shared" si="20"/>
        <v>Apr</v>
      </c>
      <c r="D705" s="2" t="s">
        <v>445</v>
      </c>
      <c r="E705" s="2" t="s">
        <v>27</v>
      </c>
      <c r="F705" s="2" t="s">
        <v>133</v>
      </c>
      <c r="G705" s="2" t="s">
        <v>50</v>
      </c>
      <c r="H705" s="2" t="s">
        <v>56</v>
      </c>
      <c r="I705" s="13">
        <v>6</v>
      </c>
      <c r="J705" s="10">
        <v>3344.43</v>
      </c>
      <c r="K705" s="10">
        <f t="shared" si="21"/>
        <v>20066.579999999998</v>
      </c>
      <c r="L705" s="2">
        <v>0.2</v>
      </c>
      <c r="M705" s="2" t="s">
        <v>24</v>
      </c>
      <c r="N705" s="2" t="s">
        <v>18</v>
      </c>
    </row>
    <row r="706" spans="1:14" x14ac:dyDescent="0.2">
      <c r="A706" s="13">
        <v>101560</v>
      </c>
      <c r="B706" s="5">
        <v>45516</v>
      </c>
      <c r="C706" s="5" t="str">
        <f t="shared" ref="C706:C769" si="22">TEXT(B706,"mmm")</f>
        <v>Aug</v>
      </c>
      <c r="D706" s="2" t="s">
        <v>679</v>
      </c>
      <c r="E706" s="2" t="s">
        <v>37</v>
      </c>
      <c r="F706" s="2" t="s">
        <v>69</v>
      </c>
      <c r="G706" s="2" t="s">
        <v>106</v>
      </c>
      <c r="H706" s="2" t="s">
        <v>156</v>
      </c>
      <c r="I706" s="13">
        <v>6</v>
      </c>
      <c r="J706" s="10">
        <v>3920.05</v>
      </c>
      <c r="K706" s="10">
        <f t="shared" ref="K706:K769" si="23">I706*J706</f>
        <v>23520.300000000003</v>
      </c>
      <c r="L706" s="2">
        <v>0</v>
      </c>
      <c r="M706" s="2" t="s">
        <v>24</v>
      </c>
      <c r="N706" s="2" t="s">
        <v>35</v>
      </c>
    </row>
    <row r="707" spans="1:14" x14ac:dyDescent="0.2">
      <c r="A707" s="13">
        <v>101991</v>
      </c>
      <c r="B707" s="5">
        <v>45481</v>
      </c>
      <c r="C707" s="5" t="str">
        <f t="shared" si="22"/>
        <v>Jul</v>
      </c>
      <c r="D707" s="2" t="s">
        <v>571</v>
      </c>
      <c r="E707" s="2" t="s">
        <v>140</v>
      </c>
      <c r="F707" s="2" t="s">
        <v>79</v>
      </c>
      <c r="G707" s="2" t="s">
        <v>106</v>
      </c>
      <c r="H707" s="2" t="s">
        <v>137</v>
      </c>
      <c r="I707" s="13">
        <v>4</v>
      </c>
      <c r="J707" s="10">
        <v>1778.41</v>
      </c>
      <c r="K707" s="10">
        <f t="shared" si="23"/>
        <v>7113.64</v>
      </c>
      <c r="L707" s="2">
        <v>0</v>
      </c>
      <c r="M707" s="2" t="s">
        <v>83</v>
      </c>
      <c r="N707" s="2" t="s">
        <v>143</v>
      </c>
    </row>
    <row r="708" spans="1:14" x14ac:dyDescent="0.2">
      <c r="A708" s="13">
        <v>100732</v>
      </c>
      <c r="B708" s="5">
        <v>45492</v>
      </c>
      <c r="C708" s="5" t="str">
        <f t="shared" si="22"/>
        <v>Jul</v>
      </c>
      <c r="D708" s="2" t="s">
        <v>681</v>
      </c>
      <c r="E708" s="2" t="s">
        <v>31</v>
      </c>
      <c r="F708" s="2" t="s">
        <v>32</v>
      </c>
      <c r="G708" s="2" t="s">
        <v>64</v>
      </c>
      <c r="H708" s="2" t="s">
        <v>40</v>
      </c>
      <c r="I708" s="13">
        <v>4</v>
      </c>
      <c r="J708" s="10">
        <v>819.09</v>
      </c>
      <c r="K708" s="10">
        <f t="shared" si="23"/>
        <v>3276.36</v>
      </c>
      <c r="L708" s="2">
        <v>0</v>
      </c>
      <c r="M708" s="2" t="s">
        <v>83</v>
      </c>
      <c r="N708" s="2" t="s">
        <v>25</v>
      </c>
    </row>
    <row r="709" spans="1:14" x14ac:dyDescent="0.2">
      <c r="A709" s="13">
        <v>101741</v>
      </c>
      <c r="B709" s="5">
        <v>45334</v>
      </c>
      <c r="C709" s="5" t="str">
        <f t="shared" si="22"/>
        <v>Feb</v>
      </c>
      <c r="D709" s="2" t="s">
        <v>179</v>
      </c>
      <c r="E709" s="2" t="s">
        <v>61</v>
      </c>
      <c r="F709" s="2" t="s">
        <v>14</v>
      </c>
      <c r="G709" s="2" t="s">
        <v>106</v>
      </c>
      <c r="H709" s="2" t="s">
        <v>103</v>
      </c>
      <c r="I709" s="13">
        <v>1</v>
      </c>
      <c r="J709" s="10">
        <v>0</v>
      </c>
      <c r="K709" s="10">
        <f t="shared" si="23"/>
        <v>0</v>
      </c>
      <c r="L709" s="2">
        <v>0.1</v>
      </c>
      <c r="M709" s="2" t="s">
        <v>17</v>
      </c>
      <c r="N709" s="2" t="s">
        <v>25</v>
      </c>
    </row>
    <row r="710" spans="1:14" x14ac:dyDescent="0.2">
      <c r="A710" s="13">
        <v>100532</v>
      </c>
      <c r="B710" s="5">
        <v>45474</v>
      </c>
      <c r="C710" s="5" t="str">
        <f t="shared" si="22"/>
        <v>Jul</v>
      </c>
      <c r="D710" s="2" t="s">
        <v>683</v>
      </c>
      <c r="E710" s="2" t="s">
        <v>140</v>
      </c>
      <c r="F710" s="2" t="s">
        <v>79</v>
      </c>
      <c r="G710" s="2" t="s">
        <v>64</v>
      </c>
      <c r="H710" s="2" t="s">
        <v>292</v>
      </c>
      <c r="I710" s="13">
        <v>5</v>
      </c>
      <c r="J710" s="10">
        <v>227.26</v>
      </c>
      <c r="K710" s="10">
        <f t="shared" si="23"/>
        <v>1136.3</v>
      </c>
      <c r="L710" s="2">
        <v>0.05</v>
      </c>
      <c r="M710" s="2" t="s">
        <v>29</v>
      </c>
      <c r="N710" s="2" t="s">
        <v>35</v>
      </c>
    </row>
    <row r="711" spans="1:14" x14ac:dyDescent="0.2">
      <c r="A711" s="13">
        <v>100408</v>
      </c>
      <c r="B711" s="5">
        <v>45367</v>
      </c>
      <c r="C711" s="5" t="str">
        <f t="shared" si="22"/>
        <v>Mar</v>
      </c>
      <c r="D711" s="2" t="s">
        <v>1069</v>
      </c>
      <c r="E711" s="2" t="s">
        <v>31</v>
      </c>
      <c r="F711" s="2" t="s">
        <v>54</v>
      </c>
      <c r="G711" s="2" t="s">
        <v>64</v>
      </c>
      <c r="H711" s="2" t="s">
        <v>292</v>
      </c>
      <c r="I711" s="13">
        <v>6</v>
      </c>
      <c r="J711" s="10">
        <v>415.04</v>
      </c>
      <c r="K711" s="10">
        <f t="shared" si="23"/>
        <v>2490.2400000000002</v>
      </c>
      <c r="L711" s="2">
        <v>0</v>
      </c>
      <c r="M711" s="2" t="s">
        <v>24</v>
      </c>
      <c r="N711" s="2" t="s">
        <v>121</v>
      </c>
    </row>
    <row r="712" spans="1:14" x14ac:dyDescent="0.2">
      <c r="A712" s="13">
        <v>100200</v>
      </c>
      <c r="B712" s="5">
        <v>45444</v>
      </c>
      <c r="C712" s="5" t="str">
        <f t="shared" si="22"/>
        <v>Jun</v>
      </c>
      <c r="D712" s="2" t="s">
        <v>228</v>
      </c>
      <c r="E712" s="2" t="s">
        <v>31</v>
      </c>
      <c r="F712" s="2" t="s">
        <v>32</v>
      </c>
      <c r="G712" s="2" t="s">
        <v>106</v>
      </c>
      <c r="H712" s="2" t="s">
        <v>103</v>
      </c>
      <c r="I712" s="13">
        <v>10</v>
      </c>
      <c r="J712" s="10">
        <v>589.78</v>
      </c>
      <c r="K712" s="10">
        <f t="shared" si="23"/>
        <v>5897.7999999999993</v>
      </c>
      <c r="L712" s="2">
        <v>0</v>
      </c>
      <c r="M712" s="2" t="s">
        <v>24</v>
      </c>
      <c r="N712" s="2" t="s">
        <v>143</v>
      </c>
    </row>
    <row r="713" spans="1:14" x14ac:dyDescent="0.2">
      <c r="A713" s="13">
        <v>100474</v>
      </c>
      <c r="B713" s="5">
        <v>45393</v>
      </c>
      <c r="C713" s="5" t="str">
        <f t="shared" si="22"/>
        <v>Apr</v>
      </c>
      <c r="D713" s="2" t="s">
        <v>307</v>
      </c>
      <c r="E713" s="2" t="s">
        <v>140</v>
      </c>
      <c r="F713" s="2" t="s">
        <v>79</v>
      </c>
      <c r="G713" s="2" t="s">
        <v>64</v>
      </c>
      <c r="H713" s="2" t="s">
        <v>40</v>
      </c>
      <c r="I713" s="13">
        <v>11</v>
      </c>
      <c r="J713" s="10">
        <v>865.33</v>
      </c>
      <c r="K713" s="10">
        <f t="shared" si="23"/>
        <v>9518.630000000001</v>
      </c>
      <c r="L713" s="2">
        <v>0.25</v>
      </c>
      <c r="M713" s="2" t="s">
        <v>41</v>
      </c>
      <c r="N713" s="2" t="s">
        <v>18</v>
      </c>
    </row>
    <row r="714" spans="1:14" x14ac:dyDescent="0.2">
      <c r="A714" s="13">
        <v>100906</v>
      </c>
      <c r="B714" s="5">
        <v>45408</v>
      </c>
      <c r="C714" s="5" t="str">
        <f t="shared" si="22"/>
        <v>Apr</v>
      </c>
      <c r="D714" s="2" t="s">
        <v>686</v>
      </c>
      <c r="E714" s="2" t="s">
        <v>140</v>
      </c>
      <c r="F714" s="2" t="s">
        <v>79</v>
      </c>
      <c r="G714" s="2" t="s">
        <v>64</v>
      </c>
      <c r="H714" s="2" t="s">
        <v>40</v>
      </c>
      <c r="I714" s="13">
        <v>6</v>
      </c>
      <c r="J714" s="10">
        <v>637.03</v>
      </c>
      <c r="K714" s="10">
        <f t="shared" si="23"/>
        <v>3822.18</v>
      </c>
      <c r="L714" s="2">
        <v>0.15</v>
      </c>
      <c r="M714" s="2" t="s">
        <v>66</v>
      </c>
      <c r="N714" s="2" t="s">
        <v>121</v>
      </c>
    </row>
    <row r="715" spans="1:14" x14ac:dyDescent="0.2">
      <c r="A715" s="13">
        <v>101122</v>
      </c>
      <c r="B715" s="5">
        <v>45608</v>
      </c>
      <c r="C715" s="5" t="str">
        <f t="shared" si="22"/>
        <v>Nov</v>
      </c>
      <c r="D715" s="2" t="s">
        <v>312</v>
      </c>
      <c r="E715" s="2" t="s">
        <v>27</v>
      </c>
      <c r="F715" s="2" t="s">
        <v>133</v>
      </c>
      <c r="G715" s="2" t="s">
        <v>106</v>
      </c>
      <c r="H715" s="2" t="s">
        <v>156</v>
      </c>
      <c r="I715" s="13">
        <v>6</v>
      </c>
      <c r="J715" s="10">
        <v>3342.68</v>
      </c>
      <c r="K715" s="10">
        <f t="shared" si="23"/>
        <v>20056.079999999998</v>
      </c>
      <c r="L715" s="2">
        <v>0.1</v>
      </c>
      <c r="M715" s="2" t="s">
        <v>29</v>
      </c>
      <c r="N715" s="2" t="s">
        <v>18</v>
      </c>
    </row>
    <row r="716" spans="1:14" x14ac:dyDescent="0.2">
      <c r="A716" s="13">
        <v>100748</v>
      </c>
      <c r="B716" s="5">
        <v>45415</v>
      </c>
      <c r="C716" s="5" t="str">
        <f t="shared" si="22"/>
        <v>May</v>
      </c>
      <c r="D716" s="2" t="s">
        <v>688</v>
      </c>
      <c r="E716" s="2" t="s">
        <v>31</v>
      </c>
      <c r="F716" s="2" t="s">
        <v>32</v>
      </c>
      <c r="G716" s="2" t="s">
        <v>64</v>
      </c>
      <c r="H716" s="2" t="s">
        <v>242</v>
      </c>
      <c r="I716" s="13">
        <v>5</v>
      </c>
      <c r="J716" s="10">
        <v>499.07</v>
      </c>
      <c r="K716" s="10">
        <f t="shared" si="23"/>
        <v>2495.35</v>
      </c>
      <c r="L716" s="2">
        <v>0</v>
      </c>
      <c r="M716" s="2" t="s">
        <v>29</v>
      </c>
      <c r="N716" s="2" t="s">
        <v>52</v>
      </c>
    </row>
    <row r="717" spans="1:14" x14ac:dyDescent="0.2">
      <c r="A717" s="13">
        <v>101316</v>
      </c>
      <c r="B717" s="5">
        <v>45467</v>
      </c>
      <c r="C717" s="5" t="str">
        <f t="shared" si="22"/>
        <v>Jun</v>
      </c>
      <c r="D717" s="2" t="s">
        <v>420</v>
      </c>
      <c r="E717" s="2" t="s">
        <v>27</v>
      </c>
      <c r="F717" s="2" t="s">
        <v>21</v>
      </c>
      <c r="G717" s="2" t="s">
        <v>33</v>
      </c>
      <c r="H717" s="2" t="s">
        <v>81</v>
      </c>
      <c r="I717" s="13">
        <v>9</v>
      </c>
      <c r="J717" s="10">
        <v>433.3</v>
      </c>
      <c r="K717" s="10">
        <f t="shared" si="23"/>
        <v>3899.7000000000003</v>
      </c>
      <c r="L717" s="2">
        <v>0.2</v>
      </c>
      <c r="M717" s="2" t="s">
        <v>17</v>
      </c>
      <c r="N717" s="2" t="s">
        <v>18</v>
      </c>
    </row>
    <row r="718" spans="1:14" x14ac:dyDescent="0.2">
      <c r="A718" s="13">
        <v>100217</v>
      </c>
      <c r="B718" s="5">
        <v>45546</v>
      </c>
      <c r="C718" s="5" t="str">
        <f t="shared" si="22"/>
        <v>Sep</v>
      </c>
      <c r="D718" s="2" t="s">
        <v>691</v>
      </c>
      <c r="E718" s="2" t="s">
        <v>140</v>
      </c>
      <c r="F718" s="2" t="s">
        <v>49</v>
      </c>
      <c r="G718" s="2" t="s">
        <v>64</v>
      </c>
      <c r="H718" s="2" t="s">
        <v>242</v>
      </c>
      <c r="I718" s="13">
        <v>7</v>
      </c>
      <c r="J718" s="10">
        <v>788.02</v>
      </c>
      <c r="K718" s="10">
        <f t="shared" si="23"/>
        <v>5516.1399999999994</v>
      </c>
      <c r="L718" s="2">
        <v>0</v>
      </c>
      <c r="M718" s="2" t="s">
        <v>66</v>
      </c>
      <c r="N718" s="2" t="s">
        <v>25</v>
      </c>
    </row>
    <row r="719" spans="1:14" x14ac:dyDescent="0.2">
      <c r="A719" s="13">
        <v>100254</v>
      </c>
      <c r="B719" s="5">
        <v>45339</v>
      </c>
      <c r="C719" s="5" t="str">
        <f t="shared" si="22"/>
        <v>Feb</v>
      </c>
      <c r="D719" s="2" t="s">
        <v>692</v>
      </c>
      <c r="E719" s="2" t="s">
        <v>140</v>
      </c>
      <c r="F719" s="2" t="s">
        <v>79</v>
      </c>
      <c r="G719" s="2" t="s">
        <v>64</v>
      </c>
      <c r="H719" s="2" t="s">
        <v>292</v>
      </c>
      <c r="I719" s="13">
        <v>10</v>
      </c>
      <c r="J719" s="10">
        <v>843.81</v>
      </c>
      <c r="K719" s="10">
        <f t="shared" si="23"/>
        <v>8438.0999999999985</v>
      </c>
      <c r="L719" s="2">
        <v>0.15</v>
      </c>
      <c r="M719" s="2" t="s">
        <v>66</v>
      </c>
      <c r="N719" s="2" t="s">
        <v>42</v>
      </c>
    </row>
    <row r="720" spans="1:14" x14ac:dyDescent="0.2">
      <c r="A720" s="13">
        <v>100153</v>
      </c>
      <c r="B720" s="5">
        <v>45305</v>
      </c>
      <c r="C720" s="5" t="str">
        <f t="shared" si="22"/>
        <v>Jan</v>
      </c>
      <c r="D720" s="2" t="s">
        <v>390</v>
      </c>
      <c r="E720" s="2" t="s">
        <v>27</v>
      </c>
      <c r="F720" s="2" t="s">
        <v>21</v>
      </c>
      <c r="G720" s="2" t="s">
        <v>50</v>
      </c>
      <c r="H720" s="2" t="s">
        <v>99</v>
      </c>
      <c r="I720" s="13">
        <v>6</v>
      </c>
      <c r="J720" s="10">
        <v>1122.8699999999999</v>
      </c>
      <c r="K720" s="10">
        <f t="shared" si="23"/>
        <v>6737.2199999999993</v>
      </c>
      <c r="L720" s="2">
        <v>0</v>
      </c>
      <c r="M720" s="2" t="s">
        <v>24</v>
      </c>
      <c r="N720" s="2" t="s">
        <v>121</v>
      </c>
    </row>
    <row r="721" spans="1:14" x14ac:dyDescent="0.2">
      <c r="A721" s="13">
        <v>101652</v>
      </c>
      <c r="B721" s="5">
        <v>45346</v>
      </c>
      <c r="C721" s="5" t="str">
        <f t="shared" si="22"/>
        <v>Feb</v>
      </c>
      <c r="D721" s="2" t="s">
        <v>1069</v>
      </c>
      <c r="E721" s="2" t="s">
        <v>27</v>
      </c>
      <c r="F721" s="2" t="s">
        <v>21</v>
      </c>
      <c r="G721" s="2" t="s">
        <v>22</v>
      </c>
      <c r="H721" s="2" t="s">
        <v>232</v>
      </c>
      <c r="I721" s="13">
        <v>6</v>
      </c>
      <c r="J721" s="10">
        <v>1037.07</v>
      </c>
      <c r="K721" s="10">
        <f t="shared" si="23"/>
        <v>6222.42</v>
      </c>
      <c r="L721" s="2">
        <v>0</v>
      </c>
      <c r="M721" s="2" t="s">
        <v>29</v>
      </c>
      <c r="N721" s="2" t="s">
        <v>25</v>
      </c>
    </row>
    <row r="722" spans="1:14" x14ac:dyDescent="0.2">
      <c r="A722" s="13">
        <v>100944</v>
      </c>
      <c r="B722" s="5">
        <v>45629</v>
      </c>
      <c r="C722" s="5" t="str">
        <f t="shared" si="22"/>
        <v>Dec</v>
      </c>
      <c r="D722" s="2" t="s">
        <v>675</v>
      </c>
      <c r="E722" s="2" t="s">
        <v>61</v>
      </c>
      <c r="F722" s="2" t="s">
        <v>119</v>
      </c>
      <c r="G722" s="2" t="s">
        <v>45</v>
      </c>
      <c r="H722" s="2" t="s">
        <v>111</v>
      </c>
      <c r="I722" s="13">
        <v>9</v>
      </c>
      <c r="J722" s="10">
        <v>36495.660000000003</v>
      </c>
      <c r="K722" s="10">
        <f t="shared" si="23"/>
        <v>328460.94000000006</v>
      </c>
      <c r="L722" s="2">
        <v>0.25</v>
      </c>
      <c r="M722" s="2" t="s">
        <v>17</v>
      </c>
      <c r="N722" s="2" t="s">
        <v>35</v>
      </c>
    </row>
    <row r="723" spans="1:14" x14ac:dyDescent="0.2">
      <c r="A723" s="13">
        <v>100948</v>
      </c>
      <c r="B723" s="5">
        <v>45656</v>
      </c>
      <c r="C723" s="5" t="str">
        <f t="shared" si="22"/>
        <v>Dec</v>
      </c>
      <c r="D723" s="2" t="s">
        <v>695</v>
      </c>
      <c r="E723" s="2" t="s">
        <v>37</v>
      </c>
      <c r="F723" s="2" t="s">
        <v>69</v>
      </c>
      <c r="G723" s="2" t="s">
        <v>50</v>
      </c>
      <c r="H723" s="2" t="s">
        <v>56</v>
      </c>
      <c r="I723" s="13"/>
      <c r="J723" s="10">
        <v>4401.2299999999996</v>
      </c>
      <c r="K723" s="10">
        <f t="shared" si="23"/>
        <v>0</v>
      </c>
      <c r="L723" s="2">
        <v>0.05</v>
      </c>
      <c r="M723" s="2" t="s">
        <v>24</v>
      </c>
      <c r="N723" s="2" t="s">
        <v>52</v>
      </c>
    </row>
    <row r="724" spans="1:14" x14ac:dyDescent="0.2">
      <c r="A724" s="13">
        <v>101270</v>
      </c>
      <c r="B724" s="5">
        <v>45304</v>
      </c>
      <c r="C724" s="5" t="str">
        <f t="shared" si="22"/>
        <v>Jan</v>
      </c>
      <c r="D724" s="2" t="s">
        <v>201</v>
      </c>
      <c r="E724" s="2" t="s">
        <v>61</v>
      </c>
      <c r="F724" s="2" t="s">
        <v>119</v>
      </c>
      <c r="G724" s="2" t="s">
        <v>106</v>
      </c>
      <c r="H724" s="2" t="s">
        <v>103</v>
      </c>
      <c r="I724" s="13">
        <v>6</v>
      </c>
      <c r="J724" s="10">
        <v>3754.87</v>
      </c>
      <c r="K724" s="10">
        <f t="shared" si="23"/>
        <v>22529.22</v>
      </c>
      <c r="L724" s="2">
        <v>0.05</v>
      </c>
      <c r="M724" s="2" t="s">
        <v>29</v>
      </c>
      <c r="N724" s="2" t="s">
        <v>35</v>
      </c>
    </row>
    <row r="725" spans="1:14" x14ac:dyDescent="0.2">
      <c r="A725" s="13">
        <v>101459</v>
      </c>
      <c r="B725" s="5">
        <v>45378</v>
      </c>
      <c r="C725" s="5" t="str">
        <f t="shared" si="22"/>
        <v>Mar</v>
      </c>
      <c r="D725" s="2" t="s">
        <v>416</v>
      </c>
      <c r="E725" s="2" t="s">
        <v>140</v>
      </c>
      <c r="F725" s="2" t="s">
        <v>49</v>
      </c>
      <c r="G725" s="2" t="s">
        <v>15</v>
      </c>
      <c r="H725" s="2" t="s">
        <v>16</v>
      </c>
      <c r="I725" s="13">
        <v>11</v>
      </c>
      <c r="J725" s="10">
        <v>8020.72</v>
      </c>
      <c r="K725" s="10">
        <f t="shared" si="23"/>
        <v>88227.92</v>
      </c>
      <c r="L725" s="2">
        <v>0.2</v>
      </c>
      <c r="M725" s="2" t="s">
        <v>29</v>
      </c>
      <c r="N725" s="2" t="s">
        <v>143</v>
      </c>
    </row>
    <row r="726" spans="1:14" x14ac:dyDescent="0.2">
      <c r="A726" s="13">
        <v>101622</v>
      </c>
      <c r="B726" s="5">
        <v>45314</v>
      </c>
      <c r="C726" s="5" t="str">
        <f t="shared" si="22"/>
        <v>Jan</v>
      </c>
      <c r="D726" s="2" t="s">
        <v>1069</v>
      </c>
      <c r="E726" s="2" t="s">
        <v>37</v>
      </c>
      <c r="F726" s="2" t="s">
        <v>69</v>
      </c>
      <c r="G726" s="2" t="s">
        <v>45</v>
      </c>
      <c r="H726" s="2" t="s">
        <v>46</v>
      </c>
      <c r="I726" s="13">
        <v>7</v>
      </c>
      <c r="J726" s="10">
        <v>36977.18</v>
      </c>
      <c r="K726" s="10">
        <f t="shared" si="23"/>
        <v>258840.26</v>
      </c>
      <c r="L726" s="2">
        <v>0</v>
      </c>
      <c r="M726" s="2" t="s">
        <v>17</v>
      </c>
      <c r="N726" s="2" t="s">
        <v>143</v>
      </c>
    </row>
    <row r="727" spans="1:14" x14ac:dyDescent="0.2">
      <c r="A727" s="13">
        <v>100735</v>
      </c>
      <c r="B727" s="5">
        <v>45502</v>
      </c>
      <c r="C727" s="5" t="str">
        <f t="shared" si="22"/>
        <v>Jul</v>
      </c>
      <c r="D727" s="2" t="s">
        <v>293</v>
      </c>
      <c r="E727" s="2" t="s">
        <v>37</v>
      </c>
      <c r="F727" s="2" t="s">
        <v>69</v>
      </c>
      <c r="G727" s="2" t="s">
        <v>22</v>
      </c>
      <c r="H727" s="2" t="s">
        <v>232</v>
      </c>
      <c r="I727" s="13">
        <v>-1</v>
      </c>
      <c r="J727" s="10">
        <v>2050.71</v>
      </c>
      <c r="K727" s="10">
        <f t="shared" si="23"/>
        <v>-2050.71</v>
      </c>
      <c r="L727" s="2">
        <v>0</v>
      </c>
      <c r="M727" s="2" t="s">
        <v>41</v>
      </c>
      <c r="N727" s="2" t="s">
        <v>35</v>
      </c>
    </row>
    <row r="728" spans="1:14" x14ac:dyDescent="0.2">
      <c r="A728" s="13">
        <v>101633</v>
      </c>
      <c r="B728" s="5">
        <v>45622</v>
      </c>
      <c r="C728" s="5" t="str">
        <f t="shared" si="22"/>
        <v>Nov</v>
      </c>
      <c r="D728" s="2" t="s">
        <v>696</v>
      </c>
      <c r="E728" s="2" t="s">
        <v>140</v>
      </c>
      <c r="F728" s="2" t="s">
        <v>79</v>
      </c>
      <c r="G728" s="2" t="s">
        <v>22</v>
      </c>
      <c r="H728" s="2" t="s">
        <v>23</v>
      </c>
      <c r="I728" s="13">
        <v>2</v>
      </c>
      <c r="J728" s="10">
        <v>2203.69</v>
      </c>
      <c r="K728" s="10">
        <f t="shared" si="23"/>
        <v>4407.38</v>
      </c>
      <c r="L728" s="2">
        <v>0</v>
      </c>
      <c r="M728" s="2" t="s">
        <v>24</v>
      </c>
      <c r="N728" s="2" t="s">
        <v>42</v>
      </c>
    </row>
    <row r="729" spans="1:14" x14ac:dyDescent="0.2">
      <c r="A729" s="13">
        <v>101253</v>
      </c>
      <c r="B729" s="5">
        <v>45436</v>
      </c>
      <c r="C729" s="5" t="str">
        <f t="shared" si="22"/>
        <v>May</v>
      </c>
      <c r="D729" s="2" t="s">
        <v>359</v>
      </c>
      <c r="E729" s="2" t="s">
        <v>31</v>
      </c>
      <c r="F729" s="2" t="s">
        <v>54</v>
      </c>
      <c r="G729" s="2" t="s">
        <v>33</v>
      </c>
      <c r="H729" s="2" t="s">
        <v>34</v>
      </c>
      <c r="I729" s="13">
        <v>1</v>
      </c>
      <c r="J729" s="10">
        <v>302.93</v>
      </c>
      <c r="K729" s="10">
        <f t="shared" si="23"/>
        <v>302.93</v>
      </c>
      <c r="L729" s="2">
        <v>0</v>
      </c>
      <c r="M729" s="2" t="s">
        <v>29</v>
      </c>
      <c r="N729" s="2" t="s">
        <v>42</v>
      </c>
    </row>
    <row r="730" spans="1:14" x14ac:dyDescent="0.2">
      <c r="A730" s="13">
        <v>100531</v>
      </c>
      <c r="B730" s="5">
        <v>45618</v>
      </c>
      <c r="C730" s="5" t="str">
        <f t="shared" si="22"/>
        <v>Nov</v>
      </c>
      <c r="D730" s="2" t="s">
        <v>492</v>
      </c>
      <c r="E730" s="2" t="s">
        <v>61</v>
      </c>
      <c r="F730" s="2" t="s">
        <v>119</v>
      </c>
      <c r="G730" s="2" t="s">
        <v>15</v>
      </c>
      <c r="H730" s="2" t="s">
        <v>16</v>
      </c>
      <c r="I730" s="13">
        <v>5</v>
      </c>
      <c r="J730" s="10">
        <v>10652.81</v>
      </c>
      <c r="K730" s="10">
        <f t="shared" si="23"/>
        <v>53264.049999999996</v>
      </c>
      <c r="L730" s="2">
        <v>0</v>
      </c>
      <c r="M730" s="2" t="s">
        <v>29</v>
      </c>
      <c r="N730" s="2" t="s">
        <v>42</v>
      </c>
    </row>
    <row r="731" spans="1:14" x14ac:dyDescent="0.2">
      <c r="A731" s="13">
        <v>101937</v>
      </c>
      <c r="B731" s="5">
        <v>45654</v>
      </c>
      <c r="C731" s="5" t="str">
        <f t="shared" si="22"/>
        <v>Dec</v>
      </c>
      <c r="D731" s="2" t="s">
        <v>697</v>
      </c>
      <c r="E731" s="2" t="s">
        <v>140</v>
      </c>
      <c r="F731" s="2" t="s">
        <v>79</v>
      </c>
      <c r="G731" s="2" t="s">
        <v>106</v>
      </c>
      <c r="H731" s="2" t="s">
        <v>137</v>
      </c>
      <c r="I731" s="13">
        <v>12</v>
      </c>
      <c r="J731" s="10">
        <v>4201.63</v>
      </c>
      <c r="K731" s="10">
        <f t="shared" si="23"/>
        <v>50419.56</v>
      </c>
      <c r="L731" s="2">
        <v>0.05</v>
      </c>
      <c r="M731" s="2" t="s">
        <v>66</v>
      </c>
      <c r="N731" s="2" t="s">
        <v>87</v>
      </c>
    </row>
    <row r="732" spans="1:14" x14ac:dyDescent="0.2">
      <c r="A732" s="13">
        <v>101267</v>
      </c>
      <c r="B732" s="5">
        <v>45337</v>
      </c>
      <c r="C732" s="5" t="str">
        <f t="shared" si="22"/>
        <v>Feb</v>
      </c>
      <c r="D732" s="2" t="s">
        <v>622</v>
      </c>
      <c r="E732" s="2" t="s">
        <v>140</v>
      </c>
      <c r="F732" s="2" t="s">
        <v>49</v>
      </c>
      <c r="G732" s="2" t="s">
        <v>106</v>
      </c>
      <c r="H732" s="2" t="s">
        <v>103</v>
      </c>
      <c r="I732" s="13">
        <v>11</v>
      </c>
      <c r="J732" s="10">
        <v>2904.33</v>
      </c>
      <c r="K732" s="10">
        <f t="shared" si="23"/>
        <v>31947.629999999997</v>
      </c>
      <c r="L732" s="2">
        <v>0.15</v>
      </c>
      <c r="M732" s="2" t="s">
        <v>41</v>
      </c>
      <c r="N732" s="2" t="s">
        <v>42</v>
      </c>
    </row>
    <row r="733" spans="1:14" x14ac:dyDescent="0.2">
      <c r="A733" s="13">
        <v>100241</v>
      </c>
      <c r="B733" s="5">
        <v>45417</v>
      </c>
      <c r="C733" s="5" t="str">
        <f t="shared" si="22"/>
        <v>May</v>
      </c>
      <c r="D733" s="2" t="s">
        <v>373</v>
      </c>
      <c r="E733" s="2" t="s">
        <v>31</v>
      </c>
      <c r="F733" s="2" t="s">
        <v>54</v>
      </c>
      <c r="G733" s="2" t="s">
        <v>50</v>
      </c>
      <c r="H733" s="2" t="s">
        <v>207</v>
      </c>
      <c r="I733" s="13">
        <v>7</v>
      </c>
      <c r="J733" s="10">
        <v>4146.7</v>
      </c>
      <c r="K733" s="10">
        <f t="shared" si="23"/>
        <v>29026.899999999998</v>
      </c>
      <c r="L733" s="2">
        <v>0.15</v>
      </c>
      <c r="M733" s="2" t="s">
        <v>29</v>
      </c>
      <c r="N733" s="2" t="s">
        <v>143</v>
      </c>
    </row>
    <row r="734" spans="1:14" x14ac:dyDescent="0.2">
      <c r="A734" s="13">
        <v>101997</v>
      </c>
      <c r="B734" s="5">
        <v>45488</v>
      </c>
      <c r="C734" s="5" t="str">
        <f t="shared" si="22"/>
        <v>Jul</v>
      </c>
      <c r="D734" s="2" t="s">
        <v>698</v>
      </c>
      <c r="E734" s="2" t="s">
        <v>27</v>
      </c>
      <c r="F734" s="2" t="s">
        <v>21</v>
      </c>
      <c r="G734" s="2" t="s">
        <v>45</v>
      </c>
      <c r="H734" s="2" t="s">
        <v>149</v>
      </c>
      <c r="I734" s="13">
        <v>12</v>
      </c>
      <c r="J734" s="10">
        <v>34930.46</v>
      </c>
      <c r="K734" s="10">
        <f t="shared" si="23"/>
        <v>419165.52</v>
      </c>
      <c r="L734" s="2">
        <v>0.1</v>
      </c>
      <c r="M734" s="2" t="s">
        <v>83</v>
      </c>
      <c r="N734" s="2" t="s">
        <v>35</v>
      </c>
    </row>
    <row r="735" spans="1:14" x14ac:dyDescent="0.2">
      <c r="A735" s="13">
        <v>101912</v>
      </c>
      <c r="B735" s="5">
        <v>45456</v>
      </c>
      <c r="C735" s="5" t="str">
        <f t="shared" si="22"/>
        <v>Jun</v>
      </c>
      <c r="D735" s="2" t="s">
        <v>307</v>
      </c>
      <c r="E735" s="2" t="s">
        <v>140</v>
      </c>
      <c r="F735" s="2" t="s">
        <v>79</v>
      </c>
      <c r="G735" s="2" t="s">
        <v>22</v>
      </c>
      <c r="H735" s="2" t="s">
        <v>23</v>
      </c>
      <c r="I735" s="13"/>
      <c r="J735" s="10">
        <v>680.97</v>
      </c>
      <c r="K735" s="10">
        <f t="shared" si="23"/>
        <v>0</v>
      </c>
      <c r="L735" s="2">
        <v>0.2</v>
      </c>
      <c r="M735" s="2" t="s">
        <v>29</v>
      </c>
      <c r="N735" s="2" t="s">
        <v>52</v>
      </c>
    </row>
    <row r="736" spans="1:14" x14ac:dyDescent="0.2">
      <c r="A736" s="13">
        <v>100188</v>
      </c>
      <c r="B736" s="5">
        <v>45523</v>
      </c>
      <c r="C736" s="5" t="str">
        <f t="shared" si="22"/>
        <v>Aug</v>
      </c>
      <c r="D736" s="2" t="s">
        <v>189</v>
      </c>
      <c r="E736" s="2" t="s">
        <v>37</v>
      </c>
      <c r="F736" s="2" t="s">
        <v>38</v>
      </c>
      <c r="G736" s="2" t="s">
        <v>50</v>
      </c>
      <c r="H736" s="2" t="s">
        <v>51</v>
      </c>
      <c r="I736" s="13">
        <v>11</v>
      </c>
      <c r="J736" s="10">
        <v>0</v>
      </c>
      <c r="K736" s="10">
        <f t="shared" si="23"/>
        <v>0</v>
      </c>
      <c r="L736" s="2">
        <v>0.05</v>
      </c>
      <c r="M736" s="2" t="s">
        <v>83</v>
      </c>
      <c r="N736" s="2" t="s">
        <v>143</v>
      </c>
    </row>
    <row r="737" spans="1:14" x14ac:dyDescent="0.2">
      <c r="A737" s="13">
        <v>100247</v>
      </c>
      <c r="B737" s="5">
        <v>45339</v>
      </c>
      <c r="C737" s="5" t="str">
        <f t="shared" si="22"/>
        <v>Feb</v>
      </c>
      <c r="D737" s="2" t="s">
        <v>476</v>
      </c>
      <c r="E737" s="2" t="s">
        <v>27</v>
      </c>
      <c r="F737" s="2" t="s">
        <v>133</v>
      </c>
      <c r="G737" s="2" t="s">
        <v>50</v>
      </c>
      <c r="H737" s="2" t="s">
        <v>51</v>
      </c>
      <c r="I737" s="13">
        <v>10</v>
      </c>
      <c r="J737" s="10">
        <v>9062.18</v>
      </c>
      <c r="K737" s="10">
        <f t="shared" si="23"/>
        <v>90621.8</v>
      </c>
      <c r="L737" s="2">
        <v>0</v>
      </c>
      <c r="M737" s="2" t="s">
        <v>66</v>
      </c>
      <c r="N737" s="2" t="s">
        <v>25</v>
      </c>
    </row>
    <row r="738" spans="1:14" x14ac:dyDescent="0.2">
      <c r="A738" s="13">
        <v>101184</v>
      </c>
      <c r="B738" s="5">
        <v>45314</v>
      </c>
      <c r="C738" s="5" t="str">
        <f t="shared" si="22"/>
        <v>Jan</v>
      </c>
      <c r="D738" s="2" t="s">
        <v>198</v>
      </c>
      <c r="E738" s="2" t="s">
        <v>37</v>
      </c>
      <c r="F738" s="2" t="s">
        <v>69</v>
      </c>
      <c r="G738" s="2" t="s">
        <v>33</v>
      </c>
      <c r="H738" s="2" t="s">
        <v>158</v>
      </c>
      <c r="I738" s="13">
        <v>11</v>
      </c>
      <c r="J738" s="10">
        <v>242.94</v>
      </c>
      <c r="K738" s="10">
        <f t="shared" si="23"/>
        <v>2672.34</v>
      </c>
      <c r="L738" s="2">
        <v>0.05</v>
      </c>
      <c r="M738" s="2" t="s">
        <v>17</v>
      </c>
      <c r="N738" s="2" t="s">
        <v>42</v>
      </c>
    </row>
    <row r="739" spans="1:14" x14ac:dyDescent="0.2">
      <c r="A739" s="13">
        <v>101593</v>
      </c>
      <c r="B739" s="5">
        <v>45617</v>
      </c>
      <c r="C739" s="5" t="str">
        <f t="shared" si="22"/>
        <v>Nov</v>
      </c>
      <c r="D739" s="2" t="s">
        <v>699</v>
      </c>
      <c r="E739" s="2" t="s">
        <v>37</v>
      </c>
      <c r="F739" s="2" t="s">
        <v>38</v>
      </c>
      <c r="G739" s="2" t="s">
        <v>50</v>
      </c>
      <c r="H739" s="2" t="s">
        <v>207</v>
      </c>
      <c r="I739" s="13">
        <v>5</v>
      </c>
      <c r="J739" s="10">
        <v>4045.95</v>
      </c>
      <c r="K739" s="10">
        <f t="shared" si="23"/>
        <v>20229.75</v>
      </c>
      <c r="L739" s="2">
        <v>0.2</v>
      </c>
      <c r="M739" s="2" t="s">
        <v>83</v>
      </c>
      <c r="N739" s="2" t="s">
        <v>18</v>
      </c>
    </row>
    <row r="740" spans="1:14" x14ac:dyDescent="0.2">
      <c r="A740" s="13">
        <v>101057</v>
      </c>
      <c r="B740" s="5">
        <v>45375</v>
      </c>
      <c r="C740" s="5" t="str">
        <f t="shared" si="22"/>
        <v>Mar</v>
      </c>
      <c r="D740" s="2" t="s">
        <v>698</v>
      </c>
      <c r="E740" s="2" t="s">
        <v>140</v>
      </c>
      <c r="F740" s="2" t="s">
        <v>49</v>
      </c>
      <c r="G740" s="2" t="s">
        <v>64</v>
      </c>
      <c r="H740" s="2" t="s">
        <v>242</v>
      </c>
      <c r="I740" s="13">
        <v>3</v>
      </c>
      <c r="J740" s="10">
        <v>63.22</v>
      </c>
      <c r="K740" s="10">
        <f t="shared" si="23"/>
        <v>189.66</v>
      </c>
      <c r="L740" s="2">
        <v>0</v>
      </c>
      <c r="M740" s="2" t="s">
        <v>83</v>
      </c>
      <c r="N740" s="2" t="s">
        <v>52</v>
      </c>
    </row>
    <row r="741" spans="1:14" x14ac:dyDescent="0.2">
      <c r="A741" s="13">
        <v>100919</v>
      </c>
      <c r="B741" s="5">
        <v>45591</v>
      </c>
      <c r="C741" s="5" t="str">
        <f t="shared" si="22"/>
        <v>Oct</v>
      </c>
      <c r="D741" s="2" t="s">
        <v>613</v>
      </c>
      <c r="E741" s="2" t="s">
        <v>27</v>
      </c>
      <c r="F741" s="2" t="s">
        <v>21</v>
      </c>
      <c r="G741" s="2" t="s">
        <v>22</v>
      </c>
      <c r="H741" s="2" t="s">
        <v>232</v>
      </c>
      <c r="I741" s="13">
        <v>10</v>
      </c>
      <c r="J741" s="10">
        <v>544.66999999999996</v>
      </c>
      <c r="K741" s="10">
        <f t="shared" si="23"/>
        <v>5446.7</v>
      </c>
      <c r="L741" s="2">
        <v>0</v>
      </c>
      <c r="M741" s="2" t="s">
        <v>41</v>
      </c>
      <c r="N741" s="2" t="s">
        <v>35</v>
      </c>
    </row>
    <row r="742" spans="1:14" x14ac:dyDescent="0.2">
      <c r="A742" s="13">
        <v>100693</v>
      </c>
      <c r="B742" s="5">
        <v>45439</v>
      </c>
      <c r="C742" s="5" t="str">
        <f t="shared" si="22"/>
        <v>May</v>
      </c>
      <c r="D742" s="2" t="s">
        <v>703</v>
      </c>
      <c r="E742" s="2" t="s">
        <v>37</v>
      </c>
      <c r="F742" s="2" t="s">
        <v>38</v>
      </c>
      <c r="G742" s="2" t="s">
        <v>64</v>
      </c>
      <c r="H742" s="2" t="s">
        <v>40</v>
      </c>
      <c r="I742" s="13">
        <v>4</v>
      </c>
      <c r="J742" s="10">
        <v>822.81</v>
      </c>
      <c r="K742" s="10">
        <f t="shared" si="23"/>
        <v>3291.24</v>
      </c>
      <c r="L742" s="2">
        <v>0.1</v>
      </c>
      <c r="M742" s="2" t="s">
        <v>24</v>
      </c>
      <c r="N742" s="2" t="s">
        <v>18</v>
      </c>
    </row>
    <row r="743" spans="1:14" x14ac:dyDescent="0.2">
      <c r="A743" s="13">
        <v>100303</v>
      </c>
      <c r="B743" s="5">
        <v>45615</v>
      </c>
      <c r="C743" s="5" t="str">
        <f t="shared" si="22"/>
        <v>Nov</v>
      </c>
      <c r="D743" s="2" t="s">
        <v>167</v>
      </c>
      <c r="E743" s="2" t="s">
        <v>37</v>
      </c>
      <c r="F743" s="2" t="s">
        <v>69</v>
      </c>
      <c r="G743" s="2" t="s">
        <v>106</v>
      </c>
      <c r="H743" s="2" t="s">
        <v>103</v>
      </c>
      <c r="I743" s="13">
        <v>5</v>
      </c>
      <c r="J743" s="10">
        <v>1398.08</v>
      </c>
      <c r="K743" s="10">
        <f t="shared" si="23"/>
        <v>6990.4</v>
      </c>
      <c r="L743" s="2">
        <v>0.25</v>
      </c>
      <c r="M743" s="2" t="s">
        <v>41</v>
      </c>
      <c r="N743" s="2" t="s">
        <v>87</v>
      </c>
    </row>
    <row r="744" spans="1:14" x14ac:dyDescent="0.2">
      <c r="A744" s="13">
        <v>100284</v>
      </c>
      <c r="B744" s="5">
        <v>45521</v>
      </c>
      <c r="C744" s="5" t="str">
        <f t="shared" si="22"/>
        <v>Aug</v>
      </c>
      <c r="D744" s="2" t="s">
        <v>1069</v>
      </c>
      <c r="E744" s="2" t="s">
        <v>37</v>
      </c>
      <c r="F744" s="2" t="s">
        <v>38</v>
      </c>
      <c r="G744" s="2" t="s">
        <v>22</v>
      </c>
      <c r="H744" s="2" t="s">
        <v>75</v>
      </c>
      <c r="I744" s="13">
        <v>4</v>
      </c>
      <c r="J744" s="10">
        <v>920.96</v>
      </c>
      <c r="K744" s="10">
        <f t="shared" si="23"/>
        <v>3683.84</v>
      </c>
      <c r="L744" s="2">
        <v>0</v>
      </c>
      <c r="M744" s="2" t="s">
        <v>41</v>
      </c>
      <c r="N744" s="2" t="s">
        <v>143</v>
      </c>
    </row>
    <row r="745" spans="1:14" x14ac:dyDescent="0.2">
      <c r="A745" s="13">
        <v>100916</v>
      </c>
      <c r="B745" s="5">
        <v>45634</v>
      </c>
      <c r="C745" s="5" t="str">
        <f t="shared" si="22"/>
        <v>Dec</v>
      </c>
      <c r="D745" s="2" t="s">
        <v>688</v>
      </c>
      <c r="E745" s="2" t="s">
        <v>27</v>
      </c>
      <c r="F745" s="2" t="s">
        <v>133</v>
      </c>
      <c r="G745" s="2" t="s">
        <v>15</v>
      </c>
      <c r="H745" s="2" t="s">
        <v>152</v>
      </c>
      <c r="I745" s="13">
        <v>6</v>
      </c>
      <c r="J745" s="10">
        <v>5568.81</v>
      </c>
      <c r="K745" s="10">
        <f t="shared" si="23"/>
        <v>33412.86</v>
      </c>
      <c r="L745" s="2">
        <v>0.1</v>
      </c>
      <c r="M745" s="2" t="s">
        <v>17</v>
      </c>
      <c r="N745" s="2" t="s">
        <v>42</v>
      </c>
    </row>
    <row r="746" spans="1:14" x14ac:dyDescent="0.2">
      <c r="A746" s="13">
        <v>100506</v>
      </c>
      <c r="B746" s="5">
        <v>45621</v>
      </c>
      <c r="C746" s="5" t="str">
        <f t="shared" si="22"/>
        <v>Nov</v>
      </c>
      <c r="D746" s="2" t="s">
        <v>704</v>
      </c>
      <c r="E746" s="2" t="s">
        <v>27</v>
      </c>
      <c r="F746" s="2" t="s">
        <v>133</v>
      </c>
      <c r="G746" s="2" t="s">
        <v>64</v>
      </c>
      <c r="H746" s="2" t="s">
        <v>165</v>
      </c>
      <c r="I746" s="13">
        <v>9</v>
      </c>
      <c r="J746" s="10">
        <v>241.67</v>
      </c>
      <c r="K746" s="10">
        <f t="shared" si="23"/>
        <v>2175.0299999999997</v>
      </c>
      <c r="L746" s="2">
        <v>0</v>
      </c>
      <c r="M746" s="2" t="s">
        <v>83</v>
      </c>
      <c r="N746" s="2" t="s">
        <v>25</v>
      </c>
    </row>
    <row r="747" spans="1:14" x14ac:dyDescent="0.2">
      <c r="A747" s="13">
        <v>101951</v>
      </c>
      <c r="B747" s="5">
        <v>45431</v>
      </c>
      <c r="C747" s="5" t="str">
        <f t="shared" si="22"/>
        <v>May</v>
      </c>
      <c r="D747" s="2" t="s">
        <v>541</v>
      </c>
      <c r="E747" s="2" t="s">
        <v>61</v>
      </c>
      <c r="F747" s="2" t="s">
        <v>14</v>
      </c>
      <c r="G747" s="2" t="s">
        <v>64</v>
      </c>
      <c r="H747" s="2" t="s">
        <v>242</v>
      </c>
      <c r="I747" s="13">
        <v>9</v>
      </c>
      <c r="J747" s="10">
        <v>357.89</v>
      </c>
      <c r="K747" s="10">
        <f t="shared" si="23"/>
        <v>3221.0099999999998</v>
      </c>
      <c r="L747" s="2">
        <v>0.2</v>
      </c>
      <c r="M747" s="2" t="s">
        <v>29</v>
      </c>
      <c r="N747" s="2" t="s">
        <v>42</v>
      </c>
    </row>
    <row r="748" spans="1:14" x14ac:dyDescent="0.2">
      <c r="A748" s="13">
        <v>100322</v>
      </c>
      <c r="B748" s="5">
        <v>45547</v>
      </c>
      <c r="C748" s="5" t="str">
        <f t="shared" si="22"/>
        <v>Sep</v>
      </c>
      <c r="D748" s="2" t="s">
        <v>480</v>
      </c>
      <c r="E748" s="2" t="s">
        <v>31</v>
      </c>
      <c r="F748" s="2" t="s">
        <v>32</v>
      </c>
      <c r="G748" s="2" t="s">
        <v>15</v>
      </c>
      <c r="H748" s="2" t="s">
        <v>152</v>
      </c>
      <c r="I748" s="13">
        <v>9</v>
      </c>
      <c r="J748" s="10">
        <v>7648.49</v>
      </c>
      <c r="K748" s="10">
        <f t="shared" si="23"/>
        <v>68836.41</v>
      </c>
      <c r="L748" s="2">
        <v>0</v>
      </c>
      <c r="M748" s="2" t="s">
        <v>66</v>
      </c>
      <c r="N748" s="2" t="s">
        <v>121</v>
      </c>
    </row>
    <row r="749" spans="1:14" x14ac:dyDescent="0.2">
      <c r="A749" s="13">
        <v>101868</v>
      </c>
      <c r="B749" s="5">
        <v>45528</v>
      </c>
      <c r="C749" s="5" t="str">
        <f t="shared" si="22"/>
        <v>Aug</v>
      </c>
      <c r="D749" s="2" t="s">
        <v>705</v>
      </c>
      <c r="E749" s="2" t="s">
        <v>37</v>
      </c>
      <c r="F749" s="2" t="s">
        <v>38</v>
      </c>
      <c r="G749" s="2" t="s">
        <v>22</v>
      </c>
      <c r="H749" s="2" t="s">
        <v>23</v>
      </c>
      <c r="I749" s="13">
        <v>11</v>
      </c>
      <c r="J749" s="10">
        <v>737.5</v>
      </c>
      <c r="K749" s="10">
        <f t="shared" si="23"/>
        <v>8112.5</v>
      </c>
      <c r="L749" s="2">
        <v>0.25</v>
      </c>
      <c r="M749" s="2" t="s">
        <v>29</v>
      </c>
      <c r="N749" s="2" t="s">
        <v>25</v>
      </c>
    </row>
    <row r="750" spans="1:14" x14ac:dyDescent="0.2">
      <c r="A750" s="13">
        <v>101275</v>
      </c>
      <c r="B750" s="5">
        <v>45484</v>
      </c>
      <c r="C750" s="5" t="str">
        <f t="shared" si="22"/>
        <v>Jul</v>
      </c>
      <c r="D750" s="2" t="s">
        <v>599</v>
      </c>
      <c r="E750" s="2" t="s">
        <v>31</v>
      </c>
      <c r="F750" s="2" t="s">
        <v>32</v>
      </c>
      <c r="G750" s="2" t="s">
        <v>22</v>
      </c>
      <c r="H750" s="2" t="s">
        <v>141</v>
      </c>
      <c r="I750" s="13">
        <v>11</v>
      </c>
      <c r="J750" s="10">
        <v>1858.19</v>
      </c>
      <c r="K750" s="10">
        <f t="shared" si="23"/>
        <v>20440.09</v>
      </c>
      <c r="L750" s="2">
        <v>0.25</v>
      </c>
      <c r="M750" s="2" t="s">
        <v>24</v>
      </c>
      <c r="N750" s="2" t="s">
        <v>121</v>
      </c>
    </row>
    <row r="751" spans="1:14" x14ac:dyDescent="0.2">
      <c r="A751" s="13">
        <v>101059</v>
      </c>
      <c r="B751" s="5">
        <v>45577</v>
      </c>
      <c r="C751" s="5" t="str">
        <f t="shared" si="22"/>
        <v>Oct</v>
      </c>
      <c r="D751" s="2" t="s">
        <v>656</v>
      </c>
      <c r="E751" s="2" t="s">
        <v>61</v>
      </c>
      <c r="F751" s="2" t="s">
        <v>119</v>
      </c>
      <c r="G751" s="2" t="s">
        <v>15</v>
      </c>
      <c r="H751" s="2" t="s">
        <v>59</v>
      </c>
      <c r="I751" s="13">
        <v>10</v>
      </c>
      <c r="J751" s="10">
        <v>7718.81</v>
      </c>
      <c r="K751" s="10">
        <f t="shared" si="23"/>
        <v>77188.100000000006</v>
      </c>
      <c r="L751" s="2">
        <v>0</v>
      </c>
      <c r="M751" s="2" t="s">
        <v>24</v>
      </c>
      <c r="N751" s="2" t="s">
        <v>18</v>
      </c>
    </row>
    <row r="752" spans="1:14" x14ac:dyDescent="0.2">
      <c r="A752" s="13">
        <v>100622</v>
      </c>
      <c r="B752" s="5">
        <v>45388</v>
      </c>
      <c r="C752" s="5" t="str">
        <f t="shared" si="22"/>
        <v>Apr</v>
      </c>
      <c r="D752" s="2" t="s">
        <v>315</v>
      </c>
      <c r="E752" s="2" t="s">
        <v>37</v>
      </c>
      <c r="F752" s="2" t="s">
        <v>38</v>
      </c>
      <c r="G752" s="2" t="s">
        <v>15</v>
      </c>
      <c r="H752" s="2" t="s">
        <v>116</v>
      </c>
      <c r="I752" s="13">
        <v>2</v>
      </c>
      <c r="J752" s="10">
        <v>6613.97</v>
      </c>
      <c r="K752" s="10">
        <f t="shared" si="23"/>
        <v>13227.94</v>
      </c>
      <c r="L752" s="2">
        <v>0.1</v>
      </c>
      <c r="M752" s="2" t="s">
        <v>66</v>
      </c>
      <c r="N752" s="2" t="s">
        <v>143</v>
      </c>
    </row>
    <row r="753" spans="1:14" x14ac:dyDescent="0.2">
      <c r="A753" s="13">
        <v>101126</v>
      </c>
      <c r="B753" s="5">
        <v>45566</v>
      </c>
      <c r="C753" s="5" t="str">
        <f t="shared" si="22"/>
        <v>Oct</v>
      </c>
      <c r="D753" s="2" t="s">
        <v>638</v>
      </c>
      <c r="E753" s="2" t="s">
        <v>27</v>
      </c>
      <c r="F753" s="2" t="s">
        <v>21</v>
      </c>
      <c r="G753" s="2" t="s">
        <v>64</v>
      </c>
      <c r="H753" s="2" t="s">
        <v>165</v>
      </c>
      <c r="I753" s="13">
        <v>11</v>
      </c>
      <c r="J753" s="10">
        <v>873.86</v>
      </c>
      <c r="K753" s="10">
        <f t="shared" si="23"/>
        <v>9612.4600000000009</v>
      </c>
      <c r="L753" s="2">
        <v>0</v>
      </c>
      <c r="M753" s="2" t="s">
        <v>24</v>
      </c>
      <c r="N753" s="2" t="s">
        <v>25</v>
      </c>
    </row>
    <row r="754" spans="1:14" x14ac:dyDescent="0.2">
      <c r="A754" s="13">
        <v>101119</v>
      </c>
      <c r="B754" s="5">
        <v>45332</v>
      </c>
      <c r="C754" s="5" t="str">
        <f t="shared" si="22"/>
        <v>Feb</v>
      </c>
      <c r="D754" s="2" t="s">
        <v>60</v>
      </c>
      <c r="E754" s="2" t="s">
        <v>140</v>
      </c>
      <c r="F754" s="2" t="s">
        <v>49</v>
      </c>
      <c r="G754" s="2" t="s">
        <v>45</v>
      </c>
      <c r="H754" s="2" t="s">
        <v>71</v>
      </c>
      <c r="I754" s="13">
        <v>3</v>
      </c>
      <c r="J754" s="10">
        <v>42867.360000000001</v>
      </c>
      <c r="K754" s="10">
        <f t="shared" si="23"/>
        <v>128602.08</v>
      </c>
      <c r="L754" s="2">
        <v>0.15</v>
      </c>
      <c r="M754" s="2" t="s">
        <v>66</v>
      </c>
      <c r="N754" s="2" t="s">
        <v>87</v>
      </c>
    </row>
    <row r="755" spans="1:14" x14ac:dyDescent="0.2">
      <c r="A755" s="13">
        <v>100123</v>
      </c>
      <c r="B755" s="5">
        <v>45497</v>
      </c>
      <c r="C755" s="5" t="str">
        <f t="shared" si="22"/>
        <v>Jul</v>
      </c>
      <c r="D755" s="2" t="s">
        <v>380</v>
      </c>
      <c r="E755" s="2" t="s">
        <v>61</v>
      </c>
      <c r="F755" s="2" t="s">
        <v>119</v>
      </c>
      <c r="G755" s="2" t="s">
        <v>22</v>
      </c>
      <c r="H755" s="2" t="s">
        <v>232</v>
      </c>
      <c r="I755" s="13">
        <v>9</v>
      </c>
      <c r="J755" s="10">
        <v>1346.68</v>
      </c>
      <c r="K755" s="10">
        <f t="shared" si="23"/>
        <v>12120.12</v>
      </c>
      <c r="L755" s="2">
        <v>0.2</v>
      </c>
      <c r="M755" s="2" t="s">
        <v>83</v>
      </c>
      <c r="N755" s="2" t="s">
        <v>35</v>
      </c>
    </row>
    <row r="756" spans="1:14" x14ac:dyDescent="0.2">
      <c r="A756" s="13">
        <v>101322</v>
      </c>
      <c r="B756" s="5">
        <v>45321</v>
      </c>
      <c r="C756" s="5" t="str">
        <f t="shared" si="22"/>
        <v>Jan</v>
      </c>
      <c r="D756" s="2" t="s">
        <v>218</v>
      </c>
      <c r="E756" s="2" t="s">
        <v>61</v>
      </c>
      <c r="F756" s="2" t="s">
        <v>119</v>
      </c>
      <c r="G756" s="2" t="s">
        <v>45</v>
      </c>
      <c r="H756" s="2" t="s">
        <v>111</v>
      </c>
      <c r="I756" s="13">
        <v>7</v>
      </c>
      <c r="J756" s="10">
        <v>8539.83</v>
      </c>
      <c r="K756" s="10">
        <f t="shared" si="23"/>
        <v>59778.81</v>
      </c>
      <c r="L756" s="2">
        <v>0.1</v>
      </c>
      <c r="M756" s="2" t="s">
        <v>83</v>
      </c>
      <c r="N756" s="2" t="s">
        <v>143</v>
      </c>
    </row>
    <row r="757" spans="1:14" x14ac:dyDescent="0.2">
      <c r="A757" s="13">
        <v>100511</v>
      </c>
      <c r="B757" s="5">
        <v>45522</v>
      </c>
      <c r="C757" s="5" t="str">
        <f t="shared" si="22"/>
        <v>Aug</v>
      </c>
      <c r="D757" s="2" t="s">
        <v>709</v>
      </c>
      <c r="E757" s="2" t="s">
        <v>140</v>
      </c>
      <c r="F757" s="2" t="s">
        <v>49</v>
      </c>
      <c r="G757" s="2" t="s">
        <v>45</v>
      </c>
      <c r="H757" s="2" t="s">
        <v>71</v>
      </c>
      <c r="I757" s="13">
        <v>3</v>
      </c>
      <c r="J757" s="10">
        <v>31751.66</v>
      </c>
      <c r="K757" s="10">
        <f t="shared" si="23"/>
        <v>95254.98</v>
      </c>
      <c r="L757" s="2">
        <v>0.15</v>
      </c>
      <c r="M757" s="2" t="s">
        <v>29</v>
      </c>
      <c r="N757" s="2" t="s">
        <v>143</v>
      </c>
    </row>
    <row r="758" spans="1:14" x14ac:dyDescent="0.2">
      <c r="A758" s="13">
        <v>100281</v>
      </c>
      <c r="B758" s="5">
        <v>45528</v>
      </c>
      <c r="C758" s="5" t="str">
        <f t="shared" si="22"/>
        <v>Aug</v>
      </c>
      <c r="D758" s="2" t="s">
        <v>1069</v>
      </c>
      <c r="E758" s="2" t="s">
        <v>140</v>
      </c>
      <c r="F758" s="2" t="s">
        <v>79</v>
      </c>
      <c r="G758" s="2" t="s">
        <v>15</v>
      </c>
      <c r="H758" s="2" t="s">
        <v>205</v>
      </c>
      <c r="I758" s="13">
        <v>7</v>
      </c>
      <c r="J758" s="10">
        <v>2583.39</v>
      </c>
      <c r="K758" s="10">
        <f t="shared" si="23"/>
        <v>18083.73</v>
      </c>
      <c r="L758" s="2">
        <v>0.1</v>
      </c>
      <c r="M758" s="2" t="s">
        <v>41</v>
      </c>
      <c r="N758" s="2" t="s">
        <v>25</v>
      </c>
    </row>
    <row r="759" spans="1:14" x14ac:dyDescent="0.2">
      <c r="A759" s="13">
        <v>101269</v>
      </c>
      <c r="B759" s="5">
        <v>45380</v>
      </c>
      <c r="C759" s="5" t="str">
        <f t="shared" si="22"/>
        <v>Mar</v>
      </c>
      <c r="D759" s="2" t="s">
        <v>217</v>
      </c>
      <c r="E759" s="2" t="s">
        <v>37</v>
      </c>
      <c r="F759" s="2" t="s">
        <v>69</v>
      </c>
      <c r="G759" s="2" t="s">
        <v>45</v>
      </c>
      <c r="H759" s="2" t="s">
        <v>111</v>
      </c>
      <c r="I759" s="13">
        <v>4</v>
      </c>
      <c r="J759" s="10">
        <v>38136.230000000003</v>
      </c>
      <c r="K759" s="10">
        <f t="shared" si="23"/>
        <v>152544.92000000001</v>
      </c>
      <c r="L759" s="2">
        <v>0.1</v>
      </c>
      <c r="M759" s="2" t="s">
        <v>24</v>
      </c>
      <c r="N759" s="2" t="s">
        <v>35</v>
      </c>
    </row>
    <row r="760" spans="1:14" x14ac:dyDescent="0.2">
      <c r="A760" s="13">
        <v>101864</v>
      </c>
      <c r="B760" s="5">
        <v>45536</v>
      </c>
      <c r="C760" s="5" t="str">
        <f t="shared" si="22"/>
        <v>Sep</v>
      </c>
      <c r="D760" s="2" t="s">
        <v>705</v>
      </c>
      <c r="E760" s="2" t="s">
        <v>140</v>
      </c>
      <c r="F760" s="2" t="s">
        <v>79</v>
      </c>
      <c r="G760" s="2" t="s">
        <v>15</v>
      </c>
      <c r="H760" s="2" t="s">
        <v>16</v>
      </c>
      <c r="I760" s="13">
        <v>8</v>
      </c>
      <c r="J760" s="10">
        <v>21419.05</v>
      </c>
      <c r="K760" s="10">
        <f t="shared" si="23"/>
        <v>171352.4</v>
      </c>
      <c r="L760" s="2">
        <v>0</v>
      </c>
      <c r="M760" s="2" t="s">
        <v>41</v>
      </c>
      <c r="N760" s="2" t="s">
        <v>35</v>
      </c>
    </row>
    <row r="761" spans="1:14" x14ac:dyDescent="0.2">
      <c r="A761" s="13">
        <v>101466</v>
      </c>
      <c r="B761" s="5">
        <v>45459</v>
      </c>
      <c r="C761" s="5" t="str">
        <f t="shared" si="22"/>
        <v>Jun</v>
      </c>
      <c r="D761" s="2" t="s">
        <v>710</v>
      </c>
      <c r="E761" s="2" t="s">
        <v>140</v>
      </c>
      <c r="F761" s="2" t="s">
        <v>79</v>
      </c>
      <c r="G761" s="2" t="s">
        <v>50</v>
      </c>
      <c r="H761" s="2" t="s">
        <v>99</v>
      </c>
      <c r="I761" s="13">
        <v>10</v>
      </c>
      <c r="J761" s="10">
        <v>8874.57</v>
      </c>
      <c r="K761" s="10">
        <f t="shared" si="23"/>
        <v>88745.7</v>
      </c>
      <c r="L761" s="2">
        <v>0</v>
      </c>
      <c r="M761" s="2" t="s">
        <v>29</v>
      </c>
      <c r="N761" s="2" t="s">
        <v>42</v>
      </c>
    </row>
    <row r="762" spans="1:14" x14ac:dyDescent="0.2">
      <c r="A762" s="13">
        <v>101582</v>
      </c>
      <c r="B762" s="5">
        <v>45507</v>
      </c>
      <c r="C762" s="5" t="str">
        <f t="shared" si="22"/>
        <v>Aug</v>
      </c>
      <c r="D762" s="2" t="s">
        <v>711</v>
      </c>
      <c r="E762" s="2" t="s">
        <v>37</v>
      </c>
      <c r="F762" s="2" t="s">
        <v>69</v>
      </c>
      <c r="G762" s="2" t="s">
        <v>64</v>
      </c>
      <c r="H762" s="2" t="s">
        <v>292</v>
      </c>
      <c r="I762" s="13">
        <v>8</v>
      </c>
      <c r="J762" s="10">
        <v>215.01</v>
      </c>
      <c r="K762" s="10">
        <f t="shared" si="23"/>
        <v>1720.08</v>
      </c>
      <c r="L762" s="2">
        <v>0.05</v>
      </c>
      <c r="M762" s="2" t="s">
        <v>83</v>
      </c>
      <c r="N762" s="2" t="s">
        <v>52</v>
      </c>
    </row>
    <row r="763" spans="1:14" x14ac:dyDescent="0.2">
      <c r="A763" s="13">
        <v>101790</v>
      </c>
      <c r="B763" s="5">
        <v>45359</v>
      </c>
      <c r="C763" s="5" t="str">
        <f t="shared" si="22"/>
        <v>Mar</v>
      </c>
      <c r="D763" s="2" t="s">
        <v>572</v>
      </c>
      <c r="E763" s="2" t="s">
        <v>140</v>
      </c>
      <c r="F763" s="2" t="s">
        <v>49</v>
      </c>
      <c r="G763" s="2" t="s">
        <v>45</v>
      </c>
      <c r="H763" s="2" t="s">
        <v>149</v>
      </c>
      <c r="I763" s="13">
        <v>4</v>
      </c>
      <c r="J763" s="10">
        <v>15188.33</v>
      </c>
      <c r="K763" s="10">
        <f t="shared" si="23"/>
        <v>60753.32</v>
      </c>
      <c r="L763" s="2">
        <v>0.15</v>
      </c>
      <c r="M763" s="2" t="s">
        <v>66</v>
      </c>
      <c r="N763" s="2" t="s">
        <v>143</v>
      </c>
    </row>
    <row r="764" spans="1:14" x14ac:dyDescent="0.2">
      <c r="A764" s="13">
        <v>101811</v>
      </c>
      <c r="B764" s="5">
        <v>45341</v>
      </c>
      <c r="C764" s="5" t="str">
        <f t="shared" si="22"/>
        <v>Feb</v>
      </c>
      <c r="D764" s="2" t="s">
        <v>307</v>
      </c>
      <c r="E764" s="2" t="s">
        <v>31</v>
      </c>
      <c r="F764" s="2" t="s">
        <v>32</v>
      </c>
      <c r="G764" s="2" t="s">
        <v>50</v>
      </c>
      <c r="H764" s="2" t="s">
        <v>62</v>
      </c>
      <c r="I764" s="13">
        <v>-2</v>
      </c>
      <c r="J764" s="10">
        <v>3822.81</v>
      </c>
      <c r="K764" s="10">
        <f t="shared" si="23"/>
        <v>-7645.62</v>
      </c>
      <c r="L764" s="2">
        <v>0.05</v>
      </c>
      <c r="M764" s="2" t="s">
        <v>17</v>
      </c>
      <c r="N764" s="2" t="s">
        <v>42</v>
      </c>
    </row>
    <row r="765" spans="1:14" x14ac:dyDescent="0.2">
      <c r="A765" s="13">
        <v>100757</v>
      </c>
      <c r="B765" s="5">
        <v>45647</v>
      </c>
      <c r="C765" s="5" t="str">
        <f t="shared" si="22"/>
        <v>Dec</v>
      </c>
      <c r="D765" s="2" t="s">
        <v>430</v>
      </c>
      <c r="E765" s="2" t="s">
        <v>27</v>
      </c>
      <c r="F765" s="2" t="s">
        <v>133</v>
      </c>
      <c r="G765" s="2" t="s">
        <v>33</v>
      </c>
      <c r="H765" s="2" t="s">
        <v>81</v>
      </c>
      <c r="I765" s="13">
        <v>8</v>
      </c>
      <c r="J765" s="10">
        <v>389.37</v>
      </c>
      <c r="K765" s="10">
        <f t="shared" si="23"/>
        <v>3114.96</v>
      </c>
      <c r="L765" s="2">
        <v>0</v>
      </c>
      <c r="M765" s="2" t="s">
        <v>41</v>
      </c>
      <c r="N765" s="2" t="s">
        <v>42</v>
      </c>
    </row>
    <row r="766" spans="1:14" x14ac:dyDescent="0.2">
      <c r="A766" s="13">
        <v>100678</v>
      </c>
      <c r="B766" s="5">
        <v>45472</v>
      </c>
      <c r="C766" s="5" t="str">
        <f t="shared" si="22"/>
        <v>Jun</v>
      </c>
      <c r="D766" s="2" t="s">
        <v>713</v>
      </c>
      <c r="E766" s="2" t="s">
        <v>27</v>
      </c>
      <c r="F766" s="2" t="s">
        <v>21</v>
      </c>
      <c r="G766" s="2" t="s">
        <v>45</v>
      </c>
      <c r="H766" s="2" t="s">
        <v>46</v>
      </c>
      <c r="I766" s="13">
        <v>1</v>
      </c>
      <c r="J766" s="10">
        <v>7241.96</v>
      </c>
      <c r="K766" s="10">
        <f t="shared" si="23"/>
        <v>7241.96</v>
      </c>
      <c r="L766" s="2">
        <v>0.2</v>
      </c>
      <c r="M766" s="2" t="s">
        <v>83</v>
      </c>
      <c r="N766" s="2" t="s">
        <v>25</v>
      </c>
    </row>
    <row r="767" spans="1:14" x14ac:dyDescent="0.2">
      <c r="A767" s="13">
        <v>100519</v>
      </c>
      <c r="B767" s="5">
        <v>45458</v>
      </c>
      <c r="C767" s="5" t="str">
        <f t="shared" si="22"/>
        <v>Jun</v>
      </c>
      <c r="D767" s="2" t="s">
        <v>714</v>
      </c>
      <c r="E767" s="2" t="s">
        <v>27</v>
      </c>
      <c r="F767" s="2" t="s">
        <v>21</v>
      </c>
      <c r="G767" s="2" t="s">
        <v>15</v>
      </c>
      <c r="H767" s="2" t="s">
        <v>16</v>
      </c>
      <c r="I767" s="13">
        <v>12</v>
      </c>
      <c r="J767" s="10">
        <v>0</v>
      </c>
      <c r="K767" s="10">
        <f t="shared" si="23"/>
        <v>0</v>
      </c>
      <c r="L767" s="2">
        <v>0</v>
      </c>
      <c r="M767" s="2" t="s">
        <v>41</v>
      </c>
      <c r="N767" s="2" t="s">
        <v>35</v>
      </c>
    </row>
    <row r="768" spans="1:14" x14ac:dyDescent="0.2">
      <c r="A768" s="13">
        <v>101588</v>
      </c>
      <c r="B768" s="5">
        <v>45490</v>
      </c>
      <c r="C768" s="5" t="str">
        <f t="shared" si="22"/>
        <v>Jul</v>
      </c>
      <c r="D768" s="2" t="s">
        <v>590</v>
      </c>
      <c r="E768" s="2" t="s">
        <v>27</v>
      </c>
      <c r="F768" s="2" t="s">
        <v>21</v>
      </c>
      <c r="G768" s="2" t="s">
        <v>22</v>
      </c>
      <c r="H768" s="2" t="s">
        <v>23</v>
      </c>
      <c r="I768" s="13">
        <v>8</v>
      </c>
      <c r="J768" s="10">
        <v>3440.12</v>
      </c>
      <c r="K768" s="10">
        <f t="shared" si="23"/>
        <v>27520.959999999999</v>
      </c>
      <c r="L768" s="2">
        <v>0</v>
      </c>
      <c r="M768" s="2" t="s">
        <v>83</v>
      </c>
      <c r="N768" s="2" t="s">
        <v>143</v>
      </c>
    </row>
    <row r="769" spans="1:14" x14ac:dyDescent="0.2">
      <c r="A769" s="13">
        <v>101527</v>
      </c>
      <c r="B769" s="5">
        <v>45637</v>
      </c>
      <c r="C769" s="5" t="str">
        <f t="shared" si="22"/>
        <v>Dec</v>
      </c>
      <c r="D769" s="2" t="s">
        <v>715</v>
      </c>
      <c r="E769" s="2" t="s">
        <v>27</v>
      </c>
      <c r="F769" s="2" t="s">
        <v>133</v>
      </c>
      <c r="G769" s="2" t="s">
        <v>45</v>
      </c>
      <c r="H769" s="2" t="s">
        <v>153</v>
      </c>
      <c r="I769" s="13">
        <v>10</v>
      </c>
      <c r="J769" s="10">
        <v>30744.880000000001</v>
      </c>
      <c r="K769" s="10">
        <f t="shared" si="23"/>
        <v>307448.8</v>
      </c>
      <c r="L769" s="2">
        <v>0.2</v>
      </c>
      <c r="M769" s="2" t="s">
        <v>66</v>
      </c>
      <c r="N769" s="2" t="s">
        <v>25</v>
      </c>
    </row>
    <row r="770" spans="1:14" x14ac:dyDescent="0.2">
      <c r="A770" s="13">
        <v>100068</v>
      </c>
      <c r="B770" s="5">
        <v>45454</v>
      </c>
      <c r="C770" s="5" t="str">
        <f t="shared" ref="C770:C833" si="24">TEXT(B770,"mmm")</f>
        <v>Jun</v>
      </c>
      <c r="D770" s="2" t="s">
        <v>716</v>
      </c>
      <c r="E770" s="2" t="s">
        <v>31</v>
      </c>
      <c r="F770" s="2" t="s">
        <v>32</v>
      </c>
      <c r="G770" s="2" t="s">
        <v>15</v>
      </c>
      <c r="H770" s="2" t="s">
        <v>152</v>
      </c>
      <c r="I770" s="13">
        <v>9</v>
      </c>
      <c r="J770" s="10">
        <v>8803.2199999999993</v>
      </c>
      <c r="K770" s="10">
        <f t="shared" ref="K770:K833" si="25">I770*J770</f>
        <v>79228.98</v>
      </c>
      <c r="L770" s="2">
        <v>0</v>
      </c>
      <c r="M770" s="2" t="s">
        <v>29</v>
      </c>
      <c r="N770" s="2" t="s">
        <v>121</v>
      </c>
    </row>
    <row r="771" spans="1:14" x14ac:dyDescent="0.2">
      <c r="A771" s="13">
        <v>100333</v>
      </c>
      <c r="B771" s="5">
        <v>45579</v>
      </c>
      <c r="C771" s="5" t="str">
        <f t="shared" si="24"/>
        <v>Oct</v>
      </c>
      <c r="D771" s="2" t="s">
        <v>717</v>
      </c>
      <c r="E771" s="2" t="s">
        <v>140</v>
      </c>
      <c r="F771" s="2" t="s">
        <v>49</v>
      </c>
      <c r="G771" s="2" t="s">
        <v>22</v>
      </c>
      <c r="H771" s="2" t="s">
        <v>141</v>
      </c>
      <c r="I771" s="13">
        <v>3</v>
      </c>
      <c r="J771" s="10">
        <v>0</v>
      </c>
      <c r="K771" s="10">
        <f t="shared" si="25"/>
        <v>0</v>
      </c>
      <c r="L771" s="2">
        <v>0.15</v>
      </c>
      <c r="M771" s="2" t="s">
        <v>17</v>
      </c>
      <c r="N771" s="2" t="s">
        <v>35</v>
      </c>
    </row>
    <row r="772" spans="1:14" x14ac:dyDescent="0.2">
      <c r="A772" s="13">
        <v>100569</v>
      </c>
      <c r="B772" s="5">
        <v>45295</v>
      </c>
      <c r="C772" s="5" t="str">
        <f t="shared" si="24"/>
        <v>Jan</v>
      </c>
      <c r="D772" s="2" t="s">
        <v>567</v>
      </c>
      <c r="E772" s="2" t="s">
        <v>37</v>
      </c>
      <c r="F772" s="2" t="s">
        <v>38</v>
      </c>
      <c r="G772" s="2" t="s">
        <v>64</v>
      </c>
      <c r="H772" s="2" t="s">
        <v>40</v>
      </c>
      <c r="I772" s="13">
        <v>5</v>
      </c>
      <c r="J772" s="10">
        <v>229.04</v>
      </c>
      <c r="K772" s="10">
        <f t="shared" si="25"/>
        <v>1145.2</v>
      </c>
      <c r="L772" s="2">
        <v>0</v>
      </c>
      <c r="M772" s="2" t="s">
        <v>83</v>
      </c>
      <c r="N772" s="2" t="s">
        <v>52</v>
      </c>
    </row>
    <row r="773" spans="1:14" x14ac:dyDescent="0.2">
      <c r="A773" s="13">
        <v>101237</v>
      </c>
      <c r="B773" s="5">
        <v>45418</v>
      </c>
      <c r="C773" s="5" t="str">
        <f t="shared" si="24"/>
        <v>May</v>
      </c>
      <c r="D773" s="2" t="s">
        <v>718</v>
      </c>
      <c r="E773" s="2" t="s">
        <v>31</v>
      </c>
      <c r="F773" s="2" t="s">
        <v>54</v>
      </c>
      <c r="G773" s="2" t="s">
        <v>45</v>
      </c>
      <c r="H773" s="2" t="s">
        <v>46</v>
      </c>
      <c r="I773" s="13">
        <v>11</v>
      </c>
      <c r="J773" s="10">
        <v>13201.25</v>
      </c>
      <c r="K773" s="10">
        <f t="shared" si="25"/>
        <v>145213.75</v>
      </c>
      <c r="L773" s="2">
        <v>0.15</v>
      </c>
      <c r="M773" s="2" t="s">
        <v>66</v>
      </c>
      <c r="N773" s="2" t="s">
        <v>87</v>
      </c>
    </row>
    <row r="774" spans="1:14" x14ac:dyDescent="0.2">
      <c r="A774" s="13">
        <v>101480</v>
      </c>
      <c r="B774" s="5">
        <v>45410</v>
      </c>
      <c r="C774" s="5" t="str">
        <f t="shared" si="24"/>
        <v>Apr</v>
      </c>
      <c r="D774" s="2" t="s">
        <v>543</v>
      </c>
      <c r="E774" s="2" t="s">
        <v>140</v>
      </c>
      <c r="F774" s="2" t="s">
        <v>79</v>
      </c>
      <c r="G774" s="2" t="s">
        <v>64</v>
      </c>
      <c r="H774" s="2" t="s">
        <v>114</v>
      </c>
      <c r="I774" s="13">
        <v>5</v>
      </c>
      <c r="J774" s="10">
        <v>715.29</v>
      </c>
      <c r="K774" s="10">
        <f t="shared" si="25"/>
        <v>3576.45</v>
      </c>
      <c r="L774" s="2">
        <v>0.1</v>
      </c>
      <c r="M774" s="2" t="s">
        <v>17</v>
      </c>
      <c r="N774" s="2" t="s">
        <v>35</v>
      </c>
    </row>
    <row r="775" spans="1:14" x14ac:dyDescent="0.2">
      <c r="A775" s="13">
        <v>101448</v>
      </c>
      <c r="B775" s="5">
        <v>45556</v>
      </c>
      <c r="C775" s="5" t="str">
        <f t="shared" si="24"/>
        <v>Sep</v>
      </c>
      <c r="D775" s="2" t="s">
        <v>522</v>
      </c>
      <c r="E775" s="2" t="s">
        <v>31</v>
      </c>
      <c r="F775" s="2" t="s">
        <v>32</v>
      </c>
      <c r="G775" s="2" t="s">
        <v>33</v>
      </c>
      <c r="H775" s="2" t="s">
        <v>158</v>
      </c>
      <c r="I775" s="13">
        <v>-2</v>
      </c>
      <c r="J775" s="10">
        <v>524.65</v>
      </c>
      <c r="K775" s="10">
        <f t="shared" si="25"/>
        <v>-1049.3</v>
      </c>
      <c r="L775" s="2">
        <v>0.1</v>
      </c>
      <c r="M775" s="2" t="s">
        <v>29</v>
      </c>
      <c r="N775" s="2" t="s">
        <v>52</v>
      </c>
    </row>
    <row r="776" spans="1:14" x14ac:dyDescent="0.2">
      <c r="A776" s="13">
        <v>101045</v>
      </c>
      <c r="B776" s="5">
        <v>45384</v>
      </c>
      <c r="C776" s="5" t="str">
        <f t="shared" si="24"/>
        <v>Apr</v>
      </c>
      <c r="D776" s="2" t="s">
        <v>214</v>
      </c>
      <c r="E776" s="2" t="s">
        <v>37</v>
      </c>
      <c r="F776" s="2" t="s">
        <v>69</v>
      </c>
      <c r="G776" s="2" t="s">
        <v>15</v>
      </c>
      <c r="H776" s="2" t="s">
        <v>116</v>
      </c>
      <c r="I776" s="13">
        <v>2</v>
      </c>
      <c r="J776" s="10">
        <v>19365.419999999998</v>
      </c>
      <c r="K776" s="10">
        <f t="shared" si="25"/>
        <v>38730.839999999997</v>
      </c>
      <c r="L776" s="2">
        <v>0</v>
      </c>
      <c r="M776" s="2" t="s">
        <v>24</v>
      </c>
      <c r="N776" s="2" t="s">
        <v>121</v>
      </c>
    </row>
    <row r="777" spans="1:14" x14ac:dyDescent="0.2">
      <c r="A777" s="13">
        <v>100473</v>
      </c>
      <c r="B777" s="5">
        <v>45426</v>
      </c>
      <c r="C777" s="5" t="str">
        <f t="shared" si="24"/>
        <v>May</v>
      </c>
      <c r="D777" s="2" t="s">
        <v>243</v>
      </c>
      <c r="E777" s="2" t="s">
        <v>140</v>
      </c>
      <c r="F777" s="2" t="s">
        <v>79</v>
      </c>
      <c r="G777" s="2" t="s">
        <v>15</v>
      </c>
      <c r="H777" s="2" t="s">
        <v>152</v>
      </c>
      <c r="I777" s="13">
        <v>8</v>
      </c>
      <c r="J777" s="10">
        <v>16682.89</v>
      </c>
      <c r="K777" s="10">
        <f t="shared" si="25"/>
        <v>133463.12</v>
      </c>
      <c r="L777" s="2">
        <v>0</v>
      </c>
      <c r="M777" s="2" t="s">
        <v>17</v>
      </c>
      <c r="N777" s="2" t="s">
        <v>25</v>
      </c>
    </row>
    <row r="778" spans="1:14" x14ac:dyDescent="0.2">
      <c r="A778" s="13">
        <v>101289</v>
      </c>
      <c r="B778" s="5">
        <v>45628</v>
      </c>
      <c r="C778" s="5" t="str">
        <f t="shared" si="24"/>
        <v>Dec</v>
      </c>
      <c r="D778" s="2" t="s">
        <v>128</v>
      </c>
      <c r="E778" s="2" t="s">
        <v>61</v>
      </c>
      <c r="F778" s="2" t="s">
        <v>119</v>
      </c>
      <c r="G778" s="2" t="s">
        <v>50</v>
      </c>
      <c r="H778" s="2" t="s">
        <v>207</v>
      </c>
      <c r="I778" s="13">
        <v>3</v>
      </c>
      <c r="J778" s="10">
        <v>4097.2</v>
      </c>
      <c r="K778" s="10">
        <f t="shared" si="25"/>
        <v>12291.599999999999</v>
      </c>
      <c r="L778" s="2">
        <v>0.15</v>
      </c>
      <c r="M778" s="2" t="s">
        <v>83</v>
      </c>
      <c r="N778" s="2" t="s">
        <v>143</v>
      </c>
    </row>
    <row r="779" spans="1:14" x14ac:dyDescent="0.2">
      <c r="A779" s="13">
        <v>100512</v>
      </c>
      <c r="B779" s="5">
        <v>45297</v>
      </c>
      <c r="C779" s="5" t="str">
        <f t="shared" si="24"/>
        <v>Jan</v>
      </c>
      <c r="D779" s="2" t="s">
        <v>721</v>
      </c>
      <c r="E779" s="2" t="s">
        <v>140</v>
      </c>
      <c r="F779" s="2" t="s">
        <v>79</v>
      </c>
      <c r="G779" s="2" t="s">
        <v>45</v>
      </c>
      <c r="H779" s="2" t="s">
        <v>46</v>
      </c>
      <c r="I779" s="13">
        <v>10</v>
      </c>
      <c r="J779" s="10">
        <v>20577.18</v>
      </c>
      <c r="K779" s="10">
        <f t="shared" si="25"/>
        <v>205771.8</v>
      </c>
      <c r="L779" s="2">
        <v>0.1</v>
      </c>
      <c r="M779" s="2" t="s">
        <v>17</v>
      </c>
      <c r="N779" s="2" t="s">
        <v>35</v>
      </c>
    </row>
    <row r="780" spans="1:14" x14ac:dyDescent="0.2">
      <c r="A780" s="13">
        <v>100478</v>
      </c>
      <c r="B780" s="5">
        <v>45575</v>
      </c>
      <c r="C780" s="5" t="str">
        <f t="shared" si="24"/>
        <v>Oct</v>
      </c>
      <c r="D780" s="2" t="s">
        <v>610</v>
      </c>
      <c r="E780" s="2" t="s">
        <v>31</v>
      </c>
      <c r="F780" s="2" t="s">
        <v>32</v>
      </c>
      <c r="G780" s="2" t="s">
        <v>15</v>
      </c>
      <c r="H780" s="2" t="s">
        <v>116</v>
      </c>
      <c r="I780" s="13">
        <v>11</v>
      </c>
      <c r="J780" s="10">
        <v>20190.62</v>
      </c>
      <c r="K780" s="10">
        <f t="shared" si="25"/>
        <v>222096.81999999998</v>
      </c>
      <c r="L780" s="2">
        <v>0.15</v>
      </c>
      <c r="M780" s="2" t="s">
        <v>17</v>
      </c>
      <c r="N780" s="2" t="s">
        <v>87</v>
      </c>
    </row>
    <row r="781" spans="1:14" x14ac:dyDescent="0.2">
      <c r="A781" s="13">
        <v>100922</v>
      </c>
      <c r="B781" s="5">
        <v>45648</v>
      </c>
      <c r="C781" s="5" t="str">
        <f t="shared" si="24"/>
        <v>Dec</v>
      </c>
      <c r="D781" s="2" t="s">
        <v>1069</v>
      </c>
      <c r="E781" s="2" t="s">
        <v>31</v>
      </c>
      <c r="F781" s="2" t="s">
        <v>32</v>
      </c>
      <c r="G781" s="2" t="s">
        <v>45</v>
      </c>
      <c r="H781" s="2" t="s">
        <v>149</v>
      </c>
      <c r="I781" s="13">
        <v>9</v>
      </c>
      <c r="J781" s="10">
        <v>5238.9399999999996</v>
      </c>
      <c r="K781" s="10">
        <f t="shared" si="25"/>
        <v>47150.46</v>
      </c>
      <c r="L781" s="2">
        <v>0.05</v>
      </c>
      <c r="M781" s="2" t="s">
        <v>41</v>
      </c>
      <c r="N781" s="2" t="s">
        <v>35</v>
      </c>
    </row>
    <row r="782" spans="1:14" x14ac:dyDescent="0.2">
      <c r="A782" s="13">
        <v>101963</v>
      </c>
      <c r="B782" s="5">
        <v>45588</v>
      </c>
      <c r="C782" s="5" t="str">
        <f t="shared" si="24"/>
        <v>Oct</v>
      </c>
      <c r="D782" s="2" t="s">
        <v>307</v>
      </c>
      <c r="E782" s="2" t="s">
        <v>61</v>
      </c>
      <c r="F782" s="2" t="s">
        <v>119</v>
      </c>
      <c r="G782" s="2" t="s">
        <v>15</v>
      </c>
      <c r="H782" s="2" t="s">
        <v>59</v>
      </c>
      <c r="I782" s="13">
        <v>12</v>
      </c>
      <c r="J782" s="10">
        <v>7329.06</v>
      </c>
      <c r="K782" s="10">
        <f t="shared" si="25"/>
        <v>87948.72</v>
      </c>
      <c r="L782" s="2">
        <v>0</v>
      </c>
      <c r="M782" s="2" t="s">
        <v>66</v>
      </c>
      <c r="N782" s="2" t="s">
        <v>87</v>
      </c>
    </row>
    <row r="783" spans="1:14" x14ac:dyDescent="0.2">
      <c r="A783" s="13">
        <v>100319</v>
      </c>
      <c r="B783" s="5">
        <v>45486</v>
      </c>
      <c r="C783" s="5" t="str">
        <f t="shared" si="24"/>
        <v>Jul</v>
      </c>
      <c r="D783" s="2" t="s">
        <v>43</v>
      </c>
      <c r="E783" s="2" t="s">
        <v>37</v>
      </c>
      <c r="F783" s="2" t="s">
        <v>38</v>
      </c>
      <c r="G783" s="2" t="s">
        <v>64</v>
      </c>
      <c r="H783" s="2" t="s">
        <v>114</v>
      </c>
      <c r="I783" s="13">
        <v>1</v>
      </c>
      <c r="J783" s="10">
        <v>764.32</v>
      </c>
      <c r="K783" s="10">
        <f t="shared" si="25"/>
        <v>764.32</v>
      </c>
      <c r="L783" s="2">
        <v>0.05</v>
      </c>
      <c r="M783" s="2" t="s">
        <v>66</v>
      </c>
      <c r="N783" s="2" t="s">
        <v>35</v>
      </c>
    </row>
    <row r="784" spans="1:14" x14ac:dyDescent="0.2">
      <c r="A784" s="13">
        <v>101211</v>
      </c>
      <c r="B784" s="5">
        <v>45455</v>
      </c>
      <c r="C784" s="5" t="str">
        <f t="shared" si="24"/>
        <v>Jun</v>
      </c>
      <c r="D784" s="2" t="s">
        <v>402</v>
      </c>
      <c r="E784" s="2" t="s">
        <v>31</v>
      </c>
      <c r="F784" s="2" t="s">
        <v>32</v>
      </c>
      <c r="G784" s="2" t="s">
        <v>50</v>
      </c>
      <c r="H784" s="2" t="s">
        <v>51</v>
      </c>
      <c r="I784" s="13">
        <v>8</v>
      </c>
      <c r="J784" s="10">
        <v>6843.61</v>
      </c>
      <c r="K784" s="10">
        <f t="shared" si="25"/>
        <v>54748.88</v>
      </c>
      <c r="L784" s="2">
        <v>0.15</v>
      </c>
      <c r="M784" s="2" t="s">
        <v>83</v>
      </c>
      <c r="N784" s="2" t="s">
        <v>143</v>
      </c>
    </row>
    <row r="785" spans="1:14" x14ac:dyDescent="0.2">
      <c r="A785" s="13">
        <v>101739</v>
      </c>
      <c r="B785" s="5">
        <v>45364</v>
      </c>
      <c r="C785" s="5" t="str">
        <f t="shared" si="24"/>
        <v>Mar</v>
      </c>
      <c r="D785" s="2" t="s">
        <v>502</v>
      </c>
      <c r="E785" s="2" t="s">
        <v>61</v>
      </c>
      <c r="F785" s="2" t="s">
        <v>119</v>
      </c>
      <c r="G785" s="2" t="s">
        <v>64</v>
      </c>
      <c r="H785" s="2" t="s">
        <v>114</v>
      </c>
      <c r="I785" s="13"/>
      <c r="J785" s="10">
        <v>411.03</v>
      </c>
      <c r="K785" s="10">
        <f t="shared" si="25"/>
        <v>0</v>
      </c>
      <c r="L785" s="2">
        <v>0</v>
      </c>
      <c r="M785" s="2" t="s">
        <v>83</v>
      </c>
      <c r="N785" s="2" t="s">
        <v>143</v>
      </c>
    </row>
    <row r="786" spans="1:14" x14ac:dyDescent="0.2">
      <c r="A786" s="13">
        <v>101029</v>
      </c>
      <c r="B786" s="5">
        <v>45293</v>
      </c>
      <c r="C786" s="5" t="str">
        <f t="shared" si="24"/>
        <v>Jan</v>
      </c>
      <c r="D786" s="2" t="s">
        <v>723</v>
      </c>
      <c r="E786" s="2" t="s">
        <v>31</v>
      </c>
      <c r="F786" s="2" t="s">
        <v>32</v>
      </c>
      <c r="G786" s="2" t="s">
        <v>33</v>
      </c>
      <c r="H786" s="2" t="s">
        <v>158</v>
      </c>
      <c r="I786" s="13">
        <v>6</v>
      </c>
      <c r="J786" s="10">
        <v>568.16999999999996</v>
      </c>
      <c r="K786" s="10">
        <f t="shared" si="25"/>
        <v>3409.0199999999995</v>
      </c>
      <c r="L786" s="2">
        <v>0.2</v>
      </c>
      <c r="M786" s="2" t="s">
        <v>17</v>
      </c>
      <c r="N786" s="2" t="s">
        <v>143</v>
      </c>
    </row>
    <row r="787" spans="1:14" x14ac:dyDescent="0.2">
      <c r="A787" s="13">
        <v>100582</v>
      </c>
      <c r="B787" s="5">
        <v>45492</v>
      </c>
      <c r="C787" s="5" t="str">
        <f t="shared" si="24"/>
        <v>Jul</v>
      </c>
      <c r="D787" s="2" t="s">
        <v>319</v>
      </c>
      <c r="E787" s="2" t="s">
        <v>27</v>
      </c>
      <c r="F787" s="2" t="s">
        <v>133</v>
      </c>
      <c r="G787" s="2" t="s">
        <v>15</v>
      </c>
      <c r="H787" s="2" t="s">
        <v>16</v>
      </c>
      <c r="I787" s="13">
        <v>12</v>
      </c>
      <c r="J787" s="10">
        <v>8112.56</v>
      </c>
      <c r="K787" s="10">
        <f t="shared" si="25"/>
        <v>97350.720000000001</v>
      </c>
      <c r="L787" s="2">
        <v>0</v>
      </c>
      <c r="M787" s="2" t="s">
        <v>24</v>
      </c>
      <c r="N787" s="2" t="s">
        <v>87</v>
      </c>
    </row>
    <row r="788" spans="1:14" x14ac:dyDescent="0.2">
      <c r="A788" s="13">
        <v>100133</v>
      </c>
      <c r="B788" s="5">
        <v>45358</v>
      </c>
      <c r="C788" s="5" t="str">
        <f t="shared" si="24"/>
        <v>Mar</v>
      </c>
      <c r="D788" s="2" t="s">
        <v>546</v>
      </c>
      <c r="E788" s="2" t="s">
        <v>27</v>
      </c>
      <c r="F788" s="2" t="s">
        <v>133</v>
      </c>
      <c r="G788" s="2" t="s">
        <v>33</v>
      </c>
      <c r="H788" s="2" t="s">
        <v>158</v>
      </c>
      <c r="I788" s="13">
        <v>-3</v>
      </c>
      <c r="J788" s="10">
        <v>345.44</v>
      </c>
      <c r="K788" s="10">
        <f t="shared" si="25"/>
        <v>-1036.32</v>
      </c>
      <c r="L788" s="2">
        <v>0.05</v>
      </c>
      <c r="M788" s="2" t="s">
        <v>17</v>
      </c>
      <c r="N788" s="2" t="s">
        <v>35</v>
      </c>
    </row>
    <row r="789" spans="1:14" x14ac:dyDescent="0.2">
      <c r="A789" s="13">
        <v>101745</v>
      </c>
      <c r="B789" s="5">
        <v>45643</v>
      </c>
      <c r="C789" s="5" t="str">
        <f t="shared" si="24"/>
        <v>Dec</v>
      </c>
      <c r="D789" s="2" t="s">
        <v>504</v>
      </c>
      <c r="E789" s="2" t="s">
        <v>31</v>
      </c>
      <c r="F789" s="2" t="s">
        <v>32</v>
      </c>
      <c r="G789" s="2" t="s">
        <v>50</v>
      </c>
      <c r="H789" s="2" t="s">
        <v>207</v>
      </c>
      <c r="I789" s="13">
        <v>3</v>
      </c>
      <c r="J789" s="10">
        <v>1532.04</v>
      </c>
      <c r="K789" s="10">
        <f t="shared" si="25"/>
        <v>4596.12</v>
      </c>
      <c r="L789" s="2">
        <v>0.1</v>
      </c>
      <c r="M789" s="2" t="s">
        <v>66</v>
      </c>
      <c r="N789" s="2" t="s">
        <v>42</v>
      </c>
    </row>
    <row r="790" spans="1:14" x14ac:dyDescent="0.2">
      <c r="A790" s="13">
        <v>100863</v>
      </c>
      <c r="B790" s="5">
        <v>45628</v>
      </c>
      <c r="C790" s="5" t="str">
        <f t="shared" si="24"/>
        <v>Dec</v>
      </c>
      <c r="D790" s="2" t="s">
        <v>235</v>
      </c>
      <c r="E790" s="2" t="s">
        <v>140</v>
      </c>
      <c r="F790" s="2" t="s">
        <v>79</v>
      </c>
      <c r="G790" s="2" t="s">
        <v>50</v>
      </c>
      <c r="H790" s="2" t="s">
        <v>207</v>
      </c>
      <c r="I790" s="13">
        <v>12</v>
      </c>
      <c r="J790" s="10">
        <v>1776.23</v>
      </c>
      <c r="K790" s="10">
        <f t="shared" si="25"/>
        <v>21314.760000000002</v>
      </c>
      <c r="L790" s="2">
        <v>0.15</v>
      </c>
      <c r="M790" s="2" t="s">
        <v>41</v>
      </c>
      <c r="N790" s="2" t="s">
        <v>35</v>
      </c>
    </row>
    <row r="791" spans="1:14" x14ac:dyDescent="0.2">
      <c r="A791" s="13">
        <v>101110</v>
      </c>
      <c r="B791" s="5">
        <v>45626</v>
      </c>
      <c r="C791" s="5" t="str">
        <f t="shared" si="24"/>
        <v>Nov</v>
      </c>
      <c r="D791" s="2" t="s">
        <v>718</v>
      </c>
      <c r="E791" s="2" t="s">
        <v>27</v>
      </c>
      <c r="F791" s="2" t="s">
        <v>133</v>
      </c>
      <c r="G791" s="2" t="s">
        <v>50</v>
      </c>
      <c r="H791" s="2" t="s">
        <v>99</v>
      </c>
      <c r="I791" s="13"/>
      <c r="J791" s="10">
        <v>11201.82</v>
      </c>
      <c r="K791" s="10">
        <f t="shared" si="25"/>
        <v>0</v>
      </c>
      <c r="L791" s="2">
        <v>0.2</v>
      </c>
      <c r="M791" s="2" t="s">
        <v>41</v>
      </c>
      <c r="N791" s="2" t="s">
        <v>35</v>
      </c>
    </row>
    <row r="792" spans="1:14" x14ac:dyDescent="0.2">
      <c r="A792" s="13">
        <v>101415</v>
      </c>
      <c r="B792" s="5">
        <v>45334</v>
      </c>
      <c r="C792" s="5" t="str">
        <f t="shared" si="24"/>
        <v>Feb</v>
      </c>
      <c r="D792" s="2" t="s">
        <v>569</v>
      </c>
      <c r="E792" s="2" t="s">
        <v>27</v>
      </c>
      <c r="F792" s="2" t="s">
        <v>133</v>
      </c>
      <c r="G792" s="2" t="s">
        <v>64</v>
      </c>
      <c r="H792" s="2" t="s">
        <v>242</v>
      </c>
      <c r="I792" s="13">
        <v>-1</v>
      </c>
      <c r="J792" s="10">
        <v>93.48</v>
      </c>
      <c r="K792" s="10">
        <f t="shared" si="25"/>
        <v>-93.48</v>
      </c>
      <c r="L792" s="2">
        <v>0.1</v>
      </c>
      <c r="M792" s="2" t="s">
        <v>29</v>
      </c>
      <c r="N792" s="2" t="s">
        <v>52</v>
      </c>
    </row>
    <row r="793" spans="1:14" x14ac:dyDescent="0.2">
      <c r="A793" s="13">
        <v>101972</v>
      </c>
      <c r="B793" s="5">
        <v>45646</v>
      </c>
      <c r="C793" s="5" t="str">
        <f t="shared" si="24"/>
        <v>Dec</v>
      </c>
      <c r="D793" s="2" t="s">
        <v>563</v>
      </c>
      <c r="E793" s="2" t="s">
        <v>31</v>
      </c>
      <c r="F793" s="2" t="s">
        <v>54</v>
      </c>
      <c r="G793" s="2" t="s">
        <v>15</v>
      </c>
      <c r="H793" s="2" t="s">
        <v>205</v>
      </c>
      <c r="I793" s="13">
        <v>8</v>
      </c>
      <c r="J793" s="10">
        <v>23705.56</v>
      </c>
      <c r="K793" s="10">
        <f t="shared" si="25"/>
        <v>189644.48</v>
      </c>
      <c r="L793" s="2">
        <v>0.25</v>
      </c>
      <c r="M793" s="2" t="s">
        <v>41</v>
      </c>
      <c r="N793" s="2" t="s">
        <v>121</v>
      </c>
    </row>
    <row r="794" spans="1:14" x14ac:dyDescent="0.2">
      <c r="A794" s="13">
        <v>100369</v>
      </c>
      <c r="B794" s="5">
        <v>45562</v>
      </c>
      <c r="C794" s="5" t="str">
        <f t="shared" si="24"/>
        <v>Sep</v>
      </c>
      <c r="D794" s="2" t="s">
        <v>603</v>
      </c>
      <c r="E794" s="2" t="s">
        <v>61</v>
      </c>
      <c r="F794" s="2" t="s">
        <v>119</v>
      </c>
      <c r="G794" s="2" t="s">
        <v>106</v>
      </c>
      <c r="H794" s="2" t="s">
        <v>137</v>
      </c>
      <c r="I794" s="13">
        <v>9</v>
      </c>
      <c r="J794" s="10">
        <v>1009.72</v>
      </c>
      <c r="K794" s="10">
        <f t="shared" si="25"/>
        <v>9087.48</v>
      </c>
      <c r="L794" s="2">
        <v>0</v>
      </c>
      <c r="M794" s="2" t="s">
        <v>41</v>
      </c>
      <c r="N794" s="2" t="s">
        <v>25</v>
      </c>
    </row>
    <row r="795" spans="1:14" x14ac:dyDescent="0.2">
      <c r="A795" s="13">
        <v>100733</v>
      </c>
      <c r="B795" s="5">
        <v>45432</v>
      </c>
      <c r="C795" s="5" t="str">
        <f t="shared" si="24"/>
        <v>May</v>
      </c>
      <c r="D795" s="2" t="s">
        <v>264</v>
      </c>
      <c r="E795" s="2" t="s">
        <v>140</v>
      </c>
      <c r="F795" s="2" t="s">
        <v>79</v>
      </c>
      <c r="G795" s="2" t="s">
        <v>15</v>
      </c>
      <c r="H795" s="2" t="s">
        <v>59</v>
      </c>
      <c r="I795" s="13">
        <v>9</v>
      </c>
      <c r="J795" s="10">
        <v>20623.330000000002</v>
      </c>
      <c r="K795" s="10">
        <f t="shared" si="25"/>
        <v>185609.97000000003</v>
      </c>
      <c r="L795" s="2">
        <v>0</v>
      </c>
      <c r="M795" s="2" t="s">
        <v>66</v>
      </c>
      <c r="N795" s="2" t="s">
        <v>25</v>
      </c>
    </row>
    <row r="796" spans="1:14" x14ac:dyDescent="0.2">
      <c r="A796" s="13">
        <v>101378</v>
      </c>
      <c r="B796" s="5">
        <v>45481</v>
      </c>
      <c r="C796" s="5" t="str">
        <f t="shared" si="24"/>
        <v>Jul</v>
      </c>
      <c r="D796" s="2" t="s">
        <v>128</v>
      </c>
      <c r="E796" s="2" t="s">
        <v>27</v>
      </c>
      <c r="F796" s="2" t="s">
        <v>133</v>
      </c>
      <c r="G796" s="2" t="s">
        <v>33</v>
      </c>
      <c r="H796" s="2" t="s">
        <v>93</v>
      </c>
      <c r="I796" s="13">
        <v>8</v>
      </c>
      <c r="J796" s="10">
        <v>528.11</v>
      </c>
      <c r="K796" s="10">
        <f t="shared" si="25"/>
        <v>4224.88</v>
      </c>
      <c r="L796" s="2">
        <v>0</v>
      </c>
      <c r="M796" s="2" t="s">
        <v>66</v>
      </c>
      <c r="N796" s="2" t="s">
        <v>35</v>
      </c>
    </row>
    <row r="797" spans="1:14" x14ac:dyDescent="0.2">
      <c r="A797" s="13">
        <v>100126</v>
      </c>
      <c r="B797" s="5">
        <v>45513</v>
      </c>
      <c r="C797" s="5" t="str">
        <f t="shared" si="24"/>
        <v>Aug</v>
      </c>
      <c r="D797" s="2" t="s">
        <v>423</v>
      </c>
      <c r="E797" s="2" t="s">
        <v>140</v>
      </c>
      <c r="F797" s="2" t="s">
        <v>49</v>
      </c>
      <c r="G797" s="2" t="s">
        <v>22</v>
      </c>
      <c r="H797" s="2" t="s">
        <v>75</v>
      </c>
      <c r="I797" s="13">
        <v>4</v>
      </c>
      <c r="J797" s="10">
        <v>3082.4</v>
      </c>
      <c r="K797" s="10">
        <f t="shared" si="25"/>
        <v>12329.6</v>
      </c>
      <c r="L797" s="2">
        <v>0.15</v>
      </c>
      <c r="M797" s="2" t="s">
        <v>41</v>
      </c>
      <c r="N797" s="2" t="s">
        <v>18</v>
      </c>
    </row>
    <row r="798" spans="1:14" x14ac:dyDescent="0.2">
      <c r="A798" s="13">
        <v>101262</v>
      </c>
      <c r="B798" s="5">
        <v>45399</v>
      </c>
      <c r="C798" s="5" t="str">
        <f t="shared" si="24"/>
        <v>Apr</v>
      </c>
      <c r="D798" s="2" t="s">
        <v>118</v>
      </c>
      <c r="E798" s="2" t="s">
        <v>37</v>
      </c>
      <c r="F798" s="2" t="s">
        <v>69</v>
      </c>
      <c r="G798" s="2" t="s">
        <v>106</v>
      </c>
      <c r="H798" s="2" t="s">
        <v>103</v>
      </c>
      <c r="I798" s="13">
        <v>-3</v>
      </c>
      <c r="J798" s="10">
        <v>2299.9</v>
      </c>
      <c r="K798" s="10">
        <f t="shared" si="25"/>
        <v>-6899.7000000000007</v>
      </c>
      <c r="L798" s="2">
        <v>0</v>
      </c>
      <c r="M798" s="2" t="s">
        <v>41</v>
      </c>
      <c r="N798" s="2" t="s">
        <v>87</v>
      </c>
    </row>
    <row r="799" spans="1:14" x14ac:dyDescent="0.2">
      <c r="A799" s="13">
        <v>101089</v>
      </c>
      <c r="B799" s="5">
        <v>45307</v>
      </c>
      <c r="C799" s="5" t="str">
        <f t="shared" si="24"/>
        <v>Jan</v>
      </c>
      <c r="D799" s="2" t="s">
        <v>724</v>
      </c>
      <c r="E799" s="2" t="s">
        <v>61</v>
      </c>
      <c r="F799" s="2" t="s">
        <v>119</v>
      </c>
      <c r="G799" s="2" t="s">
        <v>45</v>
      </c>
      <c r="H799" s="2" t="s">
        <v>71</v>
      </c>
      <c r="I799" s="13">
        <v>3</v>
      </c>
      <c r="J799" s="10">
        <v>22765.8</v>
      </c>
      <c r="K799" s="10">
        <f t="shared" si="25"/>
        <v>68297.399999999994</v>
      </c>
      <c r="L799" s="2">
        <v>0.25</v>
      </c>
      <c r="M799" s="2" t="s">
        <v>66</v>
      </c>
      <c r="N799" s="2" t="s">
        <v>121</v>
      </c>
    </row>
    <row r="800" spans="1:14" x14ac:dyDescent="0.2">
      <c r="A800" s="13">
        <v>100257</v>
      </c>
      <c r="B800" s="5">
        <v>45509</v>
      </c>
      <c r="C800" s="5" t="str">
        <f t="shared" si="24"/>
        <v>Aug</v>
      </c>
      <c r="D800" s="2" t="s">
        <v>725</v>
      </c>
      <c r="E800" s="2" t="s">
        <v>31</v>
      </c>
      <c r="F800" s="2" t="s">
        <v>32</v>
      </c>
      <c r="G800" s="2" t="s">
        <v>50</v>
      </c>
      <c r="H800" s="2" t="s">
        <v>51</v>
      </c>
      <c r="I800" s="13">
        <v>4</v>
      </c>
      <c r="J800" s="10">
        <v>8947.1</v>
      </c>
      <c r="K800" s="10">
        <f t="shared" si="25"/>
        <v>35788.400000000001</v>
      </c>
      <c r="L800" s="2">
        <v>0.15</v>
      </c>
      <c r="M800" s="2" t="s">
        <v>24</v>
      </c>
      <c r="N800" s="2" t="s">
        <v>121</v>
      </c>
    </row>
    <row r="801" spans="1:14" x14ac:dyDescent="0.2">
      <c r="A801" s="13">
        <v>101989</v>
      </c>
      <c r="B801" s="5">
        <v>45340</v>
      </c>
      <c r="C801" s="5" t="str">
        <f t="shared" si="24"/>
        <v>Feb</v>
      </c>
      <c r="D801" s="2" t="s">
        <v>658</v>
      </c>
      <c r="E801" s="2" t="s">
        <v>61</v>
      </c>
      <c r="F801" s="2" t="s">
        <v>14</v>
      </c>
      <c r="G801" s="2" t="s">
        <v>33</v>
      </c>
      <c r="H801" s="2" t="s">
        <v>34</v>
      </c>
      <c r="I801" s="13">
        <v>8</v>
      </c>
      <c r="J801" s="10">
        <v>179.8</v>
      </c>
      <c r="K801" s="10">
        <f t="shared" si="25"/>
        <v>1438.4</v>
      </c>
      <c r="L801" s="2">
        <v>0</v>
      </c>
      <c r="M801" s="2" t="s">
        <v>41</v>
      </c>
      <c r="N801" s="2" t="s">
        <v>18</v>
      </c>
    </row>
    <row r="802" spans="1:14" x14ac:dyDescent="0.2">
      <c r="A802" s="13">
        <v>101124</v>
      </c>
      <c r="B802" s="5">
        <v>45405</v>
      </c>
      <c r="C802" s="5" t="str">
        <f t="shared" si="24"/>
        <v>Apr</v>
      </c>
      <c r="D802" s="2" t="s">
        <v>728</v>
      </c>
      <c r="E802" s="2" t="s">
        <v>140</v>
      </c>
      <c r="F802" s="2" t="s">
        <v>49</v>
      </c>
      <c r="G802" s="2" t="s">
        <v>33</v>
      </c>
      <c r="H802" s="2" t="s">
        <v>93</v>
      </c>
      <c r="I802" s="13">
        <v>1</v>
      </c>
      <c r="J802" s="10">
        <v>66.28</v>
      </c>
      <c r="K802" s="10">
        <f t="shared" si="25"/>
        <v>66.28</v>
      </c>
      <c r="L802" s="2">
        <v>0</v>
      </c>
      <c r="M802" s="2" t="s">
        <v>83</v>
      </c>
      <c r="N802" s="2" t="s">
        <v>87</v>
      </c>
    </row>
    <row r="803" spans="1:14" x14ac:dyDescent="0.2">
      <c r="A803" s="13">
        <v>100290</v>
      </c>
      <c r="B803" s="5">
        <v>45625</v>
      </c>
      <c r="C803" s="5" t="str">
        <f t="shared" si="24"/>
        <v>Nov</v>
      </c>
      <c r="D803" s="2" t="s">
        <v>201</v>
      </c>
      <c r="E803" s="2" t="s">
        <v>61</v>
      </c>
      <c r="F803" s="2" t="s">
        <v>119</v>
      </c>
      <c r="G803" s="2" t="s">
        <v>64</v>
      </c>
      <c r="H803" s="2" t="s">
        <v>40</v>
      </c>
      <c r="I803" s="13">
        <v>8</v>
      </c>
      <c r="J803" s="10">
        <v>782.87</v>
      </c>
      <c r="K803" s="10">
        <f t="shared" si="25"/>
        <v>6262.96</v>
      </c>
      <c r="L803" s="2">
        <v>0.05</v>
      </c>
      <c r="M803" s="2" t="s">
        <v>41</v>
      </c>
      <c r="N803" s="2" t="s">
        <v>143</v>
      </c>
    </row>
    <row r="804" spans="1:14" x14ac:dyDescent="0.2">
      <c r="A804" s="13">
        <v>101297</v>
      </c>
      <c r="B804" s="5">
        <v>45310</v>
      </c>
      <c r="C804" s="5" t="str">
        <f t="shared" si="24"/>
        <v>Jan</v>
      </c>
      <c r="D804" s="2" t="s">
        <v>468</v>
      </c>
      <c r="E804" s="2" t="s">
        <v>61</v>
      </c>
      <c r="F804" s="2" t="s">
        <v>14</v>
      </c>
      <c r="G804" s="2" t="s">
        <v>45</v>
      </c>
      <c r="H804" s="2" t="s">
        <v>111</v>
      </c>
      <c r="I804" s="13">
        <v>3</v>
      </c>
      <c r="J804" s="10">
        <v>29170.94</v>
      </c>
      <c r="K804" s="10">
        <f t="shared" si="25"/>
        <v>87512.819999999992</v>
      </c>
      <c r="L804" s="2">
        <v>0</v>
      </c>
      <c r="M804" s="2" t="s">
        <v>83</v>
      </c>
      <c r="N804" s="2" t="s">
        <v>42</v>
      </c>
    </row>
    <row r="805" spans="1:14" x14ac:dyDescent="0.2">
      <c r="A805" s="13">
        <v>100778</v>
      </c>
      <c r="B805" s="5">
        <v>45611</v>
      </c>
      <c r="C805" s="5" t="str">
        <f t="shared" si="24"/>
        <v>Nov</v>
      </c>
      <c r="D805" s="2" t="s">
        <v>372</v>
      </c>
      <c r="E805" s="2" t="s">
        <v>61</v>
      </c>
      <c r="F805" s="2" t="s">
        <v>119</v>
      </c>
      <c r="G805" s="2" t="s">
        <v>22</v>
      </c>
      <c r="H805" s="2" t="s">
        <v>141</v>
      </c>
      <c r="I805" s="13">
        <v>2</v>
      </c>
      <c r="J805" s="10">
        <v>3023.02</v>
      </c>
      <c r="K805" s="10">
        <f t="shared" si="25"/>
        <v>6046.04</v>
      </c>
      <c r="L805" s="2">
        <v>0.25</v>
      </c>
      <c r="M805" s="2" t="s">
        <v>66</v>
      </c>
      <c r="N805" s="2" t="s">
        <v>25</v>
      </c>
    </row>
    <row r="806" spans="1:14" x14ac:dyDescent="0.2">
      <c r="A806" s="13">
        <v>100082</v>
      </c>
      <c r="B806" s="5">
        <v>45456</v>
      </c>
      <c r="C806" s="5" t="str">
        <f t="shared" si="24"/>
        <v>Jun</v>
      </c>
      <c r="D806" s="2" t="s">
        <v>1069</v>
      </c>
      <c r="E806" s="2" t="s">
        <v>37</v>
      </c>
      <c r="F806" s="2" t="s">
        <v>38</v>
      </c>
      <c r="G806" s="2" t="s">
        <v>22</v>
      </c>
      <c r="H806" s="2" t="s">
        <v>145</v>
      </c>
      <c r="I806" s="13">
        <v>2</v>
      </c>
      <c r="J806" s="10">
        <v>1250.8</v>
      </c>
      <c r="K806" s="10">
        <f t="shared" si="25"/>
        <v>2501.6</v>
      </c>
      <c r="L806" s="2">
        <v>0</v>
      </c>
      <c r="M806" s="2" t="s">
        <v>41</v>
      </c>
      <c r="N806" s="2" t="s">
        <v>143</v>
      </c>
    </row>
    <row r="807" spans="1:14" x14ac:dyDescent="0.2">
      <c r="A807" s="13">
        <v>100054</v>
      </c>
      <c r="B807" s="5">
        <v>45308</v>
      </c>
      <c r="C807" s="5" t="str">
        <f t="shared" si="24"/>
        <v>Jan</v>
      </c>
      <c r="D807" s="2" t="s">
        <v>730</v>
      </c>
      <c r="E807" s="2" t="s">
        <v>61</v>
      </c>
      <c r="F807" s="2" t="s">
        <v>14</v>
      </c>
      <c r="G807" s="2" t="s">
        <v>33</v>
      </c>
      <c r="H807" s="2" t="s">
        <v>34</v>
      </c>
      <c r="I807" s="13">
        <v>2</v>
      </c>
      <c r="J807" s="10">
        <v>599.19000000000005</v>
      </c>
      <c r="K807" s="10">
        <f t="shared" si="25"/>
        <v>1198.3800000000001</v>
      </c>
      <c r="L807" s="2">
        <v>0</v>
      </c>
      <c r="M807" s="2" t="s">
        <v>66</v>
      </c>
      <c r="N807" s="2" t="s">
        <v>18</v>
      </c>
    </row>
    <row r="808" spans="1:14" x14ac:dyDescent="0.2">
      <c r="A808" s="13">
        <v>101555</v>
      </c>
      <c r="B808" s="5">
        <v>45302</v>
      </c>
      <c r="C808" s="5" t="str">
        <f t="shared" si="24"/>
        <v>Jan</v>
      </c>
      <c r="D808" s="2" t="s">
        <v>154</v>
      </c>
      <c r="E808" s="2" t="s">
        <v>61</v>
      </c>
      <c r="F808" s="2" t="s">
        <v>14</v>
      </c>
      <c r="G808" s="2" t="s">
        <v>33</v>
      </c>
      <c r="H808" s="2" t="s">
        <v>81</v>
      </c>
      <c r="I808" s="13">
        <v>1</v>
      </c>
      <c r="J808" s="10">
        <v>530.74</v>
      </c>
      <c r="K808" s="10">
        <f t="shared" si="25"/>
        <v>530.74</v>
      </c>
      <c r="L808" s="2">
        <v>0.15</v>
      </c>
      <c r="M808" s="2" t="s">
        <v>17</v>
      </c>
      <c r="N808" s="2" t="s">
        <v>18</v>
      </c>
    </row>
    <row r="809" spans="1:14" x14ac:dyDescent="0.2">
      <c r="A809" s="13">
        <v>101808</v>
      </c>
      <c r="B809" s="5">
        <v>45370</v>
      </c>
      <c r="C809" s="5" t="str">
        <f t="shared" si="24"/>
        <v>Mar</v>
      </c>
      <c r="D809" s="2" t="s">
        <v>659</v>
      </c>
      <c r="E809" s="2" t="s">
        <v>27</v>
      </c>
      <c r="F809" s="2" t="s">
        <v>21</v>
      </c>
      <c r="G809" s="2" t="s">
        <v>106</v>
      </c>
      <c r="H809" s="2" t="s">
        <v>135</v>
      </c>
      <c r="I809" s="13">
        <v>4</v>
      </c>
      <c r="J809" s="10">
        <v>3784.52</v>
      </c>
      <c r="K809" s="10">
        <f t="shared" si="25"/>
        <v>15138.08</v>
      </c>
      <c r="L809" s="2">
        <v>0</v>
      </c>
      <c r="M809" s="2" t="s">
        <v>24</v>
      </c>
      <c r="N809" s="2" t="s">
        <v>87</v>
      </c>
    </row>
    <row r="810" spans="1:14" x14ac:dyDescent="0.2">
      <c r="A810" s="13">
        <v>100558</v>
      </c>
      <c r="B810" s="5">
        <v>45433</v>
      </c>
      <c r="C810" s="5" t="str">
        <f t="shared" si="24"/>
        <v>May</v>
      </c>
      <c r="D810" s="2" t="s">
        <v>1069</v>
      </c>
      <c r="E810" s="2" t="s">
        <v>27</v>
      </c>
      <c r="F810" s="2" t="s">
        <v>133</v>
      </c>
      <c r="G810" s="2" t="s">
        <v>64</v>
      </c>
      <c r="H810" s="2" t="s">
        <v>40</v>
      </c>
      <c r="I810" s="13">
        <v>5</v>
      </c>
      <c r="J810" s="10">
        <v>50.72</v>
      </c>
      <c r="K810" s="10">
        <f t="shared" si="25"/>
        <v>253.6</v>
      </c>
      <c r="L810" s="2">
        <v>0.05</v>
      </c>
      <c r="M810" s="2" t="s">
        <v>41</v>
      </c>
      <c r="N810" s="2" t="s">
        <v>35</v>
      </c>
    </row>
    <row r="811" spans="1:14" x14ac:dyDescent="0.2">
      <c r="A811" s="13">
        <v>100041</v>
      </c>
      <c r="B811" s="5">
        <v>45651</v>
      </c>
      <c r="C811" s="5" t="str">
        <f t="shared" si="24"/>
        <v>Dec</v>
      </c>
      <c r="D811" s="2" t="s">
        <v>670</v>
      </c>
      <c r="E811" s="2" t="s">
        <v>140</v>
      </c>
      <c r="F811" s="2" t="s">
        <v>49</v>
      </c>
      <c r="G811" s="2" t="s">
        <v>33</v>
      </c>
      <c r="H811" s="2" t="s">
        <v>81</v>
      </c>
      <c r="I811" s="13">
        <v>8</v>
      </c>
      <c r="J811" s="10">
        <v>266.83</v>
      </c>
      <c r="K811" s="10">
        <f t="shared" si="25"/>
        <v>2134.64</v>
      </c>
      <c r="L811" s="2">
        <v>0</v>
      </c>
      <c r="M811" s="2" t="s">
        <v>29</v>
      </c>
      <c r="N811" s="2" t="s">
        <v>52</v>
      </c>
    </row>
    <row r="812" spans="1:14" x14ac:dyDescent="0.2">
      <c r="A812" s="13">
        <v>101518</v>
      </c>
      <c r="B812" s="5">
        <v>45649</v>
      </c>
      <c r="C812" s="5" t="str">
        <f t="shared" si="24"/>
        <v>Dec</v>
      </c>
      <c r="D812" s="2" t="s">
        <v>555</v>
      </c>
      <c r="E812" s="2" t="s">
        <v>140</v>
      </c>
      <c r="F812" s="2" t="s">
        <v>79</v>
      </c>
      <c r="G812" s="2" t="s">
        <v>33</v>
      </c>
      <c r="H812" s="2" t="s">
        <v>158</v>
      </c>
      <c r="I812" s="13">
        <v>9</v>
      </c>
      <c r="J812" s="10">
        <v>370.54</v>
      </c>
      <c r="K812" s="10">
        <f t="shared" si="25"/>
        <v>3334.86</v>
      </c>
      <c r="L812" s="2">
        <v>0.15</v>
      </c>
      <c r="M812" s="2" t="s">
        <v>17</v>
      </c>
      <c r="N812" s="2" t="s">
        <v>42</v>
      </c>
    </row>
    <row r="813" spans="1:14" x14ac:dyDescent="0.2">
      <c r="A813" s="13">
        <v>100262</v>
      </c>
      <c r="B813" s="5">
        <v>45408</v>
      </c>
      <c r="C813" s="5" t="str">
        <f t="shared" si="24"/>
        <v>Apr</v>
      </c>
      <c r="D813" s="2" t="s">
        <v>296</v>
      </c>
      <c r="E813" s="2" t="s">
        <v>27</v>
      </c>
      <c r="F813" s="2" t="s">
        <v>133</v>
      </c>
      <c r="G813" s="2" t="s">
        <v>106</v>
      </c>
      <c r="H813" s="2" t="s">
        <v>135</v>
      </c>
      <c r="I813" s="13">
        <v>9</v>
      </c>
      <c r="J813" s="10">
        <v>1829.33</v>
      </c>
      <c r="K813" s="10">
        <f t="shared" si="25"/>
        <v>16463.97</v>
      </c>
      <c r="L813" s="2">
        <v>0</v>
      </c>
      <c r="M813" s="2" t="s">
        <v>24</v>
      </c>
      <c r="N813" s="2" t="s">
        <v>35</v>
      </c>
    </row>
    <row r="814" spans="1:14" x14ac:dyDescent="0.2">
      <c r="A814" s="13">
        <v>101012</v>
      </c>
      <c r="B814" s="5">
        <v>45453</v>
      </c>
      <c r="C814" s="5" t="str">
        <f t="shared" si="24"/>
        <v>Jun</v>
      </c>
      <c r="D814" s="2" t="s">
        <v>376</v>
      </c>
      <c r="E814" s="2" t="s">
        <v>61</v>
      </c>
      <c r="F814" s="2" t="s">
        <v>119</v>
      </c>
      <c r="G814" s="2" t="s">
        <v>22</v>
      </c>
      <c r="H814" s="2" t="s">
        <v>141</v>
      </c>
      <c r="I814" s="13">
        <v>4</v>
      </c>
      <c r="J814" s="10">
        <v>2739.57</v>
      </c>
      <c r="K814" s="10">
        <f t="shared" si="25"/>
        <v>10958.28</v>
      </c>
      <c r="L814" s="2">
        <v>0.05</v>
      </c>
      <c r="M814" s="2" t="s">
        <v>41</v>
      </c>
      <c r="N814" s="2" t="s">
        <v>52</v>
      </c>
    </row>
    <row r="815" spans="1:14" x14ac:dyDescent="0.2">
      <c r="A815" s="13">
        <v>101451</v>
      </c>
      <c r="B815" s="5">
        <v>45448</v>
      </c>
      <c r="C815" s="5" t="str">
        <f t="shared" si="24"/>
        <v>Jun</v>
      </c>
      <c r="D815" s="2" t="s">
        <v>732</v>
      </c>
      <c r="E815" s="2" t="s">
        <v>37</v>
      </c>
      <c r="F815" s="2" t="s">
        <v>38</v>
      </c>
      <c r="G815" s="2" t="s">
        <v>15</v>
      </c>
      <c r="H815" s="2" t="s">
        <v>16</v>
      </c>
      <c r="I815" s="13">
        <v>3</v>
      </c>
      <c r="J815" s="10">
        <v>17655.23</v>
      </c>
      <c r="K815" s="10">
        <f t="shared" si="25"/>
        <v>52965.69</v>
      </c>
      <c r="L815" s="2">
        <v>0</v>
      </c>
      <c r="M815" s="2" t="s">
        <v>66</v>
      </c>
      <c r="N815" s="2" t="s">
        <v>52</v>
      </c>
    </row>
    <row r="816" spans="1:14" x14ac:dyDescent="0.2">
      <c r="A816" s="13">
        <v>100084</v>
      </c>
      <c r="B816" s="5">
        <v>45645</v>
      </c>
      <c r="C816" s="5" t="str">
        <f t="shared" si="24"/>
        <v>Dec</v>
      </c>
      <c r="D816" s="2" t="s">
        <v>733</v>
      </c>
      <c r="E816" s="2" t="s">
        <v>37</v>
      </c>
      <c r="F816" s="2" t="s">
        <v>69</v>
      </c>
      <c r="G816" s="2" t="s">
        <v>50</v>
      </c>
      <c r="H816" s="2" t="s">
        <v>99</v>
      </c>
      <c r="I816" s="13">
        <v>9</v>
      </c>
      <c r="J816" s="10">
        <v>11726.65</v>
      </c>
      <c r="K816" s="10">
        <f t="shared" si="25"/>
        <v>105539.84999999999</v>
      </c>
      <c r="L816" s="2">
        <v>0</v>
      </c>
      <c r="M816" s="2" t="s">
        <v>66</v>
      </c>
      <c r="N816" s="2" t="s">
        <v>25</v>
      </c>
    </row>
    <row r="817" spans="1:14" x14ac:dyDescent="0.2">
      <c r="A817" s="13">
        <v>101135</v>
      </c>
      <c r="B817" s="5">
        <v>45413</v>
      </c>
      <c r="C817" s="5" t="str">
        <f t="shared" si="24"/>
        <v>May</v>
      </c>
      <c r="D817" s="2" t="s">
        <v>734</v>
      </c>
      <c r="E817" s="2" t="s">
        <v>37</v>
      </c>
      <c r="F817" s="2" t="s">
        <v>38</v>
      </c>
      <c r="G817" s="2" t="s">
        <v>33</v>
      </c>
      <c r="H817" s="2" t="s">
        <v>34</v>
      </c>
      <c r="I817" s="13">
        <v>4</v>
      </c>
      <c r="J817" s="10">
        <v>260.42</v>
      </c>
      <c r="K817" s="10">
        <f t="shared" si="25"/>
        <v>1041.68</v>
      </c>
      <c r="L817" s="2">
        <v>0.2</v>
      </c>
      <c r="M817" s="2" t="s">
        <v>17</v>
      </c>
      <c r="N817" s="2" t="s">
        <v>121</v>
      </c>
    </row>
    <row r="818" spans="1:14" x14ac:dyDescent="0.2">
      <c r="A818" s="13">
        <v>101228</v>
      </c>
      <c r="B818" s="5">
        <v>45353</v>
      </c>
      <c r="C818" s="5" t="str">
        <f t="shared" si="24"/>
        <v>Mar</v>
      </c>
      <c r="D818" s="2" t="s">
        <v>219</v>
      </c>
      <c r="E818" s="2" t="s">
        <v>37</v>
      </c>
      <c r="F818" s="2" t="s">
        <v>38</v>
      </c>
      <c r="G818" s="2" t="s">
        <v>33</v>
      </c>
      <c r="H818" s="2" t="s">
        <v>158</v>
      </c>
      <c r="I818" s="13">
        <v>7</v>
      </c>
      <c r="J818" s="10">
        <v>62.6</v>
      </c>
      <c r="K818" s="10">
        <f t="shared" si="25"/>
        <v>438.2</v>
      </c>
      <c r="L818" s="2">
        <v>0</v>
      </c>
      <c r="M818" s="2" t="s">
        <v>83</v>
      </c>
      <c r="N818" s="2" t="s">
        <v>35</v>
      </c>
    </row>
    <row r="819" spans="1:14" x14ac:dyDescent="0.2">
      <c r="A819" s="13">
        <v>101703</v>
      </c>
      <c r="B819" s="5">
        <v>45371</v>
      </c>
      <c r="C819" s="5" t="str">
        <f t="shared" si="24"/>
        <v>Mar</v>
      </c>
      <c r="D819" s="2" t="s">
        <v>479</v>
      </c>
      <c r="E819" s="2" t="s">
        <v>140</v>
      </c>
      <c r="F819" s="2" t="s">
        <v>79</v>
      </c>
      <c r="G819" s="2" t="s">
        <v>33</v>
      </c>
      <c r="H819" s="2" t="s">
        <v>81</v>
      </c>
      <c r="I819" s="13">
        <v>8</v>
      </c>
      <c r="J819" s="10">
        <v>323.25</v>
      </c>
      <c r="K819" s="10">
        <f t="shared" si="25"/>
        <v>2586</v>
      </c>
      <c r="L819" s="2">
        <v>0.1</v>
      </c>
      <c r="M819" s="2" t="s">
        <v>29</v>
      </c>
      <c r="N819" s="2" t="s">
        <v>143</v>
      </c>
    </row>
    <row r="820" spans="1:14" x14ac:dyDescent="0.2">
      <c r="A820" s="13">
        <v>100841</v>
      </c>
      <c r="B820" s="5">
        <v>45433</v>
      </c>
      <c r="C820" s="5" t="str">
        <f t="shared" si="24"/>
        <v>May</v>
      </c>
      <c r="D820" s="2" t="s">
        <v>494</v>
      </c>
      <c r="E820" s="2" t="s">
        <v>140</v>
      </c>
      <c r="F820" s="2" t="s">
        <v>79</v>
      </c>
      <c r="G820" s="2" t="s">
        <v>33</v>
      </c>
      <c r="H820" s="2" t="s">
        <v>158</v>
      </c>
      <c r="I820" s="13">
        <v>5</v>
      </c>
      <c r="J820" s="10">
        <v>335.88</v>
      </c>
      <c r="K820" s="10">
        <f t="shared" si="25"/>
        <v>1679.4</v>
      </c>
      <c r="L820" s="2">
        <v>0.2</v>
      </c>
      <c r="M820" s="2" t="s">
        <v>66</v>
      </c>
      <c r="N820" s="2" t="s">
        <v>121</v>
      </c>
    </row>
    <row r="821" spans="1:14" x14ac:dyDescent="0.2">
      <c r="A821" s="13">
        <v>100031</v>
      </c>
      <c r="B821" s="5">
        <v>45593</v>
      </c>
      <c r="C821" s="5" t="str">
        <f t="shared" si="24"/>
        <v>Oct</v>
      </c>
      <c r="D821" s="2" t="s">
        <v>531</v>
      </c>
      <c r="E821" s="2" t="s">
        <v>31</v>
      </c>
      <c r="F821" s="2" t="s">
        <v>54</v>
      </c>
      <c r="G821" s="2" t="s">
        <v>106</v>
      </c>
      <c r="H821" s="2" t="s">
        <v>103</v>
      </c>
      <c r="I821" s="13">
        <v>8</v>
      </c>
      <c r="J821" s="10">
        <v>1845.59</v>
      </c>
      <c r="K821" s="10">
        <f t="shared" si="25"/>
        <v>14764.72</v>
      </c>
      <c r="L821" s="2">
        <v>0.15</v>
      </c>
      <c r="M821" s="2" t="s">
        <v>29</v>
      </c>
      <c r="N821" s="2" t="s">
        <v>25</v>
      </c>
    </row>
    <row r="822" spans="1:14" x14ac:dyDescent="0.2">
      <c r="A822" s="13">
        <v>100514</v>
      </c>
      <c r="B822" s="5">
        <v>45479</v>
      </c>
      <c r="C822" s="5" t="str">
        <f t="shared" si="24"/>
        <v>Jul</v>
      </c>
      <c r="D822" s="2" t="s">
        <v>1069</v>
      </c>
      <c r="E822" s="2" t="s">
        <v>37</v>
      </c>
      <c r="F822" s="2" t="s">
        <v>38</v>
      </c>
      <c r="G822" s="2" t="s">
        <v>22</v>
      </c>
      <c r="H822" s="2" t="s">
        <v>232</v>
      </c>
      <c r="I822" s="13">
        <v>8</v>
      </c>
      <c r="J822" s="10">
        <v>511.19</v>
      </c>
      <c r="K822" s="10">
        <f t="shared" si="25"/>
        <v>4089.52</v>
      </c>
      <c r="L822" s="2">
        <v>0</v>
      </c>
      <c r="M822" s="2" t="s">
        <v>24</v>
      </c>
      <c r="N822" s="2" t="s">
        <v>35</v>
      </c>
    </row>
    <row r="823" spans="1:14" x14ac:dyDescent="0.2">
      <c r="A823" s="13">
        <v>101467</v>
      </c>
      <c r="B823" s="5">
        <v>45589</v>
      </c>
      <c r="C823" s="5" t="str">
        <f t="shared" si="24"/>
        <v>Oct</v>
      </c>
      <c r="D823" s="2" t="s">
        <v>567</v>
      </c>
      <c r="E823" s="2" t="s">
        <v>27</v>
      </c>
      <c r="F823" s="2" t="s">
        <v>133</v>
      </c>
      <c r="G823" s="2" t="s">
        <v>64</v>
      </c>
      <c r="H823" s="2" t="s">
        <v>114</v>
      </c>
      <c r="I823" s="13">
        <v>2</v>
      </c>
      <c r="J823" s="10">
        <v>520.63</v>
      </c>
      <c r="K823" s="10">
        <f t="shared" si="25"/>
        <v>1041.26</v>
      </c>
      <c r="L823" s="2">
        <v>0.05</v>
      </c>
      <c r="M823" s="2" t="s">
        <v>66</v>
      </c>
      <c r="N823" s="2" t="s">
        <v>25</v>
      </c>
    </row>
    <row r="824" spans="1:14" x14ac:dyDescent="0.2">
      <c r="A824" s="13">
        <v>101370</v>
      </c>
      <c r="B824" s="5">
        <v>45387</v>
      </c>
      <c r="C824" s="5" t="str">
        <f t="shared" si="24"/>
        <v>Apr</v>
      </c>
      <c r="D824" s="2" t="s">
        <v>736</v>
      </c>
      <c r="E824" s="2" t="s">
        <v>27</v>
      </c>
      <c r="F824" s="2" t="s">
        <v>133</v>
      </c>
      <c r="G824" s="2" t="s">
        <v>15</v>
      </c>
      <c r="H824" s="2" t="s">
        <v>116</v>
      </c>
      <c r="I824" s="13">
        <v>5</v>
      </c>
      <c r="J824" s="10">
        <v>4240.12</v>
      </c>
      <c r="K824" s="10">
        <f t="shared" si="25"/>
        <v>21200.6</v>
      </c>
      <c r="L824" s="2">
        <v>0</v>
      </c>
      <c r="M824" s="2" t="s">
        <v>66</v>
      </c>
      <c r="N824" s="2" t="s">
        <v>42</v>
      </c>
    </row>
    <row r="825" spans="1:14" x14ac:dyDescent="0.2">
      <c r="A825" s="13">
        <v>101840</v>
      </c>
      <c r="B825" s="5">
        <v>45583</v>
      </c>
      <c r="C825" s="5" t="str">
        <f t="shared" si="24"/>
        <v>Oct</v>
      </c>
      <c r="D825" s="2" t="s">
        <v>255</v>
      </c>
      <c r="E825" s="2" t="s">
        <v>27</v>
      </c>
      <c r="F825" s="2" t="s">
        <v>21</v>
      </c>
      <c r="G825" s="2" t="s">
        <v>50</v>
      </c>
      <c r="H825" s="2" t="s">
        <v>207</v>
      </c>
      <c r="I825" s="13">
        <v>12</v>
      </c>
      <c r="J825" s="10">
        <v>6136.58</v>
      </c>
      <c r="K825" s="10">
        <f t="shared" si="25"/>
        <v>73638.959999999992</v>
      </c>
      <c r="L825" s="2">
        <v>0</v>
      </c>
      <c r="M825" s="2" t="s">
        <v>83</v>
      </c>
      <c r="N825" s="2" t="s">
        <v>35</v>
      </c>
    </row>
    <row r="826" spans="1:14" x14ac:dyDescent="0.2">
      <c r="A826" s="13">
        <v>101035</v>
      </c>
      <c r="B826" s="5">
        <v>45371</v>
      </c>
      <c r="C826" s="5" t="str">
        <f t="shared" si="24"/>
        <v>Mar</v>
      </c>
      <c r="D826" s="2" t="s">
        <v>1069</v>
      </c>
      <c r="E826" s="2" t="s">
        <v>27</v>
      </c>
      <c r="F826" s="2" t="s">
        <v>133</v>
      </c>
      <c r="G826" s="2" t="s">
        <v>15</v>
      </c>
      <c r="H826" s="2" t="s">
        <v>116</v>
      </c>
      <c r="I826" s="13">
        <v>-1</v>
      </c>
      <c r="J826" s="10">
        <v>6340.17</v>
      </c>
      <c r="K826" s="10">
        <f t="shared" si="25"/>
        <v>-6340.17</v>
      </c>
      <c r="L826" s="2">
        <v>0</v>
      </c>
      <c r="M826" s="2" t="s">
        <v>29</v>
      </c>
      <c r="N826" s="2" t="s">
        <v>25</v>
      </c>
    </row>
    <row r="827" spans="1:14" x14ac:dyDescent="0.2">
      <c r="A827" s="13">
        <v>101771</v>
      </c>
      <c r="B827" s="5">
        <v>45306</v>
      </c>
      <c r="C827" s="5" t="str">
        <f t="shared" si="24"/>
        <v>Jan</v>
      </c>
      <c r="D827" s="2" t="s">
        <v>653</v>
      </c>
      <c r="E827" s="2" t="s">
        <v>61</v>
      </c>
      <c r="F827" s="2" t="s">
        <v>119</v>
      </c>
      <c r="G827" s="2" t="s">
        <v>33</v>
      </c>
      <c r="H827" s="2" t="s">
        <v>34</v>
      </c>
      <c r="I827" s="13">
        <v>11</v>
      </c>
      <c r="J827" s="10">
        <v>504.58</v>
      </c>
      <c r="K827" s="10">
        <f t="shared" si="25"/>
        <v>5550.38</v>
      </c>
      <c r="L827" s="2">
        <v>0</v>
      </c>
      <c r="M827" s="2" t="s">
        <v>29</v>
      </c>
      <c r="N827" s="2" t="s">
        <v>18</v>
      </c>
    </row>
    <row r="828" spans="1:14" x14ac:dyDescent="0.2">
      <c r="A828" s="13">
        <v>101319</v>
      </c>
      <c r="B828" s="5">
        <v>45417</v>
      </c>
      <c r="C828" s="5" t="str">
        <f t="shared" si="24"/>
        <v>May</v>
      </c>
      <c r="D828" s="2" t="s">
        <v>343</v>
      </c>
      <c r="E828" s="2" t="s">
        <v>61</v>
      </c>
      <c r="F828" s="2" t="s">
        <v>14</v>
      </c>
      <c r="G828" s="2" t="s">
        <v>50</v>
      </c>
      <c r="H828" s="2" t="s">
        <v>51</v>
      </c>
      <c r="I828" s="13">
        <v>5</v>
      </c>
      <c r="J828" s="10">
        <v>4240.08</v>
      </c>
      <c r="K828" s="10">
        <f t="shared" si="25"/>
        <v>21200.400000000001</v>
      </c>
      <c r="L828" s="2">
        <v>0.1</v>
      </c>
      <c r="M828" s="2" t="s">
        <v>83</v>
      </c>
      <c r="N828" s="2" t="s">
        <v>143</v>
      </c>
    </row>
    <row r="829" spans="1:14" x14ac:dyDescent="0.2">
      <c r="A829" s="13">
        <v>101611</v>
      </c>
      <c r="B829" s="5">
        <v>45536</v>
      </c>
      <c r="C829" s="5" t="str">
        <f t="shared" si="24"/>
        <v>Sep</v>
      </c>
      <c r="D829" s="2" t="s">
        <v>72</v>
      </c>
      <c r="E829" s="2" t="s">
        <v>37</v>
      </c>
      <c r="F829" s="2" t="s">
        <v>38</v>
      </c>
      <c r="G829" s="2" t="s">
        <v>64</v>
      </c>
      <c r="H829" s="2" t="s">
        <v>292</v>
      </c>
      <c r="I829" s="13">
        <v>4</v>
      </c>
      <c r="J829" s="10">
        <v>877.52</v>
      </c>
      <c r="K829" s="10">
        <f t="shared" si="25"/>
        <v>3510.08</v>
      </c>
      <c r="L829" s="2">
        <v>0.2</v>
      </c>
      <c r="M829" s="2" t="s">
        <v>24</v>
      </c>
      <c r="N829" s="2" t="s">
        <v>18</v>
      </c>
    </row>
    <row r="830" spans="1:14" x14ac:dyDescent="0.2">
      <c r="A830" s="13">
        <v>101352</v>
      </c>
      <c r="B830" s="5">
        <v>45433</v>
      </c>
      <c r="C830" s="5" t="str">
        <f t="shared" si="24"/>
        <v>May</v>
      </c>
      <c r="D830" s="2" t="s">
        <v>922</v>
      </c>
      <c r="E830" s="2" t="s">
        <v>31</v>
      </c>
      <c r="F830" s="2" t="s">
        <v>32</v>
      </c>
      <c r="G830" s="2" t="s">
        <v>15</v>
      </c>
      <c r="H830" s="2" t="s">
        <v>16</v>
      </c>
      <c r="I830" s="13">
        <v>11</v>
      </c>
      <c r="J830" s="10">
        <v>16659.54</v>
      </c>
      <c r="K830" s="10">
        <f t="shared" si="25"/>
        <v>183254.94</v>
      </c>
      <c r="L830" s="2">
        <v>0.2</v>
      </c>
      <c r="M830" s="2" t="s">
        <v>17</v>
      </c>
      <c r="N830" s="2" t="s">
        <v>121</v>
      </c>
    </row>
    <row r="831" spans="1:14" x14ac:dyDescent="0.2">
      <c r="A831" s="13">
        <v>101216</v>
      </c>
      <c r="B831" s="5">
        <v>45609</v>
      </c>
      <c r="C831" s="5" t="str">
        <f t="shared" si="24"/>
        <v>Nov</v>
      </c>
      <c r="D831" s="2" t="s">
        <v>262</v>
      </c>
      <c r="E831" s="2" t="s">
        <v>27</v>
      </c>
      <c r="F831" s="2" t="s">
        <v>133</v>
      </c>
      <c r="G831" s="2" t="s">
        <v>22</v>
      </c>
      <c r="H831" s="2" t="s">
        <v>75</v>
      </c>
      <c r="I831" s="13">
        <v>1</v>
      </c>
      <c r="J831" s="10">
        <v>3330.09</v>
      </c>
      <c r="K831" s="10">
        <f t="shared" si="25"/>
        <v>3330.09</v>
      </c>
      <c r="L831" s="2">
        <v>0</v>
      </c>
      <c r="M831" s="2" t="s">
        <v>24</v>
      </c>
      <c r="N831" s="2" t="s">
        <v>52</v>
      </c>
    </row>
    <row r="832" spans="1:14" x14ac:dyDescent="0.2">
      <c r="A832" s="13">
        <v>101854</v>
      </c>
      <c r="B832" s="5">
        <v>45480</v>
      </c>
      <c r="C832" s="5" t="str">
        <f t="shared" si="24"/>
        <v>Jul</v>
      </c>
      <c r="D832" s="2" t="s">
        <v>738</v>
      </c>
      <c r="E832" s="2" t="s">
        <v>37</v>
      </c>
      <c r="F832" s="2" t="s">
        <v>38</v>
      </c>
      <c r="G832" s="2" t="s">
        <v>22</v>
      </c>
      <c r="H832" s="2" t="s">
        <v>232</v>
      </c>
      <c r="I832" s="13">
        <v>12</v>
      </c>
      <c r="J832" s="10">
        <v>1899.69</v>
      </c>
      <c r="K832" s="10">
        <f t="shared" si="25"/>
        <v>22796.28</v>
      </c>
      <c r="L832" s="2">
        <v>0.2</v>
      </c>
      <c r="M832" s="2" t="s">
        <v>83</v>
      </c>
      <c r="N832" s="2" t="s">
        <v>87</v>
      </c>
    </row>
    <row r="833" spans="1:14" x14ac:dyDescent="0.2">
      <c r="A833" s="13">
        <v>101894</v>
      </c>
      <c r="B833" s="5">
        <v>45591</v>
      </c>
      <c r="C833" s="5" t="str">
        <f t="shared" si="24"/>
        <v>Oct</v>
      </c>
      <c r="D833" s="2" t="s">
        <v>705</v>
      </c>
      <c r="E833" s="2" t="s">
        <v>140</v>
      </c>
      <c r="F833" s="2" t="s">
        <v>79</v>
      </c>
      <c r="G833" s="2" t="s">
        <v>64</v>
      </c>
      <c r="H833" s="2" t="s">
        <v>165</v>
      </c>
      <c r="I833" s="13">
        <v>11</v>
      </c>
      <c r="J833" s="10">
        <v>873.26</v>
      </c>
      <c r="K833" s="10">
        <f t="shared" si="25"/>
        <v>9605.86</v>
      </c>
      <c r="L833" s="2">
        <v>0.2</v>
      </c>
      <c r="M833" s="2" t="s">
        <v>17</v>
      </c>
      <c r="N833" s="2" t="s">
        <v>35</v>
      </c>
    </row>
    <row r="834" spans="1:14" x14ac:dyDescent="0.2">
      <c r="A834" s="13">
        <v>100049</v>
      </c>
      <c r="B834" s="5">
        <v>45629</v>
      </c>
      <c r="C834" s="5" t="str">
        <f t="shared" ref="C834:C897" si="26">TEXT(B834,"mmm")</f>
        <v>Dec</v>
      </c>
      <c r="D834" s="2" t="s">
        <v>561</v>
      </c>
      <c r="E834" s="2" t="s">
        <v>31</v>
      </c>
      <c r="F834" s="2" t="s">
        <v>32</v>
      </c>
      <c r="G834" s="2" t="s">
        <v>50</v>
      </c>
      <c r="H834" s="2" t="s">
        <v>62</v>
      </c>
      <c r="I834" s="13">
        <v>-3</v>
      </c>
      <c r="J834" s="10">
        <v>11636.69</v>
      </c>
      <c r="K834" s="10">
        <f t="shared" ref="K834:K897" si="27">I834*J834</f>
        <v>-34910.07</v>
      </c>
      <c r="L834" s="2">
        <v>0.15</v>
      </c>
      <c r="M834" s="2" t="s">
        <v>41</v>
      </c>
      <c r="N834" s="2" t="s">
        <v>18</v>
      </c>
    </row>
    <row r="835" spans="1:14" x14ac:dyDescent="0.2">
      <c r="A835" s="13">
        <v>101341</v>
      </c>
      <c r="B835" s="5">
        <v>45356</v>
      </c>
      <c r="C835" s="5" t="str">
        <f t="shared" si="26"/>
        <v>Mar</v>
      </c>
      <c r="D835" s="2" t="s">
        <v>659</v>
      </c>
      <c r="E835" s="2" t="s">
        <v>27</v>
      </c>
      <c r="F835" s="2" t="s">
        <v>21</v>
      </c>
      <c r="G835" s="2" t="s">
        <v>33</v>
      </c>
      <c r="H835" s="2" t="s">
        <v>34</v>
      </c>
      <c r="I835" s="13">
        <v>6</v>
      </c>
      <c r="J835" s="10">
        <v>76.89</v>
      </c>
      <c r="K835" s="10">
        <f t="shared" si="27"/>
        <v>461.34000000000003</v>
      </c>
      <c r="L835" s="2">
        <v>0.1</v>
      </c>
      <c r="M835" s="2" t="s">
        <v>24</v>
      </c>
      <c r="N835" s="2" t="s">
        <v>18</v>
      </c>
    </row>
    <row r="836" spans="1:14" x14ac:dyDescent="0.2">
      <c r="A836" s="13">
        <v>101875</v>
      </c>
      <c r="B836" s="5">
        <v>45549</v>
      </c>
      <c r="C836" s="5" t="str">
        <f t="shared" si="26"/>
        <v>Sep</v>
      </c>
      <c r="D836" s="2" t="s">
        <v>246</v>
      </c>
      <c r="E836" s="2" t="s">
        <v>31</v>
      </c>
      <c r="F836" s="2" t="s">
        <v>54</v>
      </c>
      <c r="G836" s="2" t="s">
        <v>22</v>
      </c>
      <c r="H836" s="2" t="s">
        <v>141</v>
      </c>
      <c r="I836" s="13">
        <v>10</v>
      </c>
      <c r="J836" s="10">
        <v>1281.5899999999999</v>
      </c>
      <c r="K836" s="10">
        <f t="shared" si="27"/>
        <v>12815.9</v>
      </c>
      <c r="L836" s="2">
        <v>0</v>
      </c>
      <c r="M836" s="2" t="s">
        <v>41</v>
      </c>
      <c r="N836" s="2" t="s">
        <v>25</v>
      </c>
    </row>
    <row r="837" spans="1:14" x14ac:dyDescent="0.2">
      <c r="A837" s="13">
        <v>100468</v>
      </c>
      <c r="B837" s="5">
        <v>45493</v>
      </c>
      <c r="C837" s="5" t="str">
        <f t="shared" si="26"/>
        <v>Jul</v>
      </c>
      <c r="D837" s="2" t="s">
        <v>739</v>
      </c>
      <c r="E837" s="2" t="s">
        <v>31</v>
      </c>
      <c r="F837" s="2" t="s">
        <v>54</v>
      </c>
      <c r="G837" s="2" t="s">
        <v>33</v>
      </c>
      <c r="H837" s="2" t="s">
        <v>34</v>
      </c>
      <c r="I837" s="13">
        <v>-2</v>
      </c>
      <c r="J837" s="10">
        <v>597.36</v>
      </c>
      <c r="K837" s="10">
        <f t="shared" si="27"/>
        <v>-1194.72</v>
      </c>
      <c r="L837" s="2">
        <v>0</v>
      </c>
      <c r="M837" s="2" t="s">
        <v>17</v>
      </c>
      <c r="N837" s="2" t="s">
        <v>42</v>
      </c>
    </row>
    <row r="838" spans="1:14" x14ac:dyDescent="0.2">
      <c r="A838" s="13">
        <v>100154</v>
      </c>
      <c r="B838" s="5">
        <v>45480</v>
      </c>
      <c r="C838" s="5" t="str">
        <f t="shared" si="26"/>
        <v>Jul</v>
      </c>
      <c r="D838" s="2" t="s">
        <v>740</v>
      </c>
      <c r="E838" s="2" t="s">
        <v>61</v>
      </c>
      <c r="F838" s="2" t="s">
        <v>119</v>
      </c>
      <c r="G838" s="2" t="s">
        <v>45</v>
      </c>
      <c r="H838" s="2" t="s">
        <v>153</v>
      </c>
      <c r="I838" s="13">
        <v>12</v>
      </c>
      <c r="J838" s="10">
        <v>10441.450000000001</v>
      </c>
      <c r="K838" s="10">
        <f t="shared" si="27"/>
        <v>125297.40000000001</v>
      </c>
      <c r="L838" s="2">
        <v>0</v>
      </c>
      <c r="M838" s="2" t="s">
        <v>24</v>
      </c>
      <c r="N838" s="2" t="s">
        <v>87</v>
      </c>
    </row>
    <row r="839" spans="1:14" x14ac:dyDescent="0.2">
      <c r="A839" s="13">
        <v>101587</v>
      </c>
      <c r="B839" s="5">
        <v>45510</v>
      </c>
      <c r="C839" s="5" t="str">
        <f t="shared" si="26"/>
        <v>Aug</v>
      </c>
      <c r="D839" s="2" t="s">
        <v>344</v>
      </c>
      <c r="E839" s="2" t="s">
        <v>140</v>
      </c>
      <c r="F839" s="2" t="s">
        <v>49</v>
      </c>
      <c r="G839" s="2" t="s">
        <v>33</v>
      </c>
      <c r="H839" s="2" t="s">
        <v>93</v>
      </c>
      <c r="I839" s="13">
        <v>4</v>
      </c>
      <c r="J839" s="10">
        <v>178.85</v>
      </c>
      <c r="K839" s="10">
        <f t="shared" si="27"/>
        <v>715.4</v>
      </c>
      <c r="L839" s="2">
        <v>0</v>
      </c>
      <c r="M839" s="2" t="s">
        <v>83</v>
      </c>
      <c r="N839" s="2" t="s">
        <v>52</v>
      </c>
    </row>
    <row r="840" spans="1:14" x14ac:dyDescent="0.2">
      <c r="A840" s="13">
        <v>101895</v>
      </c>
      <c r="B840" s="5">
        <v>45628</v>
      </c>
      <c r="C840" s="5" t="str">
        <f t="shared" si="26"/>
        <v>Dec</v>
      </c>
      <c r="D840" s="2" t="s">
        <v>328</v>
      </c>
      <c r="E840" s="2" t="s">
        <v>61</v>
      </c>
      <c r="F840" s="2" t="s">
        <v>14</v>
      </c>
      <c r="G840" s="2" t="s">
        <v>106</v>
      </c>
      <c r="H840" s="2" t="s">
        <v>103</v>
      </c>
      <c r="I840" s="13">
        <v>9</v>
      </c>
      <c r="J840" s="10">
        <v>3813.96</v>
      </c>
      <c r="K840" s="10">
        <f t="shared" si="27"/>
        <v>34325.64</v>
      </c>
      <c r="L840" s="2">
        <v>0.2</v>
      </c>
      <c r="M840" s="2" t="s">
        <v>24</v>
      </c>
      <c r="N840" s="2" t="s">
        <v>52</v>
      </c>
    </row>
    <row r="841" spans="1:14" x14ac:dyDescent="0.2">
      <c r="A841" s="13">
        <v>100395</v>
      </c>
      <c r="B841" s="5">
        <v>45377</v>
      </c>
      <c r="C841" s="5" t="str">
        <f t="shared" si="26"/>
        <v>Mar</v>
      </c>
      <c r="D841" s="2" t="s">
        <v>742</v>
      </c>
      <c r="E841" s="2" t="s">
        <v>61</v>
      </c>
      <c r="F841" s="2" t="s">
        <v>119</v>
      </c>
      <c r="G841" s="2" t="s">
        <v>106</v>
      </c>
      <c r="H841" s="2" t="s">
        <v>103</v>
      </c>
      <c r="I841" s="13">
        <v>-3</v>
      </c>
      <c r="J841" s="10">
        <v>983.22</v>
      </c>
      <c r="K841" s="10">
        <f t="shared" si="27"/>
        <v>-2949.66</v>
      </c>
      <c r="L841" s="2">
        <v>0.2</v>
      </c>
      <c r="M841" s="2" t="s">
        <v>17</v>
      </c>
      <c r="N841" s="2" t="s">
        <v>25</v>
      </c>
    </row>
    <row r="842" spans="1:14" x14ac:dyDescent="0.2">
      <c r="A842" s="13">
        <v>100124</v>
      </c>
      <c r="B842" s="5">
        <v>45542</v>
      </c>
      <c r="C842" s="5" t="str">
        <f t="shared" si="26"/>
        <v>Sep</v>
      </c>
      <c r="D842" s="2" t="s">
        <v>142</v>
      </c>
      <c r="E842" s="2" t="s">
        <v>61</v>
      </c>
      <c r="F842" s="2" t="s">
        <v>14</v>
      </c>
      <c r="G842" s="2" t="s">
        <v>45</v>
      </c>
      <c r="H842" s="2" t="s">
        <v>46</v>
      </c>
      <c r="I842" s="13">
        <v>11</v>
      </c>
      <c r="J842" s="10">
        <v>9988.09</v>
      </c>
      <c r="K842" s="10">
        <f t="shared" si="27"/>
        <v>109868.99</v>
      </c>
      <c r="L842" s="2">
        <v>0.2</v>
      </c>
      <c r="M842" s="2" t="s">
        <v>41</v>
      </c>
      <c r="N842" s="2" t="s">
        <v>52</v>
      </c>
    </row>
    <row r="843" spans="1:14" x14ac:dyDescent="0.2">
      <c r="A843" s="13">
        <v>100356</v>
      </c>
      <c r="B843" s="5">
        <v>45459</v>
      </c>
      <c r="C843" s="5" t="str">
        <f t="shared" si="26"/>
        <v>Jun</v>
      </c>
      <c r="D843" s="2" t="s">
        <v>385</v>
      </c>
      <c r="E843" s="2" t="s">
        <v>27</v>
      </c>
      <c r="F843" s="2" t="s">
        <v>21</v>
      </c>
      <c r="G843" s="2" t="s">
        <v>64</v>
      </c>
      <c r="H843" s="2" t="s">
        <v>165</v>
      </c>
      <c r="I843" s="13">
        <v>7</v>
      </c>
      <c r="J843" s="10">
        <v>625.29999999999995</v>
      </c>
      <c r="K843" s="10">
        <f t="shared" si="27"/>
        <v>4377.0999999999995</v>
      </c>
      <c r="L843" s="2">
        <v>0.2</v>
      </c>
      <c r="M843" s="2" t="s">
        <v>29</v>
      </c>
      <c r="N843" s="2" t="s">
        <v>35</v>
      </c>
    </row>
    <row r="844" spans="1:14" x14ac:dyDescent="0.2">
      <c r="A844" s="13">
        <v>100135</v>
      </c>
      <c r="B844" s="5">
        <v>45479</v>
      </c>
      <c r="C844" s="5" t="str">
        <f t="shared" si="26"/>
        <v>Jul</v>
      </c>
      <c r="D844" s="2" t="s">
        <v>743</v>
      </c>
      <c r="E844" s="2" t="s">
        <v>31</v>
      </c>
      <c r="F844" s="2" t="s">
        <v>54</v>
      </c>
      <c r="G844" s="2" t="s">
        <v>64</v>
      </c>
      <c r="H844" s="2" t="s">
        <v>40</v>
      </c>
      <c r="I844" s="13">
        <v>5</v>
      </c>
      <c r="J844" s="10">
        <v>120.06</v>
      </c>
      <c r="K844" s="10">
        <f t="shared" si="27"/>
        <v>600.29999999999995</v>
      </c>
      <c r="L844" s="2">
        <v>0.05</v>
      </c>
      <c r="M844" s="2" t="s">
        <v>17</v>
      </c>
      <c r="N844" s="2" t="s">
        <v>143</v>
      </c>
    </row>
    <row r="845" spans="1:14" x14ac:dyDescent="0.2">
      <c r="A845" s="13">
        <v>100269</v>
      </c>
      <c r="B845" s="5">
        <v>45603</v>
      </c>
      <c r="C845" s="5" t="str">
        <f t="shared" si="26"/>
        <v>Nov</v>
      </c>
      <c r="D845" s="2" t="s">
        <v>744</v>
      </c>
      <c r="E845" s="2" t="s">
        <v>61</v>
      </c>
      <c r="F845" s="2" t="s">
        <v>14</v>
      </c>
      <c r="G845" s="2" t="s">
        <v>22</v>
      </c>
      <c r="H845" s="2" t="s">
        <v>232</v>
      </c>
      <c r="I845" s="13">
        <v>8</v>
      </c>
      <c r="J845" s="10">
        <v>1716.79</v>
      </c>
      <c r="K845" s="10">
        <f t="shared" si="27"/>
        <v>13734.32</v>
      </c>
      <c r="L845" s="2">
        <v>0.1</v>
      </c>
      <c r="M845" s="2" t="s">
        <v>66</v>
      </c>
      <c r="N845" s="2" t="s">
        <v>35</v>
      </c>
    </row>
    <row r="846" spans="1:14" x14ac:dyDescent="0.2">
      <c r="A846" s="13">
        <v>100386</v>
      </c>
      <c r="B846" s="5">
        <v>45657</v>
      </c>
      <c r="C846" s="5" t="str">
        <f t="shared" si="26"/>
        <v>Dec</v>
      </c>
      <c r="D846" s="2" t="s">
        <v>724</v>
      </c>
      <c r="E846" s="2" t="s">
        <v>27</v>
      </c>
      <c r="F846" s="2" t="s">
        <v>133</v>
      </c>
      <c r="G846" s="2" t="s">
        <v>33</v>
      </c>
      <c r="H846" s="2" t="s">
        <v>81</v>
      </c>
      <c r="I846" s="13">
        <v>1</v>
      </c>
      <c r="J846" s="10">
        <v>215.87</v>
      </c>
      <c r="K846" s="10">
        <f t="shared" si="27"/>
        <v>215.87</v>
      </c>
      <c r="L846" s="2">
        <v>0.15</v>
      </c>
      <c r="M846" s="2" t="s">
        <v>24</v>
      </c>
      <c r="N846" s="2" t="s">
        <v>87</v>
      </c>
    </row>
    <row r="847" spans="1:14" x14ac:dyDescent="0.2">
      <c r="A847" s="13">
        <v>100610</v>
      </c>
      <c r="B847" s="5">
        <v>45572</v>
      </c>
      <c r="C847" s="5" t="str">
        <f t="shared" si="26"/>
        <v>Oct</v>
      </c>
      <c r="D847" s="2" t="s">
        <v>474</v>
      </c>
      <c r="E847" s="2" t="s">
        <v>31</v>
      </c>
      <c r="F847" s="2" t="s">
        <v>32</v>
      </c>
      <c r="G847" s="2" t="s">
        <v>50</v>
      </c>
      <c r="H847" s="2" t="s">
        <v>99</v>
      </c>
      <c r="I847" s="13">
        <v>11</v>
      </c>
      <c r="J847" s="10">
        <v>10942.52</v>
      </c>
      <c r="K847" s="10">
        <f t="shared" si="27"/>
        <v>120367.72</v>
      </c>
      <c r="L847" s="2">
        <v>0</v>
      </c>
      <c r="M847" s="2" t="s">
        <v>29</v>
      </c>
      <c r="N847" s="2" t="s">
        <v>52</v>
      </c>
    </row>
    <row r="848" spans="1:14" x14ac:dyDescent="0.2">
      <c r="A848" s="13">
        <v>100221</v>
      </c>
      <c r="B848" s="5">
        <v>45502</v>
      </c>
      <c r="C848" s="5" t="str">
        <f t="shared" si="26"/>
        <v>Jul</v>
      </c>
      <c r="D848" s="2" t="s">
        <v>272</v>
      </c>
      <c r="E848" s="2" t="s">
        <v>140</v>
      </c>
      <c r="F848" s="2" t="s">
        <v>79</v>
      </c>
      <c r="G848" s="2" t="s">
        <v>22</v>
      </c>
      <c r="H848" s="2" t="s">
        <v>75</v>
      </c>
      <c r="I848" s="13">
        <v>8</v>
      </c>
      <c r="J848" s="10">
        <v>2058.81</v>
      </c>
      <c r="K848" s="10">
        <f t="shared" si="27"/>
        <v>16470.48</v>
      </c>
      <c r="L848" s="2">
        <v>0.1</v>
      </c>
      <c r="M848" s="2" t="s">
        <v>17</v>
      </c>
      <c r="N848" s="2" t="s">
        <v>121</v>
      </c>
    </row>
    <row r="849" spans="1:14" x14ac:dyDescent="0.2">
      <c r="A849" s="13">
        <v>100042</v>
      </c>
      <c r="B849" s="5">
        <v>45408</v>
      </c>
      <c r="C849" s="5" t="str">
        <f t="shared" si="26"/>
        <v>Apr</v>
      </c>
      <c r="D849" s="2" t="s">
        <v>377</v>
      </c>
      <c r="E849" s="2" t="s">
        <v>61</v>
      </c>
      <c r="F849" s="2" t="s">
        <v>119</v>
      </c>
      <c r="G849" s="2" t="s">
        <v>64</v>
      </c>
      <c r="H849" s="2" t="s">
        <v>40</v>
      </c>
      <c r="I849" s="13">
        <v>8</v>
      </c>
      <c r="J849" s="10">
        <v>343.36</v>
      </c>
      <c r="K849" s="10">
        <f t="shared" si="27"/>
        <v>2746.88</v>
      </c>
      <c r="L849" s="2">
        <v>0.05</v>
      </c>
      <c r="M849" s="2" t="s">
        <v>24</v>
      </c>
      <c r="N849" s="2" t="s">
        <v>121</v>
      </c>
    </row>
    <row r="850" spans="1:14" x14ac:dyDescent="0.2">
      <c r="A850" s="13">
        <v>100220</v>
      </c>
      <c r="B850" s="5">
        <v>45399</v>
      </c>
      <c r="C850" s="5" t="str">
        <f t="shared" si="26"/>
        <v>Apr</v>
      </c>
      <c r="D850" s="2" t="s">
        <v>346</v>
      </c>
      <c r="E850" s="2" t="s">
        <v>61</v>
      </c>
      <c r="F850" s="2" t="s">
        <v>14</v>
      </c>
      <c r="G850" s="2" t="s">
        <v>15</v>
      </c>
      <c r="H850" s="2" t="s">
        <v>16</v>
      </c>
      <c r="I850" s="13">
        <v>11</v>
      </c>
      <c r="J850" s="10">
        <v>6071.84</v>
      </c>
      <c r="K850" s="10">
        <f t="shared" si="27"/>
        <v>66790.240000000005</v>
      </c>
      <c r="L850" s="2">
        <v>0.1</v>
      </c>
      <c r="M850" s="2" t="s">
        <v>83</v>
      </c>
      <c r="N850" s="2" t="s">
        <v>143</v>
      </c>
    </row>
    <row r="851" spans="1:14" x14ac:dyDescent="0.2">
      <c r="A851" s="13">
        <v>100598</v>
      </c>
      <c r="B851" s="5">
        <v>45440</v>
      </c>
      <c r="C851" s="5" t="str">
        <f t="shared" si="26"/>
        <v>May</v>
      </c>
      <c r="D851" s="2" t="s">
        <v>197</v>
      </c>
      <c r="E851" s="2" t="s">
        <v>31</v>
      </c>
      <c r="F851" s="2" t="s">
        <v>54</v>
      </c>
      <c r="G851" s="2" t="s">
        <v>33</v>
      </c>
      <c r="H851" s="2" t="s">
        <v>34</v>
      </c>
      <c r="I851" s="13">
        <v>3</v>
      </c>
      <c r="J851" s="10">
        <v>110.22</v>
      </c>
      <c r="K851" s="10">
        <f t="shared" si="27"/>
        <v>330.65999999999997</v>
      </c>
      <c r="L851" s="2">
        <v>0</v>
      </c>
      <c r="M851" s="2" t="s">
        <v>17</v>
      </c>
      <c r="N851" s="2" t="s">
        <v>121</v>
      </c>
    </row>
    <row r="852" spans="1:14" x14ac:dyDescent="0.2">
      <c r="A852" s="13">
        <v>101272</v>
      </c>
      <c r="B852" s="5">
        <v>45593</v>
      </c>
      <c r="C852" s="5" t="str">
        <f t="shared" si="26"/>
        <v>Oct</v>
      </c>
      <c r="D852" s="2" t="s">
        <v>218</v>
      </c>
      <c r="E852" s="2" t="s">
        <v>140</v>
      </c>
      <c r="F852" s="2" t="s">
        <v>79</v>
      </c>
      <c r="G852" s="2" t="s">
        <v>50</v>
      </c>
      <c r="H852" s="2" t="s">
        <v>207</v>
      </c>
      <c r="I852" s="13">
        <v>7</v>
      </c>
      <c r="J852" s="10">
        <v>0</v>
      </c>
      <c r="K852" s="10">
        <f t="shared" si="27"/>
        <v>0</v>
      </c>
      <c r="L852" s="2">
        <v>0</v>
      </c>
      <c r="M852" s="2" t="s">
        <v>83</v>
      </c>
      <c r="N852" s="2" t="s">
        <v>25</v>
      </c>
    </row>
    <row r="853" spans="1:14" x14ac:dyDescent="0.2">
      <c r="A853" s="13">
        <v>101261</v>
      </c>
      <c r="B853" s="5">
        <v>45357</v>
      </c>
      <c r="C853" s="5" t="str">
        <f t="shared" si="26"/>
        <v>Mar</v>
      </c>
      <c r="D853" s="2" t="s">
        <v>301</v>
      </c>
      <c r="E853" s="2" t="s">
        <v>37</v>
      </c>
      <c r="F853" s="2" t="s">
        <v>69</v>
      </c>
      <c r="G853" s="2" t="s">
        <v>106</v>
      </c>
      <c r="H853" s="2" t="s">
        <v>103</v>
      </c>
      <c r="I853" s="13">
        <v>8</v>
      </c>
      <c r="J853" s="10">
        <v>2119.4299999999998</v>
      </c>
      <c r="K853" s="10">
        <f t="shared" si="27"/>
        <v>16955.439999999999</v>
      </c>
      <c r="L853" s="2">
        <v>0.05</v>
      </c>
      <c r="M853" s="2" t="s">
        <v>17</v>
      </c>
      <c r="N853" s="2" t="s">
        <v>52</v>
      </c>
    </row>
    <row r="854" spans="1:14" x14ac:dyDescent="0.2">
      <c r="A854" s="13">
        <v>100681</v>
      </c>
      <c r="B854" s="5">
        <v>45654</v>
      </c>
      <c r="C854" s="5" t="str">
        <f t="shared" si="26"/>
        <v>Dec</v>
      </c>
      <c r="D854" s="2" t="s">
        <v>730</v>
      </c>
      <c r="E854" s="2" t="s">
        <v>27</v>
      </c>
      <c r="F854" s="2" t="s">
        <v>21</v>
      </c>
      <c r="G854" s="2" t="s">
        <v>15</v>
      </c>
      <c r="H854" s="2" t="s">
        <v>116</v>
      </c>
      <c r="I854" s="13">
        <v>9</v>
      </c>
      <c r="J854" s="10">
        <v>13000.34</v>
      </c>
      <c r="K854" s="10">
        <f t="shared" si="27"/>
        <v>117003.06</v>
      </c>
      <c r="L854" s="2">
        <v>0</v>
      </c>
      <c r="M854" s="2" t="s">
        <v>41</v>
      </c>
      <c r="N854" s="2" t="s">
        <v>121</v>
      </c>
    </row>
    <row r="855" spans="1:14" x14ac:dyDescent="0.2">
      <c r="A855" s="13">
        <v>101096</v>
      </c>
      <c r="B855" s="5">
        <v>45617</v>
      </c>
      <c r="C855" s="5" t="str">
        <f t="shared" si="26"/>
        <v>Nov</v>
      </c>
      <c r="D855" s="2" t="s">
        <v>212</v>
      </c>
      <c r="E855" s="2" t="s">
        <v>31</v>
      </c>
      <c r="F855" s="2" t="s">
        <v>54</v>
      </c>
      <c r="G855" s="2" t="s">
        <v>106</v>
      </c>
      <c r="H855" s="2" t="s">
        <v>135</v>
      </c>
      <c r="I855" s="13">
        <v>2</v>
      </c>
      <c r="J855" s="10">
        <v>1760.25</v>
      </c>
      <c r="K855" s="10">
        <f t="shared" si="27"/>
        <v>3520.5</v>
      </c>
      <c r="L855" s="2">
        <v>0.25</v>
      </c>
      <c r="M855" s="2" t="s">
        <v>29</v>
      </c>
      <c r="N855" s="2" t="s">
        <v>25</v>
      </c>
    </row>
    <row r="856" spans="1:14" x14ac:dyDescent="0.2">
      <c r="A856" s="13">
        <v>101928</v>
      </c>
      <c r="B856" s="5">
        <v>45325</v>
      </c>
      <c r="C856" s="5" t="str">
        <f t="shared" si="26"/>
        <v>Feb</v>
      </c>
      <c r="D856" s="2" t="s">
        <v>748</v>
      </c>
      <c r="E856" s="2" t="s">
        <v>61</v>
      </c>
      <c r="F856" s="2" t="s">
        <v>14</v>
      </c>
      <c r="G856" s="2" t="s">
        <v>106</v>
      </c>
      <c r="H856" s="2" t="s">
        <v>137</v>
      </c>
      <c r="I856" s="13">
        <v>7</v>
      </c>
      <c r="J856" s="10">
        <v>2622.55</v>
      </c>
      <c r="K856" s="10">
        <f t="shared" si="27"/>
        <v>18357.850000000002</v>
      </c>
      <c r="L856" s="2">
        <v>0.05</v>
      </c>
      <c r="M856" s="2" t="s">
        <v>41</v>
      </c>
      <c r="N856" s="2" t="s">
        <v>18</v>
      </c>
    </row>
    <row r="857" spans="1:14" x14ac:dyDescent="0.2">
      <c r="A857" s="13">
        <v>101133</v>
      </c>
      <c r="B857" s="5">
        <v>45514</v>
      </c>
      <c r="C857" s="5" t="str">
        <f t="shared" si="26"/>
        <v>Aug</v>
      </c>
      <c r="D857" s="2" t="s">
        <v>309</v>
      </c>
      <c r="E857" s="2" t="s">
        <v>31</v>
      </c>
      <c r="F857" s="2" t="s">
        <v>32</v>
      </c>
      <c r="G857" s="2" t="s">
        <v>45</v>
      </c>
      <c r="H857" s="2" t="s">
        <v>97</v>
      </c>
      <c r="I857" s="13">
        <v>8</v>
      </c>
      <c r="J857" s="10">
        <v>3744.53</v>
      </c>
      <c r="K857" s="10">
        <f t="shared" si="27"/>
        <v>29956.240000000002</v>
      </c>
      <c r="L857" s="2">
        <v>0.05</v>
      </c>
      <c r="M857" s="2" t="s">
        <v>29</v>
      </c>
      <c r="N857" s="2" t="s">
        <v>87</v>
      </c>
    </row>
    <row r="858" spans="1:14" x14ac:dyDescent="0.2">
      <c r="A858" s="13">
        <v>100542</v>
      </c>
      <c r="B858" s="5">
        <v>45536</v>
      </c>
      <c r="C858" s="5" t="str">
        <f t="shared" si="26"/>
        <v>Sep</v>
      </c>
      <c r="D858" s="2" t="s">
        <v>359</v>
      </c>
      <c r="E858" s="2" t="s">
        <v>27</v>
      </c>
      <c r="F858" s="2" t="s">
        <v>133</v>
      </c>
      <c r="G858" s="2" t="s">
        <v>50</v>
      </c>
      <c r="H858" s="2" t="s">
        <v>207</v>
      </c>
      <c r="I858" s="13">
        <v>9</v>
      </c>
      <c r="J858" s="10">
        <v>10729.08</v>
      </c>
      <c r="K858" s="10">
        <f t="shared" si="27"/>
        <v>96561.72</v>
      </c>
      <c r="L858" s="2">
        <v>0.2</v>
      </c>
      <c r="M858" s="2" t="s">
        <v>83</v>
      </c>
      <c r="N858" s="2" t="s">
        <v>121</v>
      </c>
    </row>
    <row r="859" spans="1:14" x14ac:dyDescent="0.2">
      <c r="A859" s="13">
        <v>101063</v>
      </c>
      <c r="B859" s="5">
        <v>45308</v>
      </c>
      <c r="C859" s="5" t="str">
        <f t="shared" si="26"/>
        <v>Jan</v>
      </c>
      <c r="D859" s="2" t="s">
        <v>749</v>
      </c>
      <c r="E859" s="2" t="s">
        <v>61</v>
      </c>
      <c r="F859" s="2" t="s">
        <v>119</v>
      </c>
      <c r="G859" s="2" t="s">
        <v>15</v>
      </c>
      <c r="H859" s="2" t="s">
        <v>116</v>
      </c>
      <c r="I859" s="13">
        <v>10</v>
      </c>
      <c r="J859" s="10">
        <v>16036.27</v>
      </c>
      <c r="K859" s="10">
        <f t="shared" si="27"/>
        <v>160362.70000000001</v>
      </c>
      <c r="L859" s="2">
        <v>0.05</v>
      </c>
      <c r="M859" s="2" t="s">
        <v>66</v>
      </c>
      <c r="N859" s="2" t="s">
        <v>121</v>
      </c>
    </row>
    <row r="860" spans="1:14" x14ac:dyDescent="0.2">
      <c r="A860" s="13">
        <v>100869</v>
      </c>
      <c r="B860" s="5">
        <v>45579</v>
      </c>
      <c r="C860" s="5" t="str">
        <f t="shared" si="26"/>
        <v>Oct</v>
      </c>
      <c r="D860" s="2" t="s">
        <v>339</v>
      </c>
      <c r="E860" s="2" t="s">
        <v>31</v>
      </c>
      <c r="F860" s="2" t="s">
        <v>32</v>
      </c>
      <c r="G860" s="2" t="s">
        <v>106</v>
      </c>
      <c r="H860" s="2" t="s">
        <v>156</v>
      </c>
      <c r="I860" s="13">
        <v>4</v>
      </c>
      <c r="J860" s="10">
        <v>3145.97</v>
      </c>
      <c r="K860" s="10">
        <f t="shared" si="27"/>
        <v>12583.88</v>
      </c>
      <c r="L860" s="2">
        <v>0</v>
      </c>
      <c r="M860" s="2" t="s">
        <v>17</v>
      </c>
      <c r="N860" s="2" t="s">
        <v>143</v>
      </c>
    </row>
    <row r="861" spans="1:14" x14ac:dyDescent="0.2">
      <c r="A861" s="13">
        <v>101382</v>
      </c>
      <c r="B861" s="5">
        <v>45405</v>
      </c>
      <c r="C861" s="5" t="str">
        <f t="shared" si="26"/>
        <v>Apr</v>
      </c>
      <c r="D861" s="2" t="s">
        <v>513</v>
      </c>
      <c r="E861" s="2" t="s">
        <v>37</v>
      </c>
      <c r="F861" s="2" t="s">
        <v>69</v>
      </c>
      <c r="G861" s="2" t="s">
        <v>50</v>
      </c>
      <c r="H861" s="2" t="s">
        <v>56</v>
      </c>
      <c r="I861" s="13">
        <v>-2</v>
      </c>
      <c r="J861" s="10">
        <v>4475.5200000000004</v>
      </c>
      <c r="K861" s="10">
        <f t="shared" si="27"/>
        <v>-8951.0400000000009</v>
      </c>
      <c r="L861" s="2">
        <v>0.2</v>
      </c>
      <c r="M861" s="2" t="s">
        <v>66</v>
      </c>
      <c r="N861" s="2" t="s">
        <v>52</v>
      </c>
    </row>
    <row r="862" spans="1:14" x14ac:dyDescent="0.2">
      <c r="A862" s="13">
        <v>101902</v>
      </c>
      <c r="B862" s="5">
        <v>45546</v>
      </c>
      <c r="C862" s="5" t="str">
        <f t="shared" si="26"/>
        <v>Sep</v>
      </c>
      <c r="D862" s="2" t="s">
        <v>409</v>
      </c>
      <c r="E862" s="2" t="s">
        <v>140</v>
      </c>
      <c r="F862" s="2" t="s">
        <v>79</v>
      </c>
      <c r="G862" s="2" t="s">
        <v>45</v>
      </c>
      <c r="H862" s="2" t="s">
        <v>71</v>
      </c>
      <c r="I862" s="13">
        <v>7</v>
      </c>
      <c r="J862" s="10">
        <v>13660.32</v>
      </c>
      <c r="K862" s="10">
        <f t="shared" si="27"/>
        <v>95622.239999999991</v>
      </c>
      <c r="L862" s="2">
        <v>0</v>
      </c>
      <c r="M862" s="2" t="s">
        <v>17</v>
      </c>
      <c r="N862" s="2" t="s">
        <v>87</v>
      </c>
    </row>
    <row r="863" spans="1:14" x14ac:dyDescent="0.2">
      <c r="A863" s="13">
        <v>101490</v>
      </c>
      <c r="B863" s="5">
        <v>45538</v>
      </c>
      <c r="C863" s="5" t="str">
        <f t="shared" si="26"/>
        <v>Sep</v>
      </c>
      <c r="D863" s="2" t="s">
        <v>661</v>
      </c>
      <c r="E863" s="2" t="s">
        <v>140</v>
      </c>
      <c r="F863" s="2" t="s">
        <v>79</v>
      </c>
      <c r="G863" s="2" t="s">
        <v>45</v>
      </c>
      <c r="H863" s="2" t="s">
        <v>153</v>
      </c>
      <c r="I863" s="13">
        <v>8</v>
      </c>
      <c r="J863" s="10">
        <v>36310.629999999997</v>
      </c>
      <c r="K863" s="10">
        <f t="shared" si="27"/>
        <v>290485.03999999998</v>
      </c>
      <c r="L863" s="2">
        <v>0.15</v>
      </c>
      <c r="M863" s="2" t="s">
        <v>24</v>
      </c>
      <c r="N863" s="2" t="s">
        <v>35</v>
      </c>
    </row>
    <row r="864" spans="1:14" x14ac:dyDescent="0.2">
      <c r="A864" s="13">
        <v>100937</v>
      </c>
      <c r="B864" s="5">
        <v>45647</v>
      </c>
      <c r="C864" s="5" t="str">
        <f t="shared" si="26"/>
        <v>Dec</v>
      </c>
      <c r="D864" s="2" t="s">
        <v>150</v>
      </c>
      <c r="E864" s="2" t="s">
        <v>27</v>
      </c>
      <c r="F864" s="2" t="s">
        <v>21</v>
      </c>
      <c r="G864" s="2" t="s">
        <v>45</v>
      </c>
      <c r="H864" s="2" t="s">
        <v>153</v>
      </c>
      <c r="I864" s="13">
        <v>2</v>
      </c>
      <c r="J864" s="10">
        <v>40550.449999999997</v>
      </c>
      <c r="K864" s="10">
        <f t="shared" si="27"/>
        <v>81100.899999999994</v>
      </c>
      <c r="L864" s="2">
        <v>0</v>
      </c>
      <c r="M864" s="2" t="s">
        <v>29</v>
      </c>
      <c r="N864" s="2" t="s">
        <v>18</v>
      </c>
    </row>
    <row r="865" spans="1:14" x14ac:dyDescent="0.2">
      <c r="A865" s="13">
        <v>101306</v>
      </c>
      <c r="B865" s="5">
        <v>45381</v>
      </c>
      <c r="C865" s="5" t="str">
        <f t="shared" si="26"/>
        <v>Mar</v>
      </c>
      <c r="D865" s="2" t="s">
        <v>331</v>
      </c>
      <c r="E865" s="2" t="s">
        <v>31</v>
      </c>
      <c r="F865" s="2" t="s">
        <v>54</v>
      </c>
      <c r="G865" s="2" t="s">
        <v>50</v>
      </c>
      <c r="H865" s="2" t="s">
        <v>51</v>
      </c>
      <c r="I865" s="13">
        <v>10</v>
      </c>
      <c r="J865" s="10">
        <v>0</v>
      </c>
      <c r="K865" s="10">
        <f t="shared" si="27"/>
        <v>0</v>
      </c>
      <c r="L865" s="2">
        <v>0</v>
      </c>
      <c r="M865" s="2" t="s">
        <v>24</v>
      </c>
      <c r="N865" s="2" t="s">
        <v>35</v>
      </c>
    </row>
    <row r="866" spans="1:14" x14ac:dyDescent="0.2">
      <c r="A866" s="13">
        <v>101017</v>
      </c>
      <c r="B866" s="5">
        <v>45586</v>
      </c>
      <c r="C866" s="5" t="str">
        <f t="shared" si="26"/>
        <v>Oct</v>
      </c>
      <c r="D866" s="2" t="s">
        <v>341</v>
      </c>
      <c r="E866" s="2" t="s">
        <v>31</v>
      </c>
      <c r="F866" s="2" t="s">
        <v>32</v>
      </c>
      <c r="G866" s="2" t="s">
        <v>15</v>
      </c>
      <c r="H866" s="2" t="s">
        <v>59</v>
      </c>
      <c r="I866" s="13">
        <v>7</v>
      </c>
      <c r="J866" s="10">
        <v>5384.74</v>
      </c>
      <c r="K866" s="10">
        <f t="shared" si="27"/>
        <v>37693.18</v>
      </c>
      <c r="L866" s="2">
        <v>0.05</v>
      </c>
      <c r="M866" s="2" t="s">
        <v>24</v>
      </c>
      <c r="N866" s="2" t="s">
        <v>18</v>
      </c>
    </row>
    <row r="867" spans="1:14" x14ac:dyDescent="0.2">
      <c r="A867" s="13">
        <v>101105</v>
      </c>
      <c r="B867" s="5">
        <v>45653</v>
      </c>
      <c r="C867" s="5" t="str">
        <f t="shared" si="26"/>
        <v>Dec</v>
      </c>
      <c r="D867" s="2" t="s">
        <v>256</v>
      </c>
      <c r="E867" s="2" t="s">
        <v>61</v>
      </c>
      <c r="F867" s="2" t="s">
        <v>119</v>
      </c>
      <c r="G867" s="2" t="s">
        <v>106</v>
      </c>
      <c r="H867" s="2" t="s">
        <v>137</v>
      </c>
      <c r="I867" s="13">
        <v>7</v>
      </c>
      <c r="J867" s="10">
        <v>0</v>
      </c>
      <c r="K867" s="10">
        <f t="shared" si="27"/>
        <v>0</v>
      </c>
      <c r="L867" s="2">
        <v>0.25</v>
      </c>
      <c r="M867" s="2" t="s">
        <v>83</v>
      </c>
      <c r="N867" s="2" t="s">
        <v>87</v>
      </c>
    </row>
    <row r="868" spans="1:14" x14ac:dyDescent="0.2">
      <c r="A868" s="13">
        <v>101596</v>
      </c>
      <c r="B868" s="5">
        <v>45360</v>
      </c>
      <c r="C868" s="5" t="str">
        <f t="shared" si="26"/>
        <v>Mar</v>
      </c>
      <c r="D868" s="2" t="s">
        <v>751</v>
      </c>
      <c r="E868" s="2" t="s">
        <v>140</v>
      </c>
      <c r="F868" s="2" t="s">
        <v>49</v>
      </c>
      <c r="G868" s="2" t="s">
        <v>106</v>
      </c>
      <c r="H868" s="2" t="s">
        <v>135</v>
      </c>
      <c r="I868" s="13">
        <v>8</v>
      </c>
      <c r="J868" s="10">
        <v>4373.2700000000004</v>
      </c>
      <c r="K868" s="10">
        <f t="shared" si="27"/>
        <v>34986.160000000003</v>
      </c>
      <c r="L868" s="2">
        <v>0.1</v>
      </c>
      <c r="M868" s="2" t="s">
        <v>29</v>
      </c>
      <c r="N868" s="2" t="s">
        <v>52</v>
      </c>
    </row>
    <row r="869" spans="1:14" x14ac:dyDescent="0.2">
      <c r="A869" s="13">
        <v>101843</v>
      </c>
      <c r="B869" s="5">
        <v>45591</v>
      </c>
      <c r="C869" s="5" t="str">
        <f t="shared" si="26"/>
        <v>Oct</v>
      </c>
      <c r="D869" s="2" t="s">
        <v>299</v>
      </c>
      <c r="E869" s="2" t="s">
        <v>37</v>
      </c>
      <c r="F869" s="2" t="s">
        <v>69</v>
      </c>
      <c r="G869" s="2" t="s">
        <v>45</v>
      </c>
      <c r="H869" s="2" t="s">
        <v>97</v>
      </c>
      <c r="I869" s="13">
        <v>6</v>
      </c>
      <c r="J869" s="10">
        <v>33669.550000000003</v>
      </c>
      <c r="K869" s="10">
        <f t="shared" si="27"/>
        <v>202017.30000000002</v>
      </c>
      <c r="L869" s="2">
        <v>0</v>
      </c>
      <c r="M869" s="2" t="s">
        <v>29</v>
      </c>
      <c r="N869" s="2" t="s">
        <v>143</v>
      </c>
    </row>
    <row r="870" spans="1:14" x14ac:dyDescent="0.2">
      <c r="A870" s="13">
        <v>101807</v>
      </c>
      <c r="B870" s="5">
        <v>45344</v>
      </c>
      <c r="C870" s="5" t="str">
        <f t="shared" si="26"/>
        <v>Feb</v>
      </c>
      <c r="D870" s="2" t="s">
        <v>301</v>
      </c>
      <c r="E870" s="2" t="s">
        <v>37</v>
      </c>
      <c r="F870" s="2" t="s">
        <v>38</v>
      </c>
      <c r="G870" s="2" t="s">
        <v>50</v>
      </c>
      <c r="H870" s="2" t="s">
        <v>51</v>
      </c>
      <c r="I870" s="13">
        <v>11</v>
      </c>
      <c r="J870" s="10">
        <v>3456.93</v>
      </c>
      <c r="K870" s="10">
        <f t="shared" si="27"/>
        <v>38026.229999999996</v>
      </c>
      <c r="L870" s="2">
        <v>0.2</v>
      </c>
      <c r="M870" s="2" t="s">
        <v>83</v>
      </c>
      <c r="N870" s="2" t="s">
        <v>143</v>
      </c>
    </row>
    <row r="871" spans="1:14" x14ac:dyDescent="0.2">
      <c r="A871" s="13">
        <v>101372</v>
      </c>
      <c r="B871" s="5">
        <v>45604</v>
      </c>
      <c r="C871" s="5" t="str">
        <f t="shared" si="26"/>
        <v>Nov</v>
      </c>
      <c r="D871" s="2" t="s">
        <v>718</v>
      </c>
      <c r="E871" s="2" t="s">
        <v>31</v>
      </c>
      <c r="F871" s="2" t="s">
        <v>32</v>
      </c>
      <c r="G871" s="2" t="s">
        <v>15</v>
      </c>
      <c r="H871" s="2" t="s">
        <v>205</v>
      </c>
      <c r="I871" s="13">
        <v>1</v>
      </c>
      <c r="J871" s="10">
        <v>2859.16</v>
      </c>
      <c r="K871" s="10">
        <f t="shared" si="27"/>
        <v>2859.16</v>
      </c>
      <c r="L871" s="2">
        <v>0.25</v>
      </c>
      <c r="M871" s="2" t="s">
        <v>29</v>
      </c>
      <c r="N871" s="2" t="s">
        <v>143</v>
      </c>
    </row>
    <row r="872" spans="1:14" x14ac:dyDescent="0.2">
      <c r="A872" s="13">
        <v>101842</v>
      </c>
      <c r="B872" s="5">
        <v>45532</v>
      </c>
      <c r="C872" s="5" t="str">
        <f t="shared" si="26"/>
        <v>Aug</v>
      </c>
      <c r="D872" s="2" t="s">
        <v>449</v>
      </c>
      <c r="E872" s="2" t="s">
        <v>61</v>
      </c>
      <c r="F872" s="2" t="s">
        <v>119</v>
      </c>
      <c r="G872" s="2" t="s">
        <v>64</v>
      </c>
      <c r="H872" s="2" t="s">
        <v>40</v>
      </c>
      <c r="I872" s="13">
        <v>11</v>
      </c>
      <c r="J872" s="10">
        <v>366.96</v>
      </c>
      <c r="K872" s="10">
        <f t="shared" si="27"/>
        <v>4036.56</v>
      </c>
      <c r="L872" s="2">
        <v>0</v>
      </c>
      <c r="M872" s="2" t="s">
        <v>17</v>
      </c>
      <c r="N872" s="2" t="s">
        <v>35</v>
      </c>
    </row>
    <row r="873" spans="1:14" x14ac:dyDescent="0.2">
      <c r="A873" s="13">
        <v>101856</v>
      </c>
      <c r="B873" s="5">
        <v>45404</v>
      </c>
      <c r="C873" s="5" t="str">
        <f t="shared" si="26"/>
        <v>Apr</v>
      </c>
      <c r="D873" s="2" t="s">
        <v>783</v>
      </c>
      <c r="E873" s="2" t="s">
        <v>31</v>
      </c>
      <c r="F873" s="2" t="s">
        <v>54</v>
      </c>
      <c r="G873" s="2" t="s">
        <v>22</v>
      </c>
      <c r="H873" s="2" t="s">
        <v>232</v>
      </c>
      <c r="I873" s="13">
        <v>12</v>
      </c>
      <c r="J873" s="10">
        <v>2463.41</v>
      </c>
      <c r="K873" s="10">
        <f t="shared" si="27"/>
        <v>29560.92</v>
      </c>
      <c r="L873" s="2">
        <v>0</v>
      </c>
      <c r="M873" s="2" t="s">
        <v>24</v>
      </c>
      <c r="N873" s="2" t="s">
        <v>87</v>
      </c>
    </row>
    <row r="874" spans="1:14" x14ac:dyDescent="0.2">
      <c r="A874" s="13">
        <v>101676</v>
      </c>
      <c r="B874" s="5">
        <v>45563</v>
      </c>
      <c r="C874" s="5" t="str">
        <f t="shared" si="26"/>
        <v>Sep</v>
      </c>
      <c r="D874" s="2" t="s">
        <v>234</v>
      </c>
      <c r="E874" s="2" t="s">
        <v>140</v>
      </c>
      <c r="F874" s="2" t="s">
        <v>79</v>
      </c>
      <c r="G874" s="2" t="s">
        <v>64</v>
      </c>
      <c r="H874" s="2" t="s">
        <v>114</v>
      </c>
      <c r="I874" s="13">
        <v>10</v>
      </c>
      <c r="J874" s="10">
        <v>731.53</v>
      </c>
      <c r="K874" s="10">
        <f t="shared" si="27"/>
        <v>7315.2999999999993</v>
      </c>
      <c r="L874" s="2">
        <v>0</v>
      </c>
      <c r="M874" s="2" t="s">
        <v>41</v>
      </c>
      <c r="N874" s="2" t="s">
        <v>121</v>
      </c>
    </row>
    <row r="875" spans="1:14" x14ac:dyDescent="0.2">
      <c r="A875" s="13">
        <v>100934</v>
      </c>
      <c r="B875" s="5">
        <v>45583</v>
      </c>
      <c r="C875" s="5" t="str">
        <f t="shared" si="26"/>
        <v>Oct</v>
      </c>
      <c r="D875" s="2" t="s">
        <v>757</v>
      </c>
      <c r="E875" s="2" t="s">
        <v>140</v>
      </c>
      <c r="F875" s="2" t="s">
        <v>79</v>
      </c>
      <c r="G875" s="2" t="s">
        <v>22</v>
      </c>
      <c r="H875" s="2" t="s">
        <v>232</v>
      </c>
      <c r="I875" s="13">
        <v>-3</v>
      </c>
      <c r="J875" s="10">
        <v>2071.65</v>
      </c>
      <c r="K875" s="10">
        <f t="shared" si="27"/>
        <v>-6214.9500000000007</v>
      </c>
      <c r="L875" s="2">
        <v>0</v>
      </c>
      <c r="M875" s="2" t="s">
        <v>17</v>
      </c>
      <c r="N875" s="2" t="s">
        <v>25</v>
      </c>
    </row>
    <row r="876" spans="1:14" x14ac:dyDescent="0.2">
      <c r="A876" s="13">
        <v>100337</v>
      </c>
      <c r="B876" s="5">
        <v>45437</v>
      </c>
      <c r="C876" s="5" t="str">
        <f t="shared" si="26"/>
        <v>May</v>
      </c>
      <c r="D876" s="2" t="s">
        <v>704</v>
      </c>
      <c r="E876" s="2" t="s">
        <v>140</v>
      </c>
      <c r="F876" s="2" t="s">
        <v>49</v>
      </c>
      <c r="G876" s="2" t="s">
        <v>50</v>
      </c>
      <c r="H876" s="2" t="s">
        <v>62</v>
      </c>
      <c r="I876" s="13">
        <v>6</v>
      </c>
      <c r="J876" s="10">
        <v>7874.76</v>
      </c>
      <c r="K876" s="10">
        <f t="shared" si="27"/>
        <v>47248.56</v>
      </c>
      <c r="L876" s="2">
        <v>0.25</v>
      </c>
      <c r="M876" s="2" t="s">
        <v>41</v>
      </c>
      <c r="N876" s="2" t="s">
        <v>87</v>
      </c>
    </row>
    <row r="877" spans="1:14" x14ac:dyDescent="0.2">
      <c r="A877" s="13">
        <v>100233</v>
      </c>
      <c r="B877" s="5">
        <v>45396</v>
      </c>
      <c r="C877" s="5" t="str">
        <f t="shared" si="26"/>
        <v>Apr</v>
      </c>
      <c r="D877" s="2" t="s">
        <v>531</v>
      </c>
      <c r="E877" s="2" t="s">
        <v>31</v>
      </c>
      <c r="F877" s="2" t="s">
        <v>54</v>
      </c>
      <c r="G877" s="2" t="s">
        <v>106</v>
      </c>
      <c r="H877" s="2" t="s">
        <v>156</v>
      </c>
      <c r="I877" s="13">
        <v>6</v>
      </c>
      <c r="J877" s="10">
        <v>2000.25</v>
      </c>
      <c r="K877" s="10">
        <f t="shared" si="27"/>
        <v>12001.5</v>
      </c>
      <c r="L877" s="2">
        <v>0</v>
      </c>
      <c r="M877" s="2" t="s">
        <v>41</v>
      </c>
      <c r="N877" s="2" t="s">
        <v>52</v>
      </c>
    </row>
    <row r="878" spans="1:14" x14ac:dyDescent="0.2">
      <c r="A878" s="13">
        <v>101918</v>
      </c>
      <c r="B878" s="5">
        <v>45294</v>
      </c>
      <c r="C878" s="5" t="str">
        <f t="shared" si="26"/>
        <v>Jan</v>
      </c>
      <c r="D878" s="2" t="s">
        <v>243</v>
      </c>
      <c r="E878" s="2" t="s">
        <v>37</v>
      </c>
      <c r="F878" s="2" t="s">
        <v>69</v>
      </c>
      <c r="G878" s="2" t="s">
        <v>45</v>
      </c>
      <c r="H878" s="2" t="s">
        <v>153</v>
      </c>
      <c r="I878" s="13">
        <v>5</v>
      </c>
      <c r="J878" s="10">
        <v>32024.77</v>
      </c>
      <c r="K878" s="10">
        <f t="shared" si="27"/>
        <v>160123.85</v>
      </c>
      <c r="L878" s="2">
        <v>0</v>
      </c>
      <c r="M878" s="2" t="s">
        <v>83</v>
      </c>
      <c r="N878" s="2" t="s">
        <v>87</v>
      </c>
    </row>
    <row r="879" spans="1:14" x14ac:dyDescent="0.2">
      <c r="A879" s="13">
        <v>101900</v>
      </c>
      <c r="B879" s="5">
        <v>45365</v>
      </c>
      <c r="C879" s="5" t="str">
        <f t="shared" si="26"/>
        <v>Mar</v>
      </c>
      <c r="D879" s="2" t="s">
        <v>759</v>
      </c>
      <c r="E879" s="2" t="s">
        <v>37</v>
      </c>
      <c r="F879" s="2" t="s">
        <v>38</v>
      </c>
      <c r="G879" s="2" t="s">
        <v>15</v>
      </c>
      <c r="H879" s="2" t="s">
        <v>116</v>
      </c>
      <c r="I879" s="13">
        <v>12</v>
      </c>
      <c r="J879" s="10">
        <v>9971.2900000000009</v>
      </c>
      <c r="K879" s="10">
        <f t="shared" si="27"/>
        <v>119655.48000000001</v>
      </c>
      <c r="L879" s="2">
        <v>0.1</v>
      </c>
      <c r="M879" s="2" t="s">
        <v>29</v>
      </c>
      <c r="N879" s="2" t="s">
        <v>42</v>
      </c>
    </row>
    <row r="880" spans="1:14" x14ac:dyDescent="0.2">
      <c r="A880" s="13">
        <v>100159</v>
      </c>
      <c r="B880" s="5">
        <v>45406</v>
      </c>
      <c r="C880" s="5" t="str">
        <f t="shared" si="26"/>
        <v>Apr</v>
      </c>
      <c r="D880" s="2" t="s">
        <v>1069</v>
      </c>
      <c r="E880" s="2" t="s">
        <v>61</v>
      </c>
      <c r="F880" s="2" t="s">
        <v>119</v>
      </c>
      <c r="G880" s="2" t="s">
        <v>106</v>
      </c>
      <c r="H880" s="2" t="s">
        <v>135</v>
      </c>
      <c r="I880" s="13">
        <v>5</v>
      </c>
      <c r="J880" s="10">
        <v>3969.9</v>
      </c>
      <c r="K880" s="10">
        <f t="shared" si="27"/>
        <v>19849.5</v>
      </c>
      <c r="L880" s="2">
        <v>0.25</v>
      </c>
      <c r="M880" s="2" t="s">
        <v>83</v>
      </c>
      <c r="N880" s="2" t="s">
        <v>42</v>
      </c>
    </row>
    <row r="881" spans="1:14" x14ac:dyDescent="0.2">
      <c r="A881" s="13">
        <v>100469</v>
      </c>
      <c r="B881" s="5">
        <v>45636</v>
      </c>
      <c r="C881" s="5" t="str">
        <f t="shared" si="26"/>
        <v>Dec</v>
      </c>
      <c r="D881" s="2" t="s">
        <v>544</v>
      </c>
      <c r="E881" s="2" t="s">
        <v>31</v>
      </c>
      <c r="F881" s="2" t="s">
        <v>32</v>
      </c>
      <c r="G881" s="2" t="s">
        <v>15</v>
      </c>
      <c r="H881" s="2" t="s">
        <v>152</v>
      </c>
      <c r="I881" s="13">
        <v>11</v>
      </c>
      <c r="J881" s="10">
        <v>10064.11</v>
      </c>
      <c r="K881" s="10">
        <f t="shared" si="27"/>
        <v>110705.21</v>
      </c>
      <c r="L881" s="2">
        <v>0</v>
      </c>
      <c r="M881" s="2" t="s">
        <v>24</v>
      </c>
      <c r="N881" s="2" t="s">
        <v>42</v>
      </c>
    </row>
    <row r="882" spans="1:14" x14ac:dyDescent="0.2">
      <c r="A882" s="13">
        <v>100900</v>
      </c>
      <c r="B882" s="5">
        <v>45452</v>
      </c>
      <c r="C882" s="5" t="str">
        <f t="shared" si="26"/>
        <v>Jun</v>
      </c>
      <c r="D882" s="2" t="s">
        <v>195</v>
      </c>
      <c r="E882" s="2" t="s">
        <v>37</v>
      </c>
      <c r="F882" s="2" t="s">
        <v>69</v>
      </c>
      <c r="G882" s="2" t="s">
        <v>106</v>
      </c>
      <c r="H882" s="2" t="s">
        <v>156</v>
      </c>
      <c r="I882" s="13">
        <v>7</v>
      </c>
      <c r="J882" s="10">
        <v>4247.13</v>
      </c>
      <c r="K882" s="10">
        <f t="shared" si="27"/>
        <v>29729.91</v>
      </c>
      <c r="L882" s="2">
        <v>0</v>
      </c>
      <c r="M882" s="2" t="s">
        <v>29</v>
      </c>
      <c r="N882" s="2" t="s">
        <v>87</v>
      </c>
    </row>
    <row r="883" spans="1:14" x14ac:dyDescent="0.2">
      <c r="A883" s="13">
        <v>100873</v>
      </c>
      <c r="B883" s="5">
        <v>45582</v>
      </c>
      <c r="C883" s="5" t="str">
        <f t="shared" si="26"/>
        <v>Oct</v>
      </c>
      <c r="D883" s="2" t="s">
        <v>601</v>
      </c>
      <c r="E883" s="2" t="s">
        <v>61</v>
      </c>
      <c r="F883" s="2" t="s">
        <v>119</v>
      </c>
      <c r="G883" s="2" t="s">
        <v>33</v>
      </c>
      <c r="H883" s="2" t="s">
        <v>34</v>
      </c>
      <c r="I883" s="13">
        <v>4</v>
      </c>
      <c r="J883" s="10">
        <v>277.23</v>
      </c>
      <c r="K883" s="10">
        <f t="shared" si="27"/>
        <v>1108.92</v>
      </c>
      <c r="L883" s="2">
        <v>0</v>
      </c>
      <c r="M883" s="2" t="s">
        <v>29</v>
      </c>
      <c r="N883" s="2" t="s">
        <v>87</v>
      </c>
    </row>
    <row r="884" spans="1:14" x14ac:dyDescent="0.2">
      <c r="A884" s="13">
        <v>101638</v>
      </c>
      <c r="B884" s="5">
        <v>45568</v>
      </c>
      <c r="C884" s="5" t="str">
        <f t="shared" si="26"/>
        <v>Oct</v>
      </c>
      <c r="D884" s="2" t="s">
        <v>529</v>
      </c>
      <c r="E884" s="2" t="s">
        <v>61</v>
      </c>
      <c r="F884" s="2" t="s">
        <v>14</v>
      </c>
      <c r="G884" s="2" t="s">
        <v>45</v>
      </c>
      <c r="H884" s="2" t="s">
        <v>97</v>
      </c>
      <c r="I884" s="13">
        <v>9</v>
      </c>
      <c r="J884" s="10">
        <v>12887.89</v>
      </c>
      <c r="K884" s="10">
        <f t="shared" si="27"/>
        <v>115991.01</v>
      </c>
      <c r="L884" s="2">
        <v>0</v>
      </c>
      <c r="M884" s="2" t="s">
        <v>17</v>
      </c>
      <c r="N884" s="2" t="s">
        <v>121</v>
      </c>
    </row>
    <row r="885" spans="1:14" x14ac:dyDescent="0.2">
      <c r="A885" s="13">
        <v>101047</v>
      </c>
      <c r="B885" s="5">
        <v>45418</v>
      </c>
      <c r="C885" s="5" t="str">
        <f t="shared" si="26"/>
        <v>May</v>
      </c>
      <c r="D885" s="2" t="s">
        <v>688</v>
      </c>
      <c r="E885" s="2" t="s">
        <v>61</v>
      </c>
      <c r="F885" s="2" t="s">
        <v>119</v>
      </c>
      <c r="G885" s="2" t="s">
        <v>45</v>
      </c>
      <c r="H885" s="2" t="s">
        <v>71</v>
      </c>
      <c r="I885" s="13">
        <v>7</v>
      </c>
      <c r="J885" s="10">
        <v>0</v>
      </c>
      <c r="K885" s="10">
        <f t="shared" si="27"/>
        <v>0</v>
      </c>
      <c r="L885" s="2">
        <v>0</v>
      </c>
      <c r="M885" s="2" t="s">
        <v>24</v>
      </c>
      <c r="N885" s="2" t="s">
        <v>52</v>
      </c>
    </row>
    <row r="886" spans="1:14" x14ac:dyDescent="0.2">
      <c r="A886" s="13">
        <v>101065</v>
      </c>
      <c r="B886" s="5">
        <v>45325</v>
      </c>
      <c r="C886" s="5" t="str">
        <f t="shared" si="26"/>
        <v>Feb</v>
      </c>
      <c r="D886" s="2" t="s">
        <v>450</v>
      </c>
      <c r="E886" s="2" t="s">
        <v>31</v>
      </c>
      <c r="F886" s="2" t="s">
        <v>32</v>
      </c>
      <c r="G886" s="2" t="s">
        <v>45</v>
      </c>
      <c r="H886" s="2" t="s">
        <v>153</v>
      </c>
      <c r="I886" s="13">
        <v>8</v>
      </c>
      <c r="J886" s="10">
        <v>14440.85</v>
      </c>
      <c r="K886" s="10">
        <f t="shared" si="27"/>
        <v>115526.8</v>
      </c>
      <c r="L886" s="2">
        <v>0</v>
      </c>
      <c r="M886" s="2" t="s">
        <v>66</v>
      </c>
      <c r="N886" s="2" t="s">
        <v>87</v>
      </c>
    </row>
    <row r="887" spans="1:14" x14ac:dyDescent="0.2">
      <c r="A887" s="13">
        <v>101140</v>
      </c>
      <c r="B887" s="5">
        <v>45556</v>
      </c>
      <c r="C887" s="5" t="str">
        <f t="shared" si="26"/>
        <v>Sep</v>
      </c>
      <c r="D887" s="2" t="s">
        <v>760</v>
      </c>
      <c r="E887" s="2" t="s">
        <v>37</v>
      </c>
      <c r="F887" s="2" t="s">
        <v>38</v>
      </c>
      <c r="G887" s="2" t="s">
        <v>106</v>
      </c>
      <c r="H887" s="2" t="s">
        <v>156</v>
      </c>
      <c r="I887" s="13">
        <v>12</v>
      </c>
      <c r="J887" s="10">
        <v>1924.85</v>
      </c>
      <c r="K887" s="10">
        <f t="shared" si="27"/>
        <v>23098.199999999997</v>
      </c>
      <c r="L887" s="2">
        <v>0.2</v>
      </c>
      <c r="M887" s="2" t="s">
        <v>17</v>
      </c>
      <c r="N887" s="2" t="s">
        <v>143</v>
      </c>
    </row>
    <row r="888" spans="1:14" x14ac:dyDescent="0.2">
      <c r="A888" s="13">
        <v>100586</v>
      </c>
      <c r="B888" s="5">
        <v>45497</v>
      </c>
      <c r="C888" s="5" t="str">
        <f t="shared" si="26"/>
        <v>Jul</v>
      </c>
      <c r="D888" s="2" t="s">
        <v>742</v>
      </c>
      <c r="E888" s="2" t="s">
        <v>140</v>
      </c>
      <c r="F888" s="2" t="s">
        <v>79</v>
      </c>
      <c r="G888" s="2" t="s">
        <v>106</v>
      </c>
      <c r="H888" s="2" t="s">
        <v>156</v>
      </c>
      <c r="I888" s="13">
        <v>3</v>
      </c>
      <c r="J888" s="10">
        <v>1795.06</v>
      </c>
      <c r="K888" s="10">
        <f t="shared" si="27"/>
        <v>5385.18</v>
      </c>
      <c r="L888" s="2">
        <v>0</v>
      </c>
      <c r="M888" s="2" t="s">
        <v>83</v>
      </c>
      <c r="N888" s="2" t="s">
        <v>42</v>
      </c>
    </row>
    <row r="889" spans="1:14" x14ac:dyDescent="0.2">
      <c r="A889" s="13">
        <v>100206</v>
      </c>
      <c r="B889" s="5">
        <v>45308</v>
      </c>
      <c r="C889" s="5" t="str">
        <f t="shared" si="26"/>
        <v>Jan</v>
      </c>
      <c r="D889" s="2" t="s">
        <v>761</v>
      </c>
      <c r="E889" s="2" t="s">
        <v>27</v>
      </c>
      <c r="F889" s="2" t="s">
        <v>21</v>
      </c>
      <c r="G889" s="2" t="s">
        <v>50</v>
      </c>
      <c r="H889" s="2" t="s">
        <v>56</v>
      </c>
      <c r="I889" s="13">
        <v>5</v>
      </c>
      <c r="J889" s="10">
        <v>6135.52</v>
      </c>
      <c r="K889" s="10">
        <f t="shared" si="27"/>
        <v>30677.600000000002</v>
      </c>
      <c r="L889" s="2">
        <v>0</v>
      </c>
      <c r="M889" s="2" t="s">
        <v>41</v>
      </c>
      <c r="N889" s="2" t="s">
        <v>121</v>
      </c>
    </row>
    <row r="890" spans="1:14" x14ac:dyDescent="0.2">
      <c r="A890" s="13">
        <v>100004</v>
      </c>
      <c r="B890" s="5">
        <v>45474</v>
      </c>
      <c r="C890" s="5" t="str">
        <f t="shared" si="26"/>
        <v>Jul</v>
      </c>
      <c r="D890" s="2" t="s">
        <v>581</v>
      </c>
      <c r="E890" s="2" t="s">
        <v>61</v>
      </c>
      <c r="F890" s="2" t="s">
        <v>119</v>
      </c>
      <c r="G890" s="2" t="s">
        <v>64</v>
      </c>
      <c r="H890" s="2" t="s">
        <v>165</v>
      </c>
      <c r="I890" s="13">
        <v>11</v>
      </c>
      <c r="J890" s="10">
        <v>891.09</v>
      </c>
      <c r="K890" s="10">
        <f t="shared" si="27"/>
        <v>9801.99</v>
      </c>
      <c r="L890" s="2">
        <v>0</v>
      </c>
      <c r="M890" s="2" t="s">
        <v>66</v>
      </c>
      <c r="N890" s="2" t="s">
        <v>18</v>
      </c>
    </row>
    <row r="891" spans="1:14" x14ac:dyDescent="0.2">
      <c r="A891" s="13">
        <v>101442</v>
      </c>
      <c r="B891" s="5">
        <v>45594</v>
      </c>
      <c r="C891" s="5" t="str">
        <f t="shared" si="26"/>
        <v>Oct</v>
      </c>
      <c r="D891" s="2" t="s">
        <v>762</v>
      </c>
      <c r="E891" s="2" t="s">
        <v>61</v>
      </c>
      <c r="F891" s="2" t="s">
        <v>119</v>
      </c>
      <c r="G891" s="2" t="s">
        <v>106</v>
      </c>
      <c r="H891" s="2" t="s">
        <v>103</v>
      </c>
      <c r="I891" s="13">
        <v>11</v>
      </c>
      <c r="J891" s="10">
        <v>3209.71</v>
      </c>
      <c r="K891" s="10">
        <f t="shared" si="27"/>
        <v>35306.81</v>
      </c>
      <c r="L891" s="2">
        <v>0</v>
      </c>
      <c r="M891" s="2" t="s">
        <v>29</v>
      </c>
      <c r="N891" s="2" t="s">
        <v>35</v>
      </c>
    </row>
    <row r="892" spans="1:14" x14ac:dyDescent="0.2">
      <c r="A892" s="13">
        <v>101956</v>
      </c>
      <c r="B892" s="5">
        <v>45533</v>
      </c>
      <c r="C892" s="5" t="str">
        <f t="shared" si="26"/>
        <v>Aug</v>
      </c>
      <c r="D892" s="2" t="s">
        <v>763</v>
      </c>
      <c r="E892" s="2" t="s">
        <v>31</v>
      </c>
      <c r="F892" s="2" t="s">
        <v>32</v>
      </c>
      <c r="G892" s="2" t="s">
        <v>106</v>
      </c>
      <c r="H892" s="2" t="s">
        <v>103</v>
      </c>
      <c r="I892" s="13">
        <v>1</v>
      </c>
      <c r="J892" s="10">
        <v>3508.1</v>
      </c>
      <c r="K892" s="10">
        <f t="shared" si="27"/>
        <v>3508.1</v>
      </c>
      <c r="L892" s="2">
        <v>0.2</v>
      </c>
      <c r="M892" s="2" t="s">
        <v>24</v>
      </c>
      <c r="N892" s="2" t="s">
        <v>35</v>
      </c>
    </row>
    <row r="893" spans="1:14" x14ac:dyDescent="0.2">
      <c r="A893" s="13">
        <v>101519</v>
      </c>
      <c r="B893" s="5">
        <v>45604</v>
      </c>
      <c r="C893" s="5" t="str">
        <f t="shared" si="26"/>
        <v>Nov</v>
      </c>
      <c r="D893" s="2" t="s">
        <v>764</v>
      </c>
      <c r="E893" s="2" t="s">
        <v>27</v>
      </c>
      <c r="F893" s="2" t="s">
        <v>21</v>
      </c>
      <c r="G893" s="2" t="s">
        <v>22</v>
      </c>
      <c r="H893" s="2" t="s">
        <v>141</v>
      </c>
      <c r="I893" s="13">
        <v>5</v>
      </c>
      <c r="J893" s="10">
        <v>905.9</v>
      </c>
      <c r="K893" s="10">
        <f t="shared" si="27"/>
        <v>4529.5</v>
      </c>
      <c r="L893" s="2">
        <v>0.05</v>
      </c>
      <c r="M893" s="2" t="s">
        <v>29</v>
      </c>
      <c r="N893" s="2" t="s">
        <v>35</v>
      </c>
    </row>
    <row r="894" spans="1:14" x14ac:dyDescent="0.2">
      <c r="A894" s="13">
        <v>101865</v>
      </c>
      <c r="B894" s="5">
        <v>45328</v>
      </c>
      <c r="C894" s="5" t="str">
        <f t="shared" si="26"/>
        <v>Feb</v>
      </c>
      <c r="D894" s="2" t="s">
        <v>656</v>
      </c>
      <c r="E894" s="2" t="s">
        <v>31</v>
      </c>
      <c r="F894" s="2" t="s">
        <v>54</v>
      </c>
      <c r="G894" s="2" t="s">
        <v>106</v>
      </c>
      <c r="H894" s="2" t="s">
        <v>156</v>
      </c>
      <c r="I894" s="13">
        <v>3</v>
      </c>
      <c r="J894" s="10">
        <v>1120.55</v>
      </c>
      <c r="K894" s="10">
        <f t="shared" si="27"/>
        <v>3361.6499999999996</v>
      </c>
      <c r="L894" s="2">
        <v>0.25</v>
      </c>
      <c r="M894" s="2" t="s">
        <v>29</v>
      </c>
      <c r="N894" s="2" t="s">
        <v>121</v>
      </c>
    </row>
    <row r="895" spans="1:14" x14ac:dyDescent="0.2">
      <c r="A895" s="13">
        <v>101234</v>
      </c>
      <c r="B895" s="5">
        <v>45423</v>
      </c>
      <c r="C895" s="5" t="str">
        <f t="shared" si="26"/>
        <v>May</v>
      </c>
      <c r="D895" s="2" t="s">
        <v>432</v>
      </c>
      <c r="E895" s="2" t="s">
        <v>31</v>
      </c>
      <c r="F895" s="2" t="s">
        <v>54</v>
      </c>
      <c r="G895" s="2" t="s">
        <v>33</v>
      </c>
      <c r="H895" s="2" t="s">
        <v>158</v>
      </c>
      <c r="I895" s="13">
        <v>1</v>
      </c>
      <c r="J895" s="10">
        <v>166.85</v>
      </c>
      <c r="K895" s="10">
        <f t="shared" si="27"/>
        <v>166.85</v>
      </c>
      <c r="L895" s="2">
        <v>0</v>
      </c>
      <c r="M895" s="2" t="s">
        <v>24</v>
      </c>
      <c r="N895" s="2" t="s">
        <v>143</v>
      </c>
    </row>
    <row r="896" spans="1:14" x14ac:dyDescent="0.2">
      <c r="A896" s="13">
        <v>101430</v>
      </c>
      <c r="B896" s="5">
        <v>45416</v>
      </c>
      <c r="C896" s="5" t="str">
        <f t="shared" si="26"/>
        <v>May</v>
      </c>
      <c r="D896" s="2" t="s">
        <v>765</v>
      </c>
      <c r="E896" s="2" t="s">
        <v>37</v>
      </c>
      <c r="F896" s="2" t="s">
        <v>38</v>
      </c>
      <c r="G896" s="2" t="s">
        <v>33</v>
      </c>
      <c r="H896" s="2" t="s">
        <v>93</v>
      </c>
      <c r="I896" s="13">
        <v>12</v>
      </c>
      <c r="J896" s="10">
        <v>262.76</v>
      </c>
      <c r="K896" s="10">
        <f t="shared" si="27"/>
        <v>3153.12</v>
      </c>
      <c r="L896" s="2">
        <v>0.1</v>
      </c>
      <c r="M896" s="2" t="s">
        <v>24</v>
      </c>
      <c r="N896" s="2" t="s">
        <v>52</v>
      </c>
    </row>
    <row r="897" spans="1:14" x14ac:dyDescent="0.2">
      <c r="A897" s="13">
        <v>100694</v>
      </c>
      <c r="B897" s="5">
        <v>45492</v>
      </c>
      <c r="C897" s="5" t="str">
        <f t="shared" si="26"/>
        <v>Jul</v>
      </c>
      <c r="D897" s="2" t="s">
        <v>229</v>
      </c>
      <c r="E897" s="2" t="s">
        <v>140</v>
      </c>
      <c r="F897" s="2" t="s">
        <v>79</v>
      </c>
      <c r="G897" s="2" t="s">
        <v>33</v>
      </c>
      <c r="H897" s="2" t="s">
        <v>34</v>
      </c>
      <c r="I897" s="13">
        <v>9</v>
      </c>
      <c r="J897" s="10">
        <v>380.81</v>
      </c>
      <c r="K897" s="10">
        <f t="shared" si="27"/>
        <v>3427.29</v>
      </c>
      <c r="L897" s="2">
        <v>0.1</v>
      </c>
      <c r="M897" s="2" t="s">
        <v>41</v>
      </c>
      <c r="N897" s="2" t="s">
        <v>143</v>
      </c>
    </row>
    <row r="898" spans="1:14" x14ac:dyDescent="0.2">
      <c r="A898" s="13">
        <v>101693</v>
      </c>
      <c r="B898" s="5">
        <v>45600</v>
      </c>
      <c r="C898" s="5" t="str">
        <f t="shared" ref="C898:C961" si="28">TEXT(B898,"mmm")</f>
        <v>Nov</v>
      </c>
      <c r="D898" s="2" t="s">
        <v>397</v>
      </c>
      <c r="E898" s="2" t="s">
        <v>140</v>
      </c>
      <c r="F898" s="2" t="s">
        <v>79</v>
      </c>
      <c r="G898" s="2" t="s">
        <v>33</v>
      </c>
      <c r="H898" s="2" t="s">
        <v>81</v>
      </c>
      <c r="I898" s="13">
        <v>12</v>
      </c>
      <c r="J898" s="10">
        <v>446.68</v>
      </c>
      <c r="K898" s="10">
        <f t="shared" ref="K898:K961" si="29">I898*J898</f>
        <v>5360.16</v>
      </c>
      <c r="L898" s="2">
        <v>0</v>
      </c>
      <c r="M898" s="2" t="s">
        <v>66</v>
      </c>
      <c r="N898" s="2" t="s">
        <v>42</v>
      </c>
    </row>
    <row r="899" spans="1:14" x14ac:dyDescent="0.2">
      <c r="A899" s="13">
        <v>101896</v>
      </c>
      <c r="B899" s="5">
        <v>45410</v>
      </c>
      <c r="C899" s="5" t="str">
        <f t="shared" si="28"/>
        <v>Apr</v>
      </c>
      <c r="D899" s="2" t="s">
        <v>433</v>
      </c>
      <c r="E899" s="2" t="s">
        <v>140</v>
      </c>
      <c r="F899" s="2" t="s">
        <v>49</v>
      </c>
      <c r="G899" s="2" t="s">
        <v>22</v>
      </c>
      <c r="H899" s="2" t="s">
        <v>23</v>
      </c>
      <c r="I899" s="13">
        <v>6</v>
      </c>
      <c r="J899" s="10">
        <v>2869.95</v>
      </c>
      <c r="K899" s="10">
        <f t="shared" si="29"/>
        <v>17219.699999999997</v>
      </c>
      <c r="L899" s="2">
        <v>0</v>
      </c>
      <c r="M899" s="2" t="s">
        <v>17</v>
      </c>
      <c r="N899" s="2" t="s">
        <v>52</v>
      </c>
    </row>
    <row r="900" spans="1:14" x14ac:dyDescent="0.2">
      <c r="A900" s="13">
        <v>100715</v>
      </c>
      <c r="B900" s="5">
        <v>45631</v>
      </c>
      <c r="C900" s="5" t="str">
        <f t="shared" si="28"/>
        <v>Dec</v>
      </c>
      <c r="D900" s="2" t="s">
        <v>401</v>
      </c>
      <c r="E900" s="2" t="s">
        <v>61</v>
      </c>
      <c r="F900" s="2" t="s">
        <v>14</v>
      </c>
      <c r="G900" s="2" t="s">
        <v>45</v>
      </c>
      <c r="H900" s="2" t="s">
        <v>153</v>
      </c>
      <c r="I900" s="13">
        <v>2</v>
      </c>
      <c r="J900" s="10">
        <v>2279.3000000000002</v>
      </c>
      <c r="K900" s="10">
        <f t="shared" si="29"/>
        <v>4558.6000000000004</v>
      </c>
      <c r="L900" s="2">
        <v>0.25</v>
      </c>
      <c r="M900" s="2" t="s">
        <v>29</v>
      </c>
      <c r="N900" s="2" t="s">
        <v>143</v>
      </c>
    </row>
    <row r="901" spans="1:14" x14ac:dyDescent="0.2">
      <c r="A901" s="13">
        <v>101932</v>
      </c>
      <c r="B901" s="5">
        <v>45400</v>
      </c>
      <c r="C901" s="5" t="str">
        <f t="shared" si="28"/>
        <v>Apr</v>
      </c>
      <c r="D901" s="2" t="s">
        <v>766</v>
      </c>
      <c r="E901" s="2" t="s">
        <v>61</v>
      </c>
      <c r="F901" s="2" t="s">
        <v>119</v>
      </c>
      <c r="G901" s="2" t="s">
        <v>45</v>
      </c>
      <c r="H901" s="2" t="s">
        <v>97</v>
      </c>
      <c r="I901" s="13">
        <v>11</v>
      </c>
      <c r="J901" s="10">
        <v>11873</v>
      </c>
      <c r="K901" s="10">
        <f t="shared" si="29"/>
        <v>130603</v>
      </c>
      <c r="L901" s="2">
        <v>0</v>
      </c>
      <c r="M901" s="2" t="s">
        <v>83</v>
      </c>
      <c r="N901" s="2" t="s">
        <v>42</v>
      </c>
    </row>
    <row r="902" spans="1:14" x14ac:dyDescent="0.2">
      <c r="A902" s="13">
        <v>101612</v>
      </c>
      <c r="B902" s="5">
        <v>45479</v>
      </c>
      <c r="C902" s="5" t="str">
        <f t="shared" si="28"/>
        <v>Jul</v>
      </c>
      <c r="D902" s="2" t="s">
        <v>596</v>
      </c>
      <c r="E902" s="2" t="s">
        <v>140</v>
      </c>
      <c r="F902" s="2" t="s">
        <v>49</v>
      </c>
      <c r="G902" s="2" t="s">
        <v>64</v>
      </c>
      <c r="H902" s="2" t="s">
        <v>40</v>
      </c>
      <c r="I902" s="13">
        <v>8</v>
      </c>
      <c r="J902" s="10">
        <v>666.05</v>
      </c>
      <c r="K902" s="10">
        <f t="shared" si="29"/>
        <v>5328.4</v>
      </c>
      <c r="L902" s="2">
        <v>0</v>
      </c>
      <c r="M902" s="2" t="s">
        <v>29</v>
      </c>
      <c r="N902" s="2" t="s">
        <v>87</v>
      </c>
    </row>
    <row r="903" spans="1:14" x14ac:dyDescent="0.2">
      <c r="A903" s="13">
        <v>100884</v>
      </c>
      <c r="B903" s="5">
        <v>45323</v>
      </c>
      <c r="C903" s="5" t="str">
        <f t="shared" si="28"/>
        <v>Feb</v>
      </c>
      <c r="D903" s="2" t="s">
        <v>1069</v>
      </c>
      <c r="E903" s="2" t="s">
        <v>27</v>
      </c>
      <c r="F903" s="2" t="s">
        <v>21</v>
      </c>
      <c r="G903" s="2" t="s">
        <v>22</v>
      </c>
      <c r="H903" s="2" t="s">
        <v>232</v>
      </c>
      <c r="I903" s="13">
        <v>1</v>
      </c>
      <c r="J903" s="10">
        <v>1097.23</v>
      </c>
      <c r="K903" s="10">
        <f t="shared" si="29"/>
        <v>1097.23</v>
      </c>
      <c r="L903" s="2">
        <v>0</v>
      </c>
      <c r="M903" s="2" t="s">
        <v>83</v>
      </c>
      <c r="N903" s="2" t="s">
        <v>18</v>
      </c>
    </row>
    <row r="904" spans="1:14" x14ac:dyDescent="0.2">
      <c r="A904" s="13">
        <v>101862</v>
      </c>
      <c r="B904" s="5">
        <v>45298</v>
      </c>
      <c r="C904" s="5" t="str">
        <f t="shared" si="28"/>
        <v>Jan</v>
      </c>
      <c r="D904" s="2" t="s">
        <v>125</v>
      </c>
      <c r="E904" s="2" t="s">
        <v>27</v>
      </c>
      <c r="F904" s="2" t="s">
        <v>133</v>
      </c>
      <c r="G904" s="2" t="s">
        <v>22</v>
      </c>
      <c r="H904" s="2" t="s">
        <v>75</v>
      </c>
      <c r="I904" s="13">
        <v>10</v>
      </c>
      <c r="J904" s="10">
        <v>3257.93</v>
      </c>
      <c r="K904" s="10">
        <f t="shared" si="29"/>
        <v>32579.3</v>
      </c>
      <c r="L904" s="2">
        <v>0.2</v>
      </c>
      <c r="M904" s="2" t="s">
        <v>41</v>
      </c>
      <c r="N904" s="2" t="s">
        <v>35</v>
      </c>
    </row>
    <row r="905" spans="1:14" x14ac:dyDescent="0.2">
      <c r="A905" s="13">
        <v>101073</v>
      </c>
      <c r="B905" s="5">
        <v>45649</v>
      </c>
      <c r="C905" s="5" t="str">
        <f t="shared" si="28"/>
        <v>Dec</v>
      </c>
      <c r="D905" s="2" t="s">
        <v>767</v>
      </c>
      <c r="E905" s="2" t="s">
        <v>61</v>
      </c>
      <c r="F905" s="2" t="s">
        <v>14</v>
      </c>
      <c r="G905" s="2" t="s">
        <v>15</v>
      </c>
      <c r="H905" s="2" t="s">
        <v>152</v>
      </c>
      <c r="I905" s="13"/>
      <c r="J905" s="10">
        <v>23201.99</v>
      </c>
      <c r="K905" s="10">
        <f t="shared" si="29"/>
        <v>0</v>
      </c>
      <c r="L905" s="2">
        <v>0.1</v>
      </c>
      <c r="M905" s="2" t="s">
        <v>41</v>
      </c>
      <c r="N905" s="2" t="s">
        <v>42</v>
      </c>
    </row>
    <row r="906" spans="1:14" x14ac:dyDescent="0.2">
      <c r="A906" s="13">
        <v>101127</v>
      </c>
      <c r="B906" s="5">
        <v>45401</v>
      </c>
      <c r="C906" s="5" t="str">
        <f t="shared" si="28"/>
        <v>Apr</v>
      </c>
      <c r="D906" s="2" t="s">
        <v>352</v>
      </c>
      <c r="E906" s="2" t="s">
        <v>31</v>
      </c>
      <c r="F906" s="2" t="s">
        <v>32</v>
      </c>
      <c r="G906" s="2" t="s">
        <v>45</v>
      </c>
      <c r="H906" s="2" t="s">
        <v>153</v>
      </c>
      <c r="I906" s="13">
        <v>1</v>
      </c>
      <c r="J906" s="10">
        <v>33977.339999999997</v>
      </c>
      <c r="K906" s="10">
        <f t="shared" si="29"/>
        <v>33977.339999999997</v>
      </c>
      <c r="L906" s="2">
        <v>0</v>
      </c>
      <c r="M906" s="2" t="s">
        <v>17</v>
      </c>
      <c r="N906" s="2" t="s">
        <v>35</v>
      </c>
    </row>
    <row r="907" spans="1:14" x14ac:dyDescent="0.2">
      <c r="A907" s="13">
        <v>101308</v>
      </c>
      <c r="B907" s="5">
        <v>45299</v>
      </c>
      <c r="C907" s="5" t="str">
        <f t="shared" si="28"/>
        <v>Jan</v>
      </c>
      <c r="D907" s="2" t="s">
        <v>493</v>
      </c>
      <c r="E907" s="2" t="s">
        <v>61</v>
      </c>
      <c r="F907" s="2" t="s">
        <v>14</v>
      </c>
      <c r="G907" s="2" t="s">
        <v>22</v>
      </c>
      <c r="H907" s="2" t="s">
        <v>232</v>
      </c>
      <c r="I907" s="13">
        <v>8</v>
      </c>
      <c r="J907" s="10">
        <v>1462.09</v>
      </c>
      <c r="K907" s="10">
        <f t="shared" si="29"/>
        <v>11696.72</v>
      </c>
      <c r="L907" s="2">
        <v>0.15</v>
      </c>
      <c r="M907" s="2" t="s">
        <v>66</v>
      </c>
      <c r="N907" s="2" t="s">
        <v>18</v>
      </c>
    </row>
    <row r="908" spans="1:14" x14ac:dyDescent="0.2">
      <c r="A908" s="13">
        <v>101075</v>
      </c>
      <c r="B908" s="5">
        <v>45298</v>
      </c>
      <c r="C908" s="5" t="str">
        <f t="shared" si="28"/>
        <v>Jan</v>
      </c>
      <c r="D908" s="2" t="s">
        <v>704</v>
      </c>
      <c r="E908" s="2" t="s">
        <v>31</v>
      </c>
      <c r="F908" s="2" t="s">
        <v>32</v>
      </c>
      <c r="G908" s="2" t="s">
        <v>106</v>
      </c>
      <c r="H908" s="2" t="s">
        <v>135</v>
      </c>
      <c r="I908" s="13">
        <v>7</v>
      </c>
      <c r="J908" s="10">
        <v>862.17</v>
      </c>
      <c r="K908" s="10">
        <f t="shared" si="29"/>
        <v>6035.19</v>
      </c>
      <c r="L908" s="2">
        <v>0.05</v>
      </c>
      <c r="M908" s="2" t="s">
        <v>24</v>
      </c>
      <c r="N908" s="2" t="s">
        <v>52</v>
      </c>
    </row>
    <row r="909" spans="1:14" x14ac:dyDescent="0.2">
      <c r="A909" s="13">
        <v>100158</v>
      </c>
      <c r="B909" s="5">
        <v>45449</v>
      </c>
      <c r="C909" s="5" t="str">
        <f t="shared" si="28"/>
        <v>Jun</v>
      </c>
      <c r="D909" s="2" t="s">
        <v>463</v>
      </c>
      <c r="E909" s="2" t="s">
        <v>31</v>
      </c>
      <c r="F909" s="2" t="s">
        <v>32</v>
      </c>
      <c r="G909" s="2" t="s">
        <v>50</v>
      </c>
      <c r="H909" s="2" t="s">
        <v>99</v>
      </c>
      <c r="I909" s="13">
        <v>7</v>
      </c>
      <c r="J909" s="10">
        <v>11009.93</v>
      </c>
      <c r="K909" s="10">
        <f t="shared" si="29"/>
        <v>77069.510000000009</v>
      </c>
      <c r="L909" s="2">
        <v>0.1</v>
      </c>
      <c r="M909" s="2" t="s">
        <v>17</v>
      </c>
      <c r="N909" s="2" t="s">
        <v>121</v>
      </c>
    </row>
    <row r="910" spans="1:14" x14ac:dyDescent="0.2">
      <c r="A910" s="13">
        <v>101283</v>
      </c>
      <c r="B910" s="5">
        <v>45505</v>
      </c>
      <c r="C910" s="5" t="str">
        <f t="shared" si="28"/>
        <v>Aug</v>
      </c>
      <c r="D910" s="2" t="s">
        <v>646</v>
      </c>
      <c r="E910" s="2" t="s">
        <v>31</v>
      </c>
      <c r="F910" s="2" t="s">
        <v>32</v>
      </c>
      <c r="G910" s="2" t="s">
        <v>15</v>
      </c>
      <c r="H910" s="2" t="s">
        <v>59</v>
      </c>
      <c r="I910" s="13">
        <v>1</v>
      </c>
      <c r="J910" s="10">
        <v>22301.040000000001</v>
      </c>
      <c r="K910" s="10">
        <f t="shared" si="29"/>
        <v>22301.040000000001</v>
      </c>
      <c r="L910" s="2">
        <v>0</v>
      </c>
      <c r="M910" s="2" t="s">
        <v>29</v>
      </c>
      <c r="N910" s="2" t="s">
        <v>87</v>
      </c>
    </row>
    <row r="911" spans="1:14" x14ac:dyDescent="0.2">
      <c r="A911" s="13">
        <v>100524</v>
      </c>
      <c r="B911" s="5">
        <v>45512</v>
      </c>
      <c r="C911" s="5" t="str">
        <f t="shared" si="28"/>
        <v>Aug</v>
      </c>
      <c r="D911" s="2" t="s">
        <v>499</v>
      </c>
      <c r="E911" s="2" t="s">
        <v>37</v>
      </c>
      <c r="F911" s="2" t="s">
        <v>69</v>
      </c>
      <c r="G911" s="2" t="s">
        <v>45</v>
      </c>
      <c r="H911" s="2" t="s">
        <v>71</v>
      </c>
      <c r="I911" s="13">
        <v>11</v>
      </c>
      <c r="J911" s="10">
        <v>19814.48</v>
      </c>
      <c r="K911" s="10">
        <f t="shared" si="29"/>
        <v>217959.28</v>
      </c>
      <c r="L911" s="2">
        <v>0</v>
      </c>
      <c r="M911" s="2" t="s">
        <v>24</v>
      </c>
      <c r="N911" s="2" t="s">
        <v>87</v>
      </c>
    </row>
    <row r="912" spans="1:14" x14ac:dyDescent="0.2">
      <c r="A912" s="13">
        <v>100463</v>
      </c>
      <c r="B912" s="5">
        <v>45373</v>
      </c>
      <c r="C912" s="5" t="str">
        <f t="shared" si="28"/>
        <v>Mar</v>
      </c>
      <c r="D912" s="2" t="s">
        <v>704</v>
      </c>
      <c r="E912" s="2" t="s">
        <v>27</v>
      </c>
      <c r="F912" s="2" t="s">
        <v>21</v>
      </c>
      <c r="G912" s="2" t="s">
        <v>22</v>
      </c>
      <c r="H912" s="2" t="s">
        <v>23</v>
      </c>
      <c r="I912" s="13">
        <v>4</v>
      </c>
      <c r="J912" s="10">
        <v>2089.75</v>
      </c>
      <c r="K912" s="10">
        <f t="shared" si="29"/>
        <v>8359</v>
      </c>
      <c r="L912" s="2">
        <v>0.2</v>
      </c>
      <c r="M912" s="2" t="s">
        <v>29</v>
      </c>
      <c r="N912" s="2" t="s">
        <v>25</v>
      </c>
    </row>
    <row r="913" spans="1:14" x14ac:dyDescent="0.2">
      <c r="A913" s="13">
        <v>100653</v>
      </c>
      <c r="B913" s="5">
        <v>45394</v>
      </c>
      <c r="C913" s="5" t="str">
        <f t="shared" si="28"/>
        <v>Apr</v>
      </c>
      <c r="D913" s="2" t="s">
        <v>215</v>
      </c>
      <c r="E913" s="2" t="s">
        <v>140</v>
      </c>
      <c r="F913" s="2" t="s">
        <v>49</v>
      </c>
      <c r="G913" s="2" t="s">
        <v>15</v>
      </c>
      <c r="H913" s="2" t="s">
        <v>59</v>
      </c>
      <c r="I913" s="13">
        <v>9</v>
      </c>
      <c r="J913" s="10">
        <v>6548.4</v>
      </c>
      <c r="K913" s="10">
        <f t="shared" si="29"/>
        <v>58935.6</v>
      </c>
      <c r="L913" s="2">
        <v>0.25</v>
      </c>
      <c r="M913" s="2" t="s">
        <v>83</v>
      </c>
      <c r="N913" s="2" t="s">
        <v>35</v>
      </c>
    </row>
    <row r="914" spans="1:14" x14ac:dyDescent="0.2">
      <c r="A914" s="13">
        <v>100161</v>
      </c>
      <c r="B914" s="5">
        <v>45371</v>
      </c>
      <c r="C914" s="5" t="str">
        <f t="shared" si="28"/>
        <v>Mar</v>
      </c>
      <c r="D914" s="2" t="s">
        <v>751</v>
      </c>
      <c r="E914" s="2" t="s">
        <v>31</v>
      </c>
      <c r="F914" s="2" t="s">
        <v>54</v>
      </c>
      <c r="G914" s="2" t="s">
        <v>50</v>
      </c>
      <c r="H914" s="2" t="s">
        <v>51</v>
      </c>
      <c r="I914" s="13">
        <v>12</v>
      </c>
      <c r="J914" s="10">
        <v>9685.5400000000009</v>
      </c>
      <c r="K914" s="10">
        <f t="shared" si="29"/>
        <v>116226.48000000001</v>
      </c>
      <c r="L914" s="2">
        <v>0</v>
      </c>
      <c r="M914" s="2" t="s">
        <v>29</v>
      </c>
      <c r="N914" s="2" t="s">
        <v>42</v>
      </c>
    </row>
    <row r="915" spans="1:14" x14ac:dyDescent="0.2">
      <c r="A915" s="13">
        <v>100306</v>
      </c>
      <c r="B915" s="5">
        <v>45301</v>
      </c>
      <c r="C915" s="5" t="str">
        <f t="shared" si="28"/>
        <v>Jan</v>
      </c>
      <c r="D915" s="2" t="s">
        <v>699</v>
      </c>
      <c r="E915" s="2" t="s">
        <v>37</v>
      </c>
      <c r="F915" s="2" t="s">
        <v>69</v>
      </c>
      <c r="G915" s="2" t="s">
        <v>45</v>
      </c>
      <c r="H915" s="2" t="s">
        <v>46</v>
      </c>
      <c r="I915" s="13">
        <v>8</v>
      </c>
      <c r="J915" s="10">
        <v>2061.0500000000002</v>
      </c>
      <c r="K915" s="10">
        <f t="shared" si="29"/>
        <v>16488.400000000001</v>
      </c>
      <c r="L915" s="2">
        <v>0</v>
      </c>
      <c r="M915" s="2" t="s">
        <v>29</v>
      </c>
      <c r="N915" s="2" t="s">
        <v>87</v>
      </c>
    </row>
    <row r="916" spans="1:14" x14ac:dyDescent="0.2">
      <c r="A916" s="13">
        <v>100657</v>
      </c>
      <c r="B916" s="5">
        <v>45340</v>
      </c>
      <c r="C916" s="5" t="str">
        <f t="shared" si="28"/>
        <v>Feb</v>
      </c>
      <c r="D916" s="2" t="s">
        <v>771</v>
      </c>
      <c r="E916" s="2" t="s">
        <v>27</v>
      </c>
      <c r="F916" s="2" t="s">
        <v>21</v>
      </c>
      <c r="G916" s="2" t="s">
        <v>64</v>
      </c>
      <c r="H916" s="2" t="s">
        <v>242</v>
      </c>
      <c r="I916" s="13">
        <v>8</v>
      </c>
      <c r="J916" s="10">
        <v>588.11</v>
      </c>
      <c r="K916" s="10">
        <f t="shared" si="29"/>
        <v>4704.88</v>
      </c>
      <c r="L916" s="2">
        <v>0.15</v>
      </c>
      <c r="M916" s="2" t="s">
        <v>41</v>
      </c>
      <c r="N916" s="2" t="s">
        <v>52</v>
      </c>
    </row>
    <row r="917" spans="1:14" x14ac:dyDescent="0.2">
      <c r="A917" s="13">
        <v>100548</v>
      </c>
      <c r="B917" s="5">
        <v>45605</v>
      </c>
      <c r="C917" s="5" t="str">
        <f t="shared" si="28"/>
        <v>Nov</v>
      </c>
      <c r="D917" s="2" t="s">
        <v>710</v>
      </c>
      <c r="E917" s="2" t="s">
        <v>37</v>
      </c>
      <c r="F917" s="2" t="s">
        <v>38</v>
      </c>
      <c r="G917" s="2" t="s">
        <v>106</v>
      </c>
      <c r="H917" s="2" t="s">
        <v>156</v>
      </c>
      <c r="I917" s="13">
        <v>1</v>
      </c>
      <c r="J917" s="10">
        <v>2029.83</v>
      </c>
      <c r="K917" s="10">
        <f t="shared" si="29"/>
        <v>2029.83</v>
      </c>
      <c r="L917" s="2">
        <v>0.05</v>
      </c>
      <c r="M917" s="2" t="s">
        <v>83</v>
      </c>
      <c r="N917" s="2" t="s">
        <v>143</v>
      </c>
    </row>
    <row r="918" spans="1:14" x14ac:dyDescent="0.2">
      <c r="A918" s="13">
        <v>100714</v>
      </c>
      <c r="B918" s="5">
        <v>45617</v>
      </c>
      <c r="C918" s="5" t="str">
        <f t="shared" si="28"/>
        <v>Nov</v>
      </c>
      <c r="D918" s="2" t="s">
        <v>272</v>
      </c>
      <c r="E918" s="2" t="s">
        <v>37</v>
      </c>
      <c r="F918" s="2" t="s">
        <v>38</v>
      </c>
      <c r="G918" s="2" t="s">
        <v>64</v>
      </c>
      <c r="H918" s="2" t="s">
        <v>242</v>
      </c>
      <c r="I918" s="13">
        <v>12</v>
      </c>
      <c r="J918" s="10">
        <v>229.4</v>
      </c>
      <c r="K918" s="10">
        <f t="shared" si="29"/>
        <v>2752.8</v>
      </c>
      <c r="L918" s="2">
        <v>0.2</v>
      </c>
      <c r="M918" s="2" t="s">
        <v>41</v>
      </c>
      <c r="N918" s="2" t="s">
        <v>35</v>
      </c>
    </row>
    <row r="919" spans="1:14" x14ac:dyDescent="0.2">
      <c r="A919" s="13">
        <v>100396</v>
      </c>
      <c r="B919" s="5">
        <v>45637</v>
      </c>
      <c r="C919" s="5" t="str">
        <f t="shared" si="28"/>
        <v>Dec</v>
      </c>
      <c r="D919" s="2" t="s">
        <v>446</v>
      </c>
      <c r="E919" s="2" t="s">
        <v>37</v>
      </c>
      <c r="F919" s="2" t="s">
        <v>38</v>
      </c>
      <c r="G919" s="2" t="s">
        <v>33</v>
      </c>
      <c r="H919" s="2" t="s">
        <v>81</v>
      </c>
      <c r="I919" s="13">
        <v>12</v>
      </c>
      <c r="J919" s="10">
        <v>576.65</v>
      </c>
      <c r="K919" s="10">
        <f t="shared" si="29"/>
        <v>6919.7999999999993</v>
      </c>
      <c r="L919" s="2">
        <v>0</v>
      </c>
      <c r="M919" s="2" t="s">
        <v>66</v>
      </c>
      <c r="N919" s="2" t="s">
        <v>35</v>
      </c>
    </row>
    <row r="920" spans="1:14" x14ac:dyDescent="0.2">
      <c r="A920" s="13">
        <v>100784</v>
      </c>
      <c r="B920" s="5">
        <v>45517</v>
      </c>
      <c r="C920" s="5" t="str">
        <f t="shared" si="28"/>
        <v>Aug</v>
      </c>
      <c r="D920" s="2" t="s">
        <v>401</v>
      </c>
      <c r="E920" s="2" t="s">
        <v>61</v>
      </c>
      <c r="F920" s="2" t="s">
        <v>14</v>
      </c>
      <c r="G920" s="2" t="s">
        <v>50</v>
      </c>
      <c r="H920" s="2" t="s">
        <v>207</v>
      </c>
      <c r="I920" s="13">
        <v>5</v>
      </c>
      <c r="J920" s="10">
        <v>7669.71</v>
      </c>
      <c r="K920" s="10">
        <f t="shared" si="29"/>
        <v>38348.550000000003</v>
      </c>
      <c r="L920" s="2">
        <v>0.05</v>
      </c>
      <c r="M920" s="2" t="s">
        <v>24</v>
      </c>
      <c r="N920" s="2" t="s">
        <v>35</v>
      </c>
    </row>
    <row r="921" spans="1:14" x14ac:dyDescent="0.2">
      <c r="A921" s="13">
        <v>100400</v>
      </c>
      <c r="B921" s="5">
        <v>45333</v>
      </c>
      <c r="C921" s="5" t="str">
        <f t="shared" si="28"/>
        <v>Feb</v>
      </c>
      <c r="D921" s="2" t="s">
        <v>409</v>
      </c>
      <c r="E921" s="2" t="s">
        <v>27</v>
      </c>
      <c r="F921" s="2" t="s">
        <v>21</v>
      </c>
      <c r="G921" s="2" t="s">
        <v>106</v>
      </c>
      <c r="H921" s="2" t="s">
        <v>135</v>
      </c>
      <c r="I921" s="13">
        <v>5</v>
      </c>
      <c r="J921" s="10">
        <v>1641.41</v>
      </c>
      <c r="K921" s="10">
        <f t="shared" si="29"/>
        <v>8207.0500000000011</v>
      </c>
      <c r="L921" s="2">
        <v>0.15</v>
      </c>
      <c r="M921" s="2" t="s">
        <v>24</v>
      </c>
      <c r="N921" s="2" t="s">
        <v>143</v>
      </c>
    </row>
    <row r="922" spans="1:14" x14ac:dyDescent="0.2">
      <c r="A922" s="13">
        <v>100799</v>
      </c>
      <c r="B922" s="5">
        <v>45543</v>
      </c>
      <c r="C922" s="5" t="str">
        <f t="shared" si="28"/>
        <v>Sep</v>
      </c>
      <c r="D922" s="2" t="s">
        <v>774</v>
      </c>
      <c r="E922" s="2" t="s">
        <v>37</v>
      </c>
      <c r="F922" s="2" t="s">
        <v>69</v>
      </c>
      <c r="G922" s="2" t="s">
        <v>33</v>
      </c>
      <c r="H922" s="2" t="s">
        <v>158</v>
      </c>
      <c r="I922" s="13">
        <v>1</v>
      </c>
      <c r="J922" s="10">
        <v>164.97</v>
      </c>
      <c r="K922" s="10">
        <f t="shared" si="29"/>
        <v>164.97</v>
      </c>
      <c r="L922" s="2">
        <v>0.1</v>
      </c>
      <c r="M922" s="2" t="s">
        <v>83</v>
      </c>
      <c r="N922" s="2" t="s">
        <v>121</v>
      </c>
    </row>
    <row r="923" spans="1:14" x14ac:dyDescent="0.2">
      <c r="A923" s="13">
        <v>100619</v>
      </c>
      <c r="B923" s="5">
        <v>45345</v>
      </c>
      <c r="C923" s="5" t="str">
        <f t="shared" si="28"/>
        <v>Feb</v>
      </c>
      <c r="D923" s="2" t="s">
        <v>775</v>
      </c>
      <c r="E923" s="2" t="s">
        <v>61</v>
      </c>
      <c r="F923" s="2" t="s">
        <v>14</v>
      </c>
      <c r="G923" s="2" t="s">
        <v>64</v>
      </c>
      <c r="H923" s="2" t="s">
        <v>242</v>
      </c>
      <c r="I923" s="13">
        <v>5</v>
      </c>
      <c r="J923" s="10">
        <v>104.21</v>
      </c>
      <c r="K923" s="10">
        <f t="shared" si="29"/>
        <v>521.04999999999995</v>
      </c>
      <c r="L923" s="2">
        <v>0</v>
      </c>
      <c r="M923" s="2" t="s">
        <v>24</v>
      </c>
      <c r="N923" s="2" t="s">
        <v>52</v>
      </c>
    </row>
    <row r="924" spans="1:14" x14ac:dyDescent="0.2">
      <c r="A924" s="13">
        <v>101732</v>
      </c>
      <c r="B924" s="5">
        <v>45572</v>
      </c>
      <c r="C924" s="5" t="str">
        <f t="shared" si="28"/>
        <v>Oct</v>
      </c>
      <c r="D924" s="2" t="s">
        <v>628</v>
      </c>
      <c r="E924" s="2" t="s">
        <v>31</v>
      </c>
      <c r="F924" s="2" t="s">
        <v>32</v>
      </c>
      <c r="G924" s="2" t="s">
        <v>50</v>
      </c>
      <c r="H924" s="2" t="s">
        <v>62</v>
      </c>
      <c r="I924" s="13">
        <v>4</v>
      </c>
      <c r="J924" s="10">
        <v>3663.1</v>
      </c>
      <c r="K924" s="10">
        <f t="shared" si="29"/>
        <v>14652.4</v>
      </c>
      <c r="L924" s="2">
        <v>0</v>
      </c>
      <c r="M924" s="2" t="s">
        <v>41</v>
      </c>
      <c r="N924" s="2" t="s">
        <v>52</v>
      </c>
    </row>
    <row r="925" spans="1:14" x14ac:dyDescent="0.2">
      <c r="A925" s="13">
        <v>100509</v>
      </c>
      <c r="B925" s="5">
        <v>45336</v>
      </c>
      <c r="C925" s="5" t="str">
        <f t="shared" si="28"/>
        <v>Feb</v>
      </c>
      <c r="D925" s="2" t="s">
        <v>776</v>
      </c>
      <c r="E925" s="2" t="s">
        <v>31</v>
      </c>
      <c r="F925" s="2" t="s">
        <v>32</v>
      </c>
      <c r="G925" s="2" t="s">
        <v>106</v>
      </c>
      <c r="H925" s="2" t="s">
        <v>135</v>
      </c>
      <c r="I925" s="13">
        <v>7</v>
      </c>
      <c r="J925" s="10">
        <v>3112.93</v>
      </c>
      <c r="K925" s="10">
        <f t="shared" si="29"/>
        <v>21790.51</v>
      </c>
      <c r="L925" s="2">
        <v>0</v>
      </c>
      <c r="M925" s="2" t="s">
        <v>66</v>
      </c>
      <c r="N925" s="2" t="s">
        <v>143</v>
      </c>
    </row>
    <row r="926" spans="1:14" x14ac:dyDescent="0.2">
      <c r="A926" s="13">
        <v>101391</v>
      </c>
      <c r="B926" s="5">
        <v>45510</v>
      </c>
      <c r="C926" s="5" t="str">
        <f t="shared" si="28"/>
        <v>Aug</v>
      </c>
      <c r="D926" s="2" t="s">
        <v>779</v>
      </c>
      <c r="E926" s="2" t="s">
        <v>140</v>
      </c>
      <c r="F926" s="2" t="s">
        <v>49</v>
      </c>
      <c r="G926" s="2" t="s">
        <v>45</v>
      </c>
      <c r="H926" s="2" t="s">
        <v>149</v>
      </c>
      <c r="I926" s="13">
        <v>5</v>
      </c>
      <c r="J926" s="10">
        <v>38304.83</v>
      </c>
      <c r="K926" s="10">
        <f t="shared" si="29"/>
        <v>191524.15000000002</v>
      </c>
      <c r="L926" s="2">
        <v>0</v>
      </c>
      <c r="M926" s="2" t="s">
        <v>17</v>
      </c>
      <c r="N926" s="2" t="s">
        <v>42</v>
      </c>
    </row>
    <row r="927" spans="1:14" x14ac:dyDescent="0.2">
      <c r="A927" s="13">
        <v>100737</v>
      </c>
      <c r="B927" s="5">
        <v>45301</v>
      </c>
      <c r="C927" s="5" t="str">
        <f t="shared" si="28"/>
        <v>Jan</v>
      </c>
      <c r="D927" s="2" t="s">
        <v>490</v>
      </c>
      <c r="E927" s="2" t="s">
        <v>140</v>
      </c>
      <c r="F927" s="2" t="s">
        <v>49</v>
      </c>
      <c r="G927" s="2" t="s">
        <v>106</v>
      </c>
      <c r="H927" s="2" t="s">
        <v>137</v>
      </c>
      <c r="I927" s="13">
        <v>7</v>
      </c>
      <c r="J927" s="10">
        <v>4204.91</v>
      </c>
      <c r="K927" s="10">
        <f t="shared" si="29"/>
        <v>29434.37</v>
      </c>
      <c r="L927" s="2">
        <v>0.05</v>
      </c>
      <c r="M927" s="2" t="s">
        <v>17</v>
      </c>
      <c r="N927" s="2" t="s">
        <v>143</v>
      </c>
    </row>
    <row r="928" spans="1:14" x14ac:dyDescent="0.2">
      <c r="A928" s="13">
        <v>101159</v>
      </c>
      <c r="B928" s="5">
        <v>45460</v>
      </c>
      <c r="C928" s="5" t="str">
        <f t="shared" si="28"/>
        <v>Jun</v>
      </c>
      <c r="D928" s="2" t="s">
        <v>780</v>
      </c>
      <c r="E928" s="2" t="s">
        <v>140</v>
      </c>
      <c r="F928" s="2" t="s">
        <v>79</v>
      </c>
      <c r="G928" s="2" t="s">
        <v>33</v>
      </c>
      <c r="H928" s="2" t="s">
        <v>93</v>
      </c>
      <c r="I928" s="13">
        <v>5</v>
      </c>
      <c r="J928" s="10">
        <v>338.65</v>
      </c>
      <c r="K928" s="10">
        <f t="shared" si="29"/>
        <v>1693.25</v>
      </c>
      <c r="L928" s="2">
        <v>0</v>
      </c>
      <c r="M928" s="2" t="s">
        <v>29</v>
      </c>
      <c r="N928" s="2" t="s">
        <v>87</v>
      </c>
    </row>
    <row r="929" spans="1:14" x14ac:dyDescent="0.2">
      <c r="A929" s="13">
        <v>101696</v>
      </c>
      <c r="B929" s="5">
        <v>45478</v>
      </c>
      <c r="C929" s="5" t="str">
        <f t="shared" si="28"/>
        <v>Jul</v>
      </c>
      <c r="D929" s="2" t="s">
        <v>244</v>
      </c>
      <c r="E929" s="2" t="s">
        <v>140</v>
      </c>
      <c r="F929" s="2" t="s">
        <v>49</v>
      </c>
      <c r="G929" s="2" t="s">
        <v>22</v>
      </c>
      <c r="H929" s="2" t="s">
        <v>141</v>
      </c>
      <c r="I929" s="13">
        <v>-2</v>
      </c>
      <c r="J929" s="10">
        <v>0</v>
      </c>
      <c r="K929" s="10">
        <f t="shared" si="29"/>
        <v>0</v>
      </c>
      <c r="L929" s="2">
        <v>0</v>
      </c>
      <c r="M929" s="2" t="s">
        <v>29</v>
      </c>
      <c r="N929" s="2" t="s">
        <v>42</v>
      </c>
    </row>
    <row r="930" spans="1:14" x14ac:dyDescent="0.2">
      <c r="A930" s="13">
        <v>101085</v>
      </c>
      <c r="B930" s="5">
        <v>45400</v>
      </c>
      <c r="C930" s="5" t="str">
        <f t="shared" si="28"/>
        <v>Apr</v>
      </c>
      <c r="D930" s="2" t="s">
        <v>372</v>
      </c>
      <c r="E930" s="2" t="s">
        <v>37</v>
      </c>
      <c r="F930" s="2" t="s">
        <v>38</v>
      </c>
      <c r="G930" s="2" t="s">
        <v>64</v>
      </c>
      <c r="H930" s="2" t="s">
        <v>165</v>
      </c>
      <c r="I930" s="13">
        <v>-1</v>
      </c>
      <c r="J930" s="10">
        <v>431.57</v>
      </c>
      <c r="K930" s="10">
        <f t="shared" si="29"/>
        <v>-431.57</v>
      </c>
      <c r="L930" s="2">
        <v>0</v>
      </c>
      <c r="M930" s="2" t="s">
        <v>41</v>
      </c>
      <c r="N930" s="2" t="s">
        <v>35</v>
      </c>
    </row>
    <row r="931" spans="1:14" x14ac:dyDescent="0.2">
      <c r="A931" s="13">
        <v>100868</v>
      </c>
      <c r="B931" s="5">
        <v>45541</v>
      </c>
      <c r="C931" s="5" t="str">
        <f t="shared" si="28"/>
        <v>Sep</v>
      </c>
      <c r="D931" s="2" t="s">
        <v>782</v>
      </c>
      <c r="E931" s="2" t="s">
        <v>140</v>
      </c>
      <c r="F931" s="2" t="s">
        <v>49</v>
      </c>
      <c r="G931" s="2" t="s">
        <v>64</v>
      </c>
      <c r="H931" s="2" t="s">
        <v>40</v>
      </c>
      <c r="I931" s="13">
        <v>1</v>
      </c>
      <c r="J931" s="10">
        <v>694.95</v>
      </c>
      <c r="K931" s="10">
        <f t="shared" si="29"/>
        <v>694.95</v>
      </c>
      <c r="L931" s="2">
        <v>0</v>
      </c>
      <c r="M931" s="2" t="s">
        <v>83</v>
      </c>
      <c r="N931" s="2" t="s">
        <v>87</v>
      </c>
    </row>
    <row r="932" spans="1:14" x14ac:dyDescent="0.2">
      <c r="A932" s="13">
        <v>100460</v>
      </c>
      <c r="B932" s="5">
        <v>45312</v>
      </c>
      <c r="C932" s="5" t="str">
        <f t="shared" si="28"/>
        <v>Jan</v>
      </c>
      <c r="D932" s="2" t="s">
        <v>125</v>
      </c>
      <c r="E932" s="2" t="s">
        <v>140</v>
      </c>
      <c r="F932" s="2" t="s">
        <v>79</v>
      </c>
      <c r="G932" s="2" t="s">
        <v>33</v>
      </c>
      <c r="H932" s="2" t="s">
        <v>81</v>
      </c>
      <c r="I932" s="13">
        <v>8</v>
      </c>
      <c r="J932" s="10">
        <v>592.1</v>
      </c>
      <c r="K932" s="10">
        <f t="shared" si="29"/>
        <v>4736.8</v>
      </c>
      <c r="L932" s="2">
        <v>0</v>
      </c>
      <c r="M932" s="2" t="s">
        <v>29</v>
      </c>
      <c r="N932" s="2" t="s">
        <v>121</v>
      </c>
    </row>
    <row r="933" spans="1:14" x14ac:dyDescent="0.2">
      <c r="A933" s="13">
        <v>100971</v>
      </c>
      <c r="B933" s="5">
        <v>45521</v>
      </c>
      <c r="C933" s="5" t="str">
        <f t="shared" si="28"/>
        <v>Aug</v>
      </c>
      <c r="D933" s="2" t="s">
        <v>783</v>
      </c>
      <c r="E933" s="2" t="s">
        <v>61</v>
      </c>
      <c r="F933" s="2" t="s">
        <v>119</v>
      </c>
      <c r="G933" s="2" t="s">
        <v>22</v>
      </c>
      <c r="H933" s="2" t="s">
        <v>145</v>
      </c>
      <c r="I933" s="13">
        <v>3</v>
      </c>
      <c r="J933" s="10">
        <v>2960.3</v>
      </c>
      <c r="K933" s="10">
        <f t="shared" si="29"/>
        <v>8880.9000000000015</v>
      </c>
      <c r="L933" s="2">
        <v>0.15</v>
      </c>
      <c r="M933" s="2" t="s">
        <v>41</v>
      </c>
      <c r="N933" s="2" t="s">
        <v>143</v>
      </c>
    </row>
    <row r="934" spans="1:14" x14ac:dyDescent="0.2">
      <c r="A934" s="13">
        <v>100063</v>
      </c>
      <c r="B934" s="5">
        <v>45362</v>
      </c>
      <c r="C934" s="5" t="str">
        <f t="shared" si="28"/>
        <v>Mar</v>
      </c>
      <c r="D934" s="2" t="s">
        <v>742</v>
      </c>
      <c r="E934" s="2" t="s">
        <v>27</v>
      </c>
      <c r="F934" s="2" t="s">
        <v>21</v>
      </c>
      <c r="G934" s="2" t="s">
        <v>22</v>
      </c>
      <c r="H934" s="2" t="s">
        <v>232</v>
      </c>
      <c r="I934" s="13">
        <v>3</v>
      </c>
      <c r="J934" s="10">
        <v>2267.44</v>
      </c>
      <c r="K934" s="10">
        <f t="shared" si="29"/>
        <v>6802.32</v>
      </c>
      <c r="L934" s="2">
        <v>0.25</v>
      </c>
      <c r="M934" s="2" t="s">
        <v>83</v>
      </c>
      <c r="N934" s="2" t="s">
        <v>121</v>
      </c>
    </row>
    <row r="935" spans="1:14" x14ac:dyDescent="0.2">
      <c r="A935" s="13">
        <v>101851</v>
      </c>
      <c r="B935" s="5">
        <v>45342</v>
      </c>
      <c r="C935" s="5" t="str">
        <f t="shared" si="28"/>
        <v>Feb</v>
      </c>
      <c r="D935" s="2" t="s">
        <v>784</v>
      </c>
      <c r="E935" s="2" t="s">
        <v>140</v>
      </c>
      <c r="F935" s="2" t="s">
        <v>49</v>
      </c>
      <c r="G935" s="2" t="s">
        <v>33</v>
      </c>
      <c r="H935" s="2" t="s">
        <v>158</v>
      </c>
      <c r="I935" s="13">
        <v>1</v>
      </c>
      <c r="J935" s="10">
        <v>160.9</v>
      </c>
      <c r="K935" s="10">
        <f t="shared" si="29"/>
        <v>160.9</v>
      </c>
      <c r="L935" s="2">
        <v>0.05</v>
      </c>
      <c r="M935" s="2" t="s">
        <v>24</v>
      </c>
      <c r="N935" s="2" t="s">
        <v>18</v>
      </c>
    </row>
    <row r="936" spans="1:14" x14ac:dyDescent="0.2">
      <c r="A936" s="13">
        <v>100872</v>
      </c>
      <c r="B936" s="5">
        <v>45418</v>
      </c>
      <c r="C936" s="5" t="str">
        <f t="shared" si="28"/>
        <v>May</v>
      </c>
      <c r="D936" s="2" t="s">
        <v>688</v>
      </c>
      <c r="E936" s="2" t="s">
        <v>31</v>
      </c>
      <c r="F936" s="2" t="s">
        <v>32</v>
      </c>
      <c r="G936" s="2" t="s">
        <v>45</v>
      </c>
      <c r="H936" s="2" t="s">
        <v>149</v>
      </c>
      <c r="I936" s="13"/>
      <c r="J936" s="10">
        <v>5451.28</v>
      </c>
      <c r="K936" s="10">
        <f t="shared" si="29"/>
        <v>0</v>
      </c>
      <c r="L936" s="2">
        <v>0.05</v>
      </c>
      <c r="M936" s="2" t="s">
        <v>66</v>
      </c>
      <c r="N936" s="2" t="s">
        <v>87</v>
      </c>
    </row>
    <row r="937" spans="1:14" x14ac:dyDescent="0.2">
      <c r="A937" s="13">
        <v>100993</v>
      </c>
      <c r="B937" s="5">
        <v>45352</v>
      </c>
      <c r="C937" s="5" t="str">
        <f t="shared" si="28"/>
        <v>Mar</v>
      </c>
      <c r="D937" s="2" t="s">
        <v>317</v>
      </c>
      <c r="E937" s="2" t="s">
        <v>61</v>
      </c>
      <c r="F937" s="2" t="s">
        <v>119</v>
      </c>
      <c r="G937" s="2" t="s">
        <v>64</v>
      </c>
      <c r="H937" s="2" t="s">
        <v>40</v>
      </c>
      <c r="I937" s="13">
        <v>12</v>
      </c>
      <c r="J937" s="10">
        <v>419.94</v>
      </c>
      <c r="K937" s="10">
        <f t="shared" si="29"/>
        <v>5039.28</v>
      </c>
      <c r="L937" s="2">
        <v>0</v>
      </c>
      <c r="M937" s="2" t="s">
        <v>17</v>
      </c>
      <c r="N937" s="2" t="s">
        <v>52</v>
      </c>
    </row>
    <row r="938" spans="1:14" x14ac:dyDescent="0.2">
      <c r="A938" s="13">
        <v>101603</v>
      </c>
      <c r="B938" s="5">
        <v>45440</v>
      </c>
      <c r="C938" s="5" t="str">
        <f t="shared" si="28"/>
        <v>May</v>
      </c>
      <c r="D938" s="2" t="s">
        <v>534</v>
      </c>
      <c r="E938" s="2" t="s">
        <v>31</v>
      </c>
      <c r="F938" s="2" t="s">
        <v>32</v>
      </c>
      <c r="G938" s="2" t="s">
        <v>64</v>
      </c>
      <c r="H938" s="2" t="s">
        <v>242</v>
      </c>
      <c r="I938" s="13">
        <v>12</v>
      </c>
      <c r="J938" s="10">
        <v>881.46</v>
      </c>
      <c r="K938" s="10">
        <f t="shared" si="29"/>
        <v>10577.52</v>
      </c>
      <c r="L938" s="2">
        <v>0.2</v>
      </c>
      <c r="M938" s="2" t="s">
        <v>29</v>
      </c>
      <c r="N938" s="2" t="s">
        <v>87</v>
      </c>
    </row>
    <row r="939" spans="1:14" x14ac:dyDescent="0.2">
      <c r="A939" s="13">
        <v>100458</v>
      </c>
      <c r="B939" s="5">
        <v>45422</v>
      </c>
      <c r="C939" s="5" t="str">
        <f t="shared" si="28"/>
        <v>May</v>
      </c>
      <c r="D939" s="2" t="s">
        <v>1069</v>
      </c>
      <c r="E939" s="2" t="s">
        <v>140</v>
      </c>
      <c r="F939" s="2" t="s">
        <v>79</v>
      </c>
      <c r="G939" s="2" t="s">
        <v>50</v>
      </c>
      <c r="H939" s="2" t="s">
        <v>56</v>
      </c>
      <c r="I939" s="13">
        <v>10</v>
      </c>
      <c r="J939" s="10">
        <v>11926.92</v>
      </c>
      <c r="K939" s="10">
        <f t="shared" si="29"/>
        <v>119269.2</v>
      </c>
      <c r="L939" s="2">
        <v>0.15</v>
      </c>
      <c r="M939" s="2" t="s">
        <v>29</v>
      </c>
      <c r="N939" s="2" t="s">
        <v>25</v>
      </c>
    </row>
    <row r="940" spans="1:14" x14ac:dyDescent="0.2">
      <c r="A940" s="13">
        <v>100973</v>
      </c>
      <c r="B940" s="5">
        <v>45632</v>
      </c>
      <c r="C940" s="5" t="str">
        <f t="shared" si="28"/>
        <v>Dec</v>
      </c>
      <c r="D940" s="2" t="s">
        <v>628</v>
      </c>
      <c r="E940" s="2" t="s">
        <v>61</v>
      </c>
      <c r="F940" s="2" t="s">
        <v>119</v>
      </c>
      <c r="G940" s="2" t="s">
        <v>33</v>
      </c>
      <c r="H940" s="2" t="s">
        <v>158</v>
      </c>
      <c r="I940" s="13">
        <v>10</v>
      </c>
      <c r="J940" s="10">
        <v>457.87</v>
      </c>
      <c r="K940" s="10">
        <f t="shared" si="29"/>
        <v>4578.7</v>
      </c>
      <c r="L940" s="2">
        <v>0</v>
      </c>
      <c r="M940" s="2" t="s">
        <v>24</v>
      </c>
      <c r="N940" s="2" t="s">
        <v>52</v>
      </c>
    </row>
    <row r="941" spans="1:14" x14ac:dyDescent="0.2">
      <c r="A941" s="13">
        <v>100479</v>
      </c>
      <c r="B941" s="5">
        <v>45469</v>
      </c>
      <c r="C941" s="5" t="str">
        <f t="shared" si="28"/>
        <v>Jun</v>
      </c>
      <c r="D941" s="2" t="s">
        <v>704</v>
      </c>
      <c r="E941" s="2" t="s">
        <v>31</v>
      </c>
      <c r="F941" s="2" t="s">
        <v>32</v>
      </c>
      <c r="G941" s="2" t="s">
        <v>106</v>
      </c>
      <c r="H941" s="2" t="s">
        <v>137</v>
      </c>
      <c r="I941" s="13">
        <v>11</v>
      </c>
      <c r="J941" s="10">
        <v>2743.83</v>
      </c>
      <c r="K941" s="10">
        <f t="shared" si="29"/>
        <v>30182.129999999997</v>
      </c>
      <c r="L941" s="2">
        <v>0.2</v>
      </c>
      <c r="M941" s="2" t="s">
        <v>83</v>
      </c>
      <c r="N941" s="2" t="s">
        <v>25</v>
      </c>
    </row>
    <row r="942" spans="1:14" x14ac:dyDescent="0.2">
      <c r="A942" s="13">
        <v>101494</v>
      </c>
      <c r="B942" s="5">
        <v>45476</v>
      </c>
      <c r="C942" s="5" t="str">
        <f t="shared" si="28"/>
        <v>Jul</v>
      </c>
      <c r="D942" s="2" t="s">
        <v>446</v>
      </c>
      <c r="E942" s="2" t="s">
        <v>61</v>
      </c>
      <c r="F942" s="2" t="s">
        <v>14</v>
      </c>
      <c r="G942" s="2" t="s">
        <v>106</v>
      </c>
      <c r="H942" s="2" t="s">
        <v>156</v>
      </c>
      <c r="I942" s="13">
        <v>5</v>
      </c>
      <c r="J942" s="10">
        <v>3189.55</v>
      </c>
      <c r="K942" s="10">
        <f t="shared" si="29"/>
        <v>15947.75</v>
      </c>
      <c r="L942" s="2">
        <v>0</v>
      </c>
      <c r="M942" s="2" t="s">
        <v>83</v>
      </c>
      <c r="N942" s="2" t="s">
        <v>18</v>
      </c>
    </row>
    <row r="943" spans="1:14" x14ac:dyDescent="0.2">
      <c r="A943" s="13">
        <v>101536</v>
      </c>
      <c r="B943" s="5">
        <v>45647</v>
      </c>
      <c r="C943" s="5" t="str">
        <f t="shared" si="28"/>
        <v>Dec</v>
      </c>
      <c r="D943" s="2" t="s">
        <v>786</v>
      </c>
      <c r="E943" s="2" t="s">
        <v>61</v>
      </c>
      <c r="F943" s="2" t="s">
        <v>14</v>
      </c>
      <c r="G943" s="2" t="s">
        <v>22</v>
      </c>
      <c r="H943" s="2" t="s">
        <v>145</v>
      </c>
      <c r="I943" s="13">
        <v>11</v>
      </c>
      <c r="J943" s="10">
        <v>1784.91</v>
      </c>
      <c r="K943" s="10">
        <f t="shared" si="29"/>
        <v>19634.010000000002</v>
      </c>
      <c r="L943" s="2">
        <v>0.05</v>
      </c>
      <c r="M943" s="2" t="s">
        <v>17</v>
      </c>
      <c r="N943" s="2" t="s">
        <v>25</v>
      </c>
    </row>
    <row r="944" spans="1:14" x14ac:dyDescent="0.2">
      <c r="A944" s="13">
        <v>100871</v>
      </c>
      <c r="B944" s="5">
        <v>45570</v>
      </c>
      <c r="C944" s="5" t="str">
        <f t="shared" si="28"/>
        <v>Oct</v>
      </c>
      <c r="D944" s="2" t="s">
        <v>622</v>
      </c>
      <c r="E944" s="2" t="s">
        <v>37</v>
      </c>
      <c r="F944" s="2" t="s">
        <v>38</v>
      </c>
      <c r="G944" s="2" t="s">
        <v>15</v>
      </c>
      <c r="H944" s="2" t="s">
        <v>16</v>
      </c>
      <c r="I944" s="13">
        <v>4</v>
      </c>
      <c r="J944" s="10">
        <v>19734.52</v>
      </c>
      <c r="K944" s="10">
        <f t="shared" si="29"/>
        <v>78938.080000000002</v>
      </c>
      <c r="L944" s="2">
        <v>0</v>
      </c>
      <c r="M944" s="2" t="s">
        <v>83</v>
      </c>
      <c r="N944" s="2" t="s">
        <v>35</v>
      </c>
    </row>
    <row r="945" spans="1:14" x14ac:dyDescent="0.2">
      <c r="A945" s="13">
        <v>100791</v>
      </c>
      <c r="B945" s="5">
        <v>45516</v>
      </c>
      <c r="C945" s="5" t="str">
        <f t="shared" si="28"/>
        <v>Aug</v>
      </c>
      <c r="D945" s="2" t="s">
        <v>430</v>
      </c>
      <c r="E945" s="2" t="s">
        <v>31</v>
      </c>
      <c r="F945" s="2" t="s">
        <v>32</v>
      </c>
      <c r="G945" s="2" t="s">
        <v>15</v>
      </c>
      <c r="H945" s="2" t="s">
        <v>16</v>
      </c>
      <c r="I945" s="13">
        <v>5</v>
      </c>
      <c r="J945" s="10">
        <v>24650.17</v>
      </c>
      <c r="K945" s="10">
        <f t="shared" si="29"/>
        <v>123250.84999999999</v>
      </c>
      <c r="L945" s="2">
        <v>0.05</v>
      </c>
      <c r="M945" s="2" t="s">
        <v>17</v>
      </c>
      <c r="N945" s="2" t="s">
        <v>121</v>
      </c>
    </row>
    <row r="946" spans="1:14" x14ac:dyDescent="0.2">
      <c r="A946" s="13">
        <v>100618</v>
      </c>
      <c r="B946" s="5">
        <v>45518</v>
      </c>
      <c r="C946" s="5" t="str">
        <f t="shared" si="28"/>
        <v>Aug</v>
      </c>
      <c r="D946" s="2" t="s">
        <v>592</v>
      </c>
      <c r="E946" s="2" t="s">
        <v>61</v>
      </c>
      <c r="F946" s="2" t="s">
        <v>119</v>
      </c>
      <c r="G946" s="2" t="s">
        <v>50</v>
      </c>
      <c r="H946" s="2" t="s">
        <v>99</v>
      </c>
      <c r="I946" s="13">
        <v>4</v>
      </c>
      <c r="J946" s="10">
        <v>8864.9699999999993</v>
      </c>
      <c r="K946" s="10">
        <f t="shared" si="29"/>
        <v>35459.879999999997</v>
      </c>
      <c r="L946" s="2">
        <v>0</v>
      </c>
      <c r="M946" s="2" t="s">
        <v>41</v>
      </c>
      <c r="N946" s="2" t="s">
        <v>35</v>
      </c>
    </row>
    <row r="947" spans="1:14" x14ac:dyDescent="0.2">
      <c r="A947" s="13">
        <v>101879</v>
      </c>
      <c r="B947" s="5">
        <v>45351</v>
      </c>
      <c r="C947" s="5" t="str">
        <f t="shared" si="28"/>
        <v>Feb</v>
      </c>
      <c r="D947" s="2" t="s">
        <v>342</v>
      </c>
      <c r="E947" s="2" t="s">
        <v>37</v>
      </c>
      <c r="F947" s="2" t="s">
        <v>69</v>
      </c>
      <c r="G947" s="2" t="s">
        <v>106</v>
      </c>
      <c r="H947" s="2" t="s">
        <v>135</v>
      </c>
      <c r="I947" s="13">
        <v>5</v>
      </c>
      <c r="J947" s="10">
        <v>1658.6</v>
      </c>
      <c r="K947" s="10">
        <f t="shared" si="29"/>
        <v>8293</v>
      </c>
      <c r="L947" s="2">
        <v>0</v>
      </c>
      <c r="M947" s="2" t="s">
        <v>29</v>
      </c>
      <c r="N947" s="2" t="s">
        <v>35</v>
      </c>
    </row>
    <row r="948" spans="1:14" x14ac:dyDescent="0.2">
      <c r="A948" s="13">
        <v>101397</v>
      </c>
      <c r="B948" s="5">
        <v>45477</v>
      </c>
      <c r="C948" s="5" t="str">
        <f t="shared" si="28"/>
        <v>Jul</v>
      </c>
      <c r="D948" s="2" t="s">
        <v>867</v>
      </c>
      <c r="E948" s="2" t="s">
        <v>31</v>
      </c>
      <c r="F948" s="2" t="s">
        <v>54</v>
      </c>
      <c r="G948" s="2" t="s">
        <v>106</v>
      </c>
      <c r="H948" s="2" t="s">
        <v>137</v>
      </c>
      <c r="I948" s="13">
        <v>-3</v>
      </c>
      <c r="J948" s="10">
        <v>1186.92</v>
      </c>
      <c r="K948" s="10">
        <f t="shared" si="29"/>
        <v>-3560.76</v>
      </c>
      <c r="L948" s="2">
        <v>0.2</v>
      </c>
      <c r="M948" s="2" t="s">
        <v>17</v>
      </c>
      <c r="N948" s="2" t="s">
        <v>42</v>
      </c>
    </row>
    <row r="949" spans="1:14" x14ac:dyDescent="0.2">
      <c r="A949" s="13">
        <v>101436</v>
      </c>
      <c r="B949" s="5">
        <v>45577</v>
      </c>
      <c r="C949" s="5" t="str">
        <f t="shared" si="28"/>
        <v>Oct</v>
      </c>
      <c r="D949" s="2" t="s">
        <v>1069</v>
      </c>
      <c r="E949" s="2" t="s">
        <v>31</v>
      </c>
      <c r="F949" s="2" t="s">
        <v>32</v>
      </c>
      <c r="G949" s="2" t="s">
        <v>22</v>
      </c>
      <c r="H949" s="2" t="s">
        <v>23</v>
      </c>
      <c r="I949" s="13">
        <v>1</v>
      </c>
      <c r="J949" s="10">
        <v>508.46</v>
      </c>
      <c r="K949" s="10">
        <f t="shared" si="29"/>
        <v>508.46</v>
      </c>
      <c r="L949" s="2">
        <v>0</v>
      </c>
      <c r="M949" s="2" t="s">
        <v>83</v>
      </c>
      <c r="N949" s="2" t="s">
        <v>52</v>
      </c>
    </row>
    <row r="950" spans="1:14" x14ac:dyDescent="0.2">
      <c r="A950" s="13">
        <v>101708</v>
      </c>
      <c r="B950" s="5">
        <v>45310</v>
      </c>
      <c r="C950" s="5" t="str">
        <f t="shared" si="28"/>
        <v>Jan</v>
      </c>
      <c r="D950" s="2" t="s">
        <v>646</v>
      </c>
      <c r="E950" s="2" t="s">
        <v>37</v>
      </c>
      <c r="F950" s="2" t="s">
        <v>69</v>
      </c>
      <c r="G950" s="2" t="s">
        <v>33</v>
      </c>
      <c r="H950" s="2" t="s">
        <v>158</v>
      </c>
      <c r="I950" s="13">
        <v>12</v>
      </c>
      <c r="J950" s="10">
        <v>0</v>
      </c>
      <c r="K950" s="10">
        <f t="shared" si="29"/>
        <v>0</v>
      </c>
      <c r="L950" s="2">
        <v>0.1</v>
      </c>
      <c r="M950" s="2" t="s">
        <v>29</v>
      </c>
      <c r="N950" s="2" t="s">
        <v>18</v>
      </c>
    </row>
    <row r="951" spans="1:14" x14ac:dyDescent="0.2">
      <c r="A951" s="13">
        <v>101645</v>
      </c>
      <c r="B951" s="5">
        <v>45579</v>
      </c>
      <c r="C951" s="5" t="str">
        <f t="shared" si="28"/>
        <v>Oct</v>
      </c>
      <c r="D951" s="2" t="s">
        <v>626</v>
      </c>
      <c r="E951" s="2" t="s">
        <v>140</v>
      </c>
      <c r="F951" s="2" t="s">
        <v>79</v>
      </c>
      <c r="G951" s="2" t="s">
        <v>64</v>
      </c>
      <c r="H951" s="2" t="s">
        <v>165</v>
      </c>
      <c r="I951" s="13">
        <v>11</v>
      </c>
      <c r="J951" s="10">
        <v>208.02</v>
      </c>
      <c r="K951" s="10">
        <f t="shared" si="29"/>
        <v>2288.2200000000003</v>
      </c>
      <c r="L951" s="2">
        <v>0.05</v>
      </c>
      <c r="M951" s="2" t="s">
        <v>24</v>
      </c>
      <c r="N951" s="2" t="s">
        <v>35</v>
      </c>
    </row>
    <row r="952" spans="1:14" x14ac:dyDescent="0.2">
      <c r="A952" s="13">
        <v>100348</v>
      </c>
      <c r="B952" s="5">
        <v>45534</v>
      </c>
      <c r="C952" s="5" t="str">
        <f t="shared" si="28"/>
        <v>Aug</v>
      </c>
      <c r="D952" s="2" t="s">
        <v>216</v>
      </c>
      <c r="E952" s="2" t="s">
        <v>61</v>
      </c>
      <c r="F952" s="2" t="s">
        <v>119</v>
      </c>
      <c r="G952" s="2" t="s">
        <v>22</v>
      </c>
      <c r="H952" s="2" t="s">
        <v>141</v>
      </c>
      <c r="I952" s="13">
        <v>9</v>
      </c>
      <c r="J952" s="10">
        <v>2498.48</v>
      </c>
      <c r="K952" s="10">
        <f t="shared" si="29"/>
        <v>22486.32</v>
      </c>
      <c r="L952" s="2">
        <v>0.2</v>
      </c>
      <c r="M952" s="2" t="s">
        <v>41</v>
      </c>
      <c r="N952" s="2" t="s">
        <v>52</v>
      </c>
    </row>
    <row r="953" spans="1:14" x14ac:dyDescent="0.2">
      <c r="A953" s="13">
        <v>101088</v>
      </c>
      <c r="B953" s="5">
        <v>45453</v>
      </c>
      <c r="C953" s="5" t="str">
        <f t="shared" si="28"/>
        <v>Jun</v>
      </c>
      <c r="D953" s="2" t="s">
        <v>650</v>
      </c>
      <c r="E953" s="2" t="s">
        <v>27</v>
      </c>
      <c r="F953" s="2" t="s">
        <v>133</v>
      </c>
      <c r="G953" s="2" t="s">
        <v>22</v>
      </c>
      <c r="H953" s="2" t="s">
        <v>145</v>
      </c>
      <c r="I953" s="13">
        <v>11</v>
      </c>
      <c r="J953" s="10">
        <v>0</v>
      </c>
      <c r="K953" s="10">
        <f t="shared" si="29"/>
        <v>0</v>
      </c>
      <c r="L953" s="2">
        <v>0.05</v>
      </c>
      <c r="M953" s="2" t="s">
        <v>29</v>
      </c>
      <c r="N953" s="2" t="s">
        <v>87</v>
      </c>
    </row>
    <row r="954" spans="1:14" x14ac:dyDescent="0.2">
      <c r="A954" s="13">
        <v>101995</v>
      </c>
      <c r="B954" s="5">
        <v>45384</v>
      </c>
      <c r="C954" s="5" t="str">
        <f t="shared" si="28"/>
        <v>Apr</v>
      </c>
      <c r="D954" s="2" t="s">
        <v>569</v>
      </c>
      <c r="E954" s="2" t="s">
        <v>37</v>
      </c>
      <c r="F954" s="2" t="s">
        <v>38</v>
      </c>
      <c r="G954" s="2" t="s">
        <v>64</v>
      </c>
      <c r="H954" s="2" t="s">
        <v>292</v>
      </c>
      <c r="I954" s="13">
        <v>7</v>
      </c>
      <c r="J954" s="10">
        <v>294.08999999999997</v>
      </c>
      <c r="K954" s="10">
        <f t="shared" si="29"/>
        <v>2058.6299999999997</v>
      </c>
      <c r="L954" s="2">
        <v>0</v>
      </c>
      <c r="M954" s="2" t="s">
        <v>41</v>
      </c>
      <c r="N954" s="2" t="s">
        <v>18</v>
      </c>
    </row>
    <row r="955" spans="1:14" x14ac:dyDescent="0.2">
      <c r="A955" s="13">
        <v>100979</v>
      </c>
      <c r="B955" s="5">
        <v>45484</v>
      </c>
      <c r="C955" s="5" t="str">
        <f t="shared" si="28"/>
        <v>Jul</v>
      </c>
      <c r="D955" s="2" t="s">
        <v>790</v>
      </c>
      <c r="E955" s="2" t="s">
        <v>27</v>
      </c>
      <c r="F955" s="2" t="s">
        <v>133</v>
      </c>
      <c r="G955" s="2" t="s">
        <v>50</v>
      </c>
      <c r="H955" s="2" t="s">
        <v>56</v>
      </c>
      <c r="I955" s="13">
        <v>1</v>
      </c>
      <c r="J955" s="10">
        <v>11493.28</v>
      </c>
      <c r="K955" s="10">
        <f t="shared" si="29"/>
        <v>11493.28</v>
      </c>
      <c r="L955" s="2">
        <v>0.25</v>
      </c>
      <c r="M955" s="2" t="s">
        <v>29</v>
      </c>
      <c r="N955" s="2" t="s">
        <v>18</v>
      </c>
    </row>
    <row r="956" spans="1:14" x14ac:dyDescent="0.2">
      <c r="A956" s="13">
        <v>100761</v>
      </c>
      <c r="B956" s="5">
        <v>45643</v>
      </c>
      <c r="C956" s="5" t="str">
        <f t="shared" si="28"/>
        <v>Dec</v>
      </c>
      <c r="D956" s="2" t="s">
        <v>53</v>
      </c>
      <c r="E956" s="2" t="s">
        <v>37</v>
      </c>
      <c r="F956" s="2" t="s">
        <v>38</v>
      </c>
      <c r="G956" s="2" t="s">
        <v>45</v>
      </c>
      <c r="H956" s="2" t="s">
        <v>153</v>
      </c>
      <c r="I956" s="13">
        <v>12</v>
      </c>
      <c r="J956" s="10">
        <v>26856.11</v>
      </c>
      <c r="K956" s="10">
        <f t="shared" si="29"/>
        <v>322273.32</v>
      </c>
      <c r="L956" s="2">
        <v>0.2</v>
      </c>
      <c r="M956" s="2" t="s">
        <v>29</v>
      </c>
      <c r="N956" s="2" t="s">
        <v>35</v>
      </c>
    </row>
    <row r="957" spans="1:14" x14ac:dyDescent="0.2">
      <c r="A957" s="13">
        <v>100955</v>
      </c>
      <c r="B957" s="5">
        <v>45304</v>
      </c>
      <c r="C957" s="5" t="str">
        <f t="shared" si="28"/>
        <v>Jan</v>
      </c>
      <c r="D957" s="2" t="s">
        <v>183</v>
      </c>
      <c r="E957" s="2" t="s">
        <v>37</v>
      </c>
      <c r="F957" s="2" t="s">
        <v>69</v>
      </c>
      <c r="G957" s="2" t="s">
        <v>50</v>
      </c>
      <c r="H957" s="2" t="s">
        <v>99</v>
      </c>
      <c r="I957" s="13">
        <v>9</v>
      </c>
      <c r="J957" s="10">
        <v>8991.2199999999993</v>
      </c>
      <c r="K957" s="10">
        <f t="shared" si="29"/>
        <v>80920.98</v>
      </c>
      <c r="L957" s="2">
        <v>0</v>
      </c>
      <c r="M957" s="2" t="s">
        <v>41</v>
      </c>
      <c r="N957" s="2" t="s">
        <v>35</v>
      </c>
    </row>
    <row r="958" spans="1:14" x14ac:dyDescent="0.2">
      <c r="A958" s="13">
        <v>100447</v>
      </c>
      <c r="B958" s="5">
        <v>45645</v>
      </c>
      <c r="C958" s="5" t="str">
        <f t="shared" si="28"/>
        <v>Dec</v>
      </c>
      <c r="D958" s="2" t="s">
        <v>599</v>
      </c>
      <c r="E958" s="2" t="s">
        <v>27</v>
      </c>
      <c r="F958" s="2" t="s">
        <v>133</v>
      </c>
      <c r="G958" s="2" t="s">
        <v>33</v>
      </c>
      <c r="H958" s="2" t="s">
        <v>34</v>
      </c>
      <c r="I958" s="13">
        <v>9</v>
      </c>
      <c r="J958" s="10">
        <v>500.21</v>
      </c>
      <c r="K958" s="10">
        <f t="shared" si="29"/>
        <v>4501.8899999999994</v>
      </c>
      <c r="L958" s="2">
        <v>0</v>
      </c>
      <c r="M958" s="2" t="s">
        <v>17</v>
      </c>
      <c r="N958" s="2" t="s">
        <v>25</v>
      </c>
    </row>
    <row r="959" spans="1:14" x14ac:dyDescent="0.2">
      <c r="A959" s="13">
        <v>100651</v>
      </c>
      <c r="B959" s="5">
        <v>45552</v>
      </c>
      <c r="C959" s="5" t="str">
        <f t="shared" si="28"/>
        <v>Sep</v>
      </c>
      <c r="D959" s="2" t="s">
        <v>792</v>
      </c>
      <c r="E959" s="2" t="s">
        <v>61</v>
      </c>
      <c r="F959" s="2" t="s">
        <v>119</v>
      </c>
      <c r="G959" s="2" t="s">
        <v>106</v>
      </c>
      <c r="H959" s="2" t="s">
        <v>135</v>
      </c>
      <c r="I959" s="13">
        <v>8</v>
      </c>
      <c r="J959" s="10">
        <v>2303.15</v>
      </c>
      <c r="K959" s="10">
        <f t="shared" si="29"/>
        <v>18425.2</v>
      </c>
      <c r="L959" s="2">
        <v>0.05</v>
      </c>
      <c r="M959" s="2" t="s">
        <v>24</v>
      </c>
      <c r="N959" s="2" t="s">
        <v>35</v>
      </c>
    </row>
    <row r="960" spans="1:14" x14ac:dyDescent="0.2">
      <c r="A960" s="13">
        <v>101252</v>
      </c>
      <c r="B960" s="5">
        <v>45543</v>
      </c>
      <c r="C960" s="5" t="str">
        <f t="shared" si="28"/>
        <v>Sep</v>
      </c>
      <c r="D960" s="2" t="s">
        <v>567</v>
      </c>
      <c r="E960" s="2" t="s">
        <v>27</v>
      </c>
      <c r="F960" s="2" t="s">
        <v>21</v>
      </c>
      <c r="G960" s="2" t="s">
        <v>106</v>
      </c>
      <c r="H960" s="2" t="s">
        <v>156</v>
      </c>
      <c r="I960" s="13">
        <v>4</v>
      </c>
      <c r="J960" s="10">
        <v>3310.47</v>
      </c>
      <c r="K960" s="10">
        <f t="shared" si="29"/>
        <v>13241.88</v>
      </c>
      <c r="L960" s="2">
        <v>0</v>
      </c>
      <c r="M960" s="2" t="s">
        <v>17</v>
      </c>
      <c r="N960" s="2" t="s">
        <v>25</v>
      </c>
    </row>
    <row r="961" spans="1:14" x14ac:dyDescent="0.2">
      <c r="A961" s="13">
        <v>101818</v>
      </c>
      <c r="B961" s="5">
        <v>45631</v>
      </c>
      <c r="C961" s="5" t="str">
        <f t="shared" si="28"/>
        <v>Dec</v>
      </c>
      <c r="D961" s="2" t="s">
        <v>793</v>
      </c>
      <c r="E961" s="2" t="s">
        <v>31</v>
      </c>
      <c r="F961" s="2" t="s">
        <v>32</v>
      </c>
      <c r="G961" s="2" t="s">
        <v>64</v>
      </c>
      <c r="H961" s="2" t="s">
        <v>40</v>
      </c>
      <c r="I961" s="13">
        <v>3</v>
      </c>
      <c r="J961" s="10">
        <v>640.1</v>
      </c>
      <c r="K961" s="10">
        <f t="shared" si="29"/>
        <v>1920.3000000000002</v>
      </c>
      <c r="L961" s="2">
        <v>0</v>
      </c>
      <c r="M961" s="2" t="s">
        <v>17</v>
      </c>
      <c r="N961" s="2" t="s">
        <v>52</v>
      </c>
    </row>
    <row r="962" spans="1:14" x14ac:dyDescent="0.2">
      <c r="A962" s="13">
        <v>100380</v>
      </c>
      <c r="B962" s="5">
        <v>45482</v>
      </c>
      <c r="C962" s="5" t="str">
        <f t="shared" ref="C962:C1025" si="30">TEXT(B962,"mmm")</f>
        <v>Jul</v>
      </c>
      <c r="D962" s="2" t="s">
        <v>783</v>
      </c>
      <c r="E962" s="2" t="s">
        <v>61</v>
      </c>
      <c r="F962" s="2" t="s">
        <v>119</v>
      </c>
      <c r="G962" s="2" t="s">
        <v>22</v>
      </c>
      <c r="H962" s="2" t="s">
        <v>23</v>
      </c>
      <c r="I962" s="13">
        <v>9</v>
      </c>
      <c r="J962" s="10">
        <v>2351.3200000000002</v>
      </c>
      <c r="K962" s="10">
        <f t="shared" ref="K962:K1025" si="31">I962*J962</f>
        <v>21161.88</v>
      </c>
      <c r="L962" s="2">
        <v>0.05</v>
      </c>
      <c r="M962" s="2" t="s">
        <v>29</v>
      </c>
      <c r="N962" s="2" t="s">
        <v>18</v>
      </c>
    </row>
    <row r="963" spans="1:14" x14ac:dyDescent="0.2">
      <c r="A963" s="13">
        <v>100565</v>
      </c>
      <c r="B963" s="5">
        <v>45559</v>
      </c>
      <c r="C963" s="5" t="str">
        <f t="shared" si="30"/>
        <v>Sep</v>
      </c>
      <c r="D963" s="2" t="s">
        <v>794</v>
      </c>
      <c r="E963" s="2" t="s">
        <v>27</v>
      </c>
      <c r="F963" s="2" t="s">
        <v>133</v>
      </c>
      <c r="G963" s="2" t="s">
        <v>22</v>
      </c>
      <c r="H963" s="2" t="s">
        <v>75</v>
      </c>
      <c r="I963" s="13">
        <v>12</v>
      </c>
      <c r="J963" s="10">
        <v>2535.88</v>
      </c>
      <c r="K963" s="10">
        <f t="shared" si="31"/>
        <v>30430.560000000001</v>
      </c>
      <c r="L963" s="2">
        <v>0</v>
      </c>
      <c r="M963" s="2" t="s">
        <v>41</v>
      </c>
      <c r="N963" s="2" t="s">
        <v>25</v>
      </c>
    </row>
    <row r="964" spans="1:14" x14ac:dyDescent="0.2">
      <c r="A964" s="13">
        <v>101351</v>
      </c>
      <c r="B964" s="5">
        <v>45531</v>
      </c>
      <c r="C964" s="5" t="str">
        <f t="shared" si="30"/>
        <v>Aug</v>
      </c>
      <c r="D964" s="2" t="s">
        <v>794</v>
      </c>
      <c r="E964" s="2" t="s">
        <v>31</v>
      </c>
      <c r="F964" s="2" t="s">
        <v>32</v>
      </c>
      <c r="G964" s="2" t="s">
        <v>64</v>
      </c>
      <c r="H964" s="2" t="s">
        <v>114</v>
      </c>
      <c r="I964" s="13"/>
      <c r="J964" s="10">
        <v>269.83</v>
      </c>
      <c r="K964" s="10">
        <f t="shared" si="31"/>
        <v>0</v>
      </c>
      <c r="L964" s="2">
        <v>0</v>
      </c>
      <c r="M964" s="2" t="s">
        <v>83</v>
      </c>
      <c r="N964" s="2" t="s">
        <v>52</v>
      </c>
    </row>
    <row r="965" spans="1:14" x14ac:dyDescent="0.2">
      <c r="A965" s="13">
        <v>101762</v>
      </c>
      <c r="B965" s="5">
        <v>45317</v>
      </c>
      <c r="C965" s="5" t="str">
        <f t="shared" si="30"/>
        <v>Jan</v>
      </c>
      <c r="D965" s="2" t="s">
        <v>795</v>
      </c>
      <c r="E965" s="2" t="s">
        <v>27</v>
      </c>
      <c r="F965" s="2" t="s">
        <v>133</v>
      </c>
      <c r="G965" s="2" t="s">
        <v>64</v>
      </c>
      <c r="H965" s="2" t="s">
        <v>292</v>
      </c>
      <c r="I965" s="13">
        <v>1</v>
      </c>
      <c r="J965" s="10">
        <v>337.68</v>
      </c>
      <c r="K965" s="10">
        <f t="shared" si="31"/>
        <v>337.68</v>
      </c>
      <c r="L965" s="2">
        <v>0</v>
      </c>
      <c r="M965" s="2" t="s">
        <v>24</v>
      </c>
      <c r="N965" s="2" t="s">
        <v>87</v>
      </c>
    </row>
    <row r="966" spans="1:14" x14ac:dyDescent="0.2">
      <c r="A966" s="13">
        <v>101298</v>
      </c>
      <c r="B966" s="5">
        <v>45501</v>
      </c>
      <c r="C966" s="5" t="str">
        <f t="shared" si="30"/>
        <v>Jul</v>
      </c>
      <c r="D966" s="2" t="s">
        <v>542</v>
      </c>
      <c r="E966" s="2" t="s">
        <v>37</v>
      </c>
      <c r="F966" s="2" t="s">
        <v>69</v>
      </c>
      <c r="G966" s="2" t="s">
        <v>50</v>
      </c>
      <c r="H966" s="2" t="s">
        <v>207</v>
      </c>
      <c r="I966" s="13">
        <v>2</v>
      </c>
      <c r="J966" s="10">
        <v>9419.2800000000007</v>
      </c>
      <c r="K966" s="10">
        <f t="shared" si="31"/>
        <v>18838.560000000001</v>
      </c>
      <c r="L966" s="2">
        <v>0.2</v>
      </c>
      <c r="M966" s="2" t="s">
        <v>41</v>
      </c>
      <c r="N966" s="2" t="s">
        <v>87</v>
      </c>
    </row>
    <row r="967" spans="1:14" x14ac:dyDescent="0.2">
      <c r="A967" s="13">
        <v>100957</v>
      </c>
      <c r="B967" s="5">
        <v>45299</v>
      </c>
      <c r="C967" s="5" t="str">
        <f t="shared" si="30"/>
        <v>Jan</v>
      </c>
      <c r="D967" s="2" t="s">
        <v>796</v>
      </c>
      <c r="E967" s="2" t="s">
        <v>140</v>
      </c>
      <c r="F967" s="2" t="s">
        <v>49</v>
      </c>
      <c r="G967" s="2" t="s">
        <v>64</v>
      </c>
      <c r="H967" s="2" t="s">
        <v>292</v>
      </c>
      <c r="I967" s="13">
        <v>11</v>
      </c>
      <c r="J967" s="10">
        <v>64.42</v>
      </c>
      <c r="K967" s="10">
        <f t="shared" si="31"/>
        <v>708.62</v>
      </c>
      <c r="L967" s="2">
        <v>0</v>
      </c>
      <c r="M967" s="2" t="s">
        <v>83</v>
      </c>
      <c r="N967" s="2" t="s">
        <v>52</v>
      </c>
    </row>
    <row r="968" spans="1:14" x14ac:dyDescent="0.2">
      <c r="A968" s="13">
        <v>101942</v>
      </c>
      <c r="B968" s="5">
        <v>45417</v>
      </c>
      <c r="C968" s="5" t="str">
        <f t="shared" si="30"/>
        <v>May</v>
      </c>
      <c r="D968" s="2" t="s">
        <v>490</v>
      </c>
      <c r="E968" s="2" t="s">
        <v>31</v>
      </c>
      <c r="F968" s="2" t="s">
        <v>32</v>
      </c>
      <c r="G968" s="2" t="s">
        <v>64</v>
      </c>
      <c r="H968" s="2" t="s">
        <v>242</v>
      </c>
      <c r="I968" s="13">
        <v>7</v>
      </c>
      <c r="J968" s="10">
        <v>462.8</v>
      </c>
      <c r="K968" s="10">
        <f t="shared" si="31"/>
        <v>3239.6</v>
      </c>
      <c r="L968" s="2">
        <v>0</v>
      </c>
      <c r="M968" s="2" t="s">
        <v>17</v>
      </c>
      <c r="N968" s="2" t="s">
        <v>87</v>
      </c>
    </row>
    <row r="969" spans="1:14" x14ac:dyDescent="0.2">
      <c r="A969" s="13">
        <v>100987</v>
      </c>
      <c r="B969" s="5">
        <v>45422</v>
      </c>
      <c r="C969" s="5" t="str">
        <f t="shared" si="30"/>
        <v>May</v>
      </c>
      <c r="D969" s="2" t="s">
        <v>562</v>
      </c>
      <c r="E969" s="2" t="s">
        <v>31</v>
      </c>
      <c r="F969" s="2" t="s">
        <v>54</v>
      </c>
      <c r="G969" s="2" t="s">
        <v>15</v>
      </c>
      <c r="H969" s="2" t="s">
        <v>152</v>
      </c>
      <c r="I969" s="13">
        <v>10</v>
      </c>
      <c r="J969" s="10">
        <v>2530.33</v>
      </c>
      <c r="K969" s="10">
        <f t="shared" si="31"/>
        <v>25303.3</v>
      </c>
      <c r="L969" s="2">
        <v>0.05</v>
      </c>
      <c r="M969" s="2" t="s">
        <v>41</v>
      </c>
      <c r="N969" s="2" t="s">
        <v>18</v>
      </c>
    </row>
    <row r="970" spans="1:14" x14ac:dyDescent="0.2">
      <c r="A970" s="13">
        <v>100921</v>
      </c>
      <c r="B970" s="5">
        <v>45599</v>
      </c>
      <c r="C970" s="5" t="str">
        <f t="shared" si="30"/>
        <v>Nov</v>
      </c>
      <c r="D970" s="2" t="s">
        <v>430</v>
      </c>
      <c r="E970" s="2" t="s">
        <v>31</v>
      </c>
      <c r="F970" s="2" t="s">
        <v>54</v>
      </c>
      <c r="G970" s="2" t="s">
        <v>106</v>
      </c>
      <c r="H970" s="2" t="s">
        <v>156</v>
      </c>
      <c r="I970" s="13">
        <v>10</v>
      </c>
      <c r="J970" s="10">
        <v>1122.21</v>
      </c>
      <c r="K970" s="10">
        <f t="shared" si="31"/>
        <v>11222.1</v>
      </c>
      <c r="L970" s="2">
        <v>0.2</v>
      </c>
      <c r="M970" s="2" t="s">
        <v>29</v>
      </c>
      <c r="N970" s="2" t="s">
        <v>42</v>
      </c>
    </row>
    <row r="971" spans="1:14" x14ac:dyDescent="0.2">
      <c r="A971" s="13">
        <v>100232</v>
      </c>
      <c r="B971" s="5">
        <v>45402</v>
      </c>
      <c r="C971" s="5" t="str">
        <f t="shared" si="30"/>
        <v>Apr</v>
      </c>
      <c r="D971" s="2" t="s">
        <v>490</v>
      </c>
      <c r="E971" s="2" t="s">
        <v>61</v>
      </c>
      <c r="F971" s="2" t="s">
        <v>119</v>
      </c>
      <c r="G971" s="2" t="s">
        <v>50</v>
      </c>
      <c r="H971" s="2" t="s">
        <v>62</v>
      </c>
      <c r="I971" s="13">
        <v>3</v>
      </c>
      <c r="J971" s="10">
        <v>8698.31</v>
      </c>
      <c r="K971" s="10">
        <f t="shared" si="31"/>
        <v>26094.93</v>
      </c>
      <c r="L971" s="2">
        <v>0</v>
      </c>
      <c r="M971" s="2" t="s">
        <v>83</v>
      </c>
      <c r="N971" s="2" t="s">
        <v>18</v>
      </c>
    </row>
    <row r="972" spans="1:14" x14ac:dyDescent="0.2">
      <c r="A972" s="13">
        <v>101227</v>
      </c>
      <c r="B972" s="5">
        <v>45641</v>
      </c>
      <c r="C972" s="5" t="str">
        <f t="shared" si="30"/>
        <v>Dec</v>
      </c>
      <c r="D972" s="2" t="s">
        <v>174</v>
      </c>
      <c r="E972" s="2" t="s">
        <v>37</v>
      </c>
      <c r="F972" s="2" t="s">
        <v>69</v>
      </c>
      <c r="G972" s="2" t="s">
        <v>33</v>
      </c>
      <c r="H972" s="2" t="s">
        <v>158</v>
      </c>
      <c r="I972" s="13">
        <v>4</v>
      </c>
      <c r="J972" s="10">
        <v>551.20000000000005</v>
      </c>
      <c r="K972" s="10">
        <f t="shared" si="31"/>
        <v>2204.8000000000002</v>
      </c>
      <c r="L972" s="2">
        <v>0</v>
      </c>
      <c r="M972" s="2" t="s">
        <v>66</v>
      </c>
      <c r="N972" s="2" t="s">
        <v>143</v>
      </c>
    </row>
    <row r="973" spans="1:14" x14ac:dyDescent="0.2">
      <c r="A973" s="13">
        <v>100383</v>
      </c>
      <c r="B973" s="5">
        <v>45587</v>
      </c>
      <c r="C973" s="5" t="str">
        <f t="shared" si="30"/>
        <v>Oct</v>
      </c>
      <c r="D973" s="2" t="s">
        <v>320</v>
      </c>
      <c r="E973" s="2" t="s">
        <v>37</v>
      </c>
      <c r="F973" s="2" t="s">
        <v>69</v>
      </c>
      <c r="G973" s="2" t="s">
        <v>50</v>
      </c>
      <c r="H973" s="2" t="s">
        <v>99</v>
      </c>
      <c r="I973" s="13">
        <v>1</v>
      </c>
      <c r="J973" s="10">
        <v>11185.33</v>
      </c>
      <c r="K973" s="10">
        <f t="shared" si="31"/>
        <v>11185.33</v>
      </c>
      <c r="L973" s="2">
        <v>0.15</v>
      </c>
      <c r="M973" s="2" t="s">
        <v>29</v>
      </c>
      <c r="N973" s="2" t="s">
        <v>52</v>
      </c>
    </row>
    <row r="974" spans="1:14" x14ac:dyDescent="0.2">
      <c r="A974" s="13">
        <v>100655</v>
      </c>
      <c r="B974" s="5">
        <v>45654</v>
      </c>
      <c r="C974" s="5" t="str">
        <f t="shared" si="30"/>
        <v>Dec</v>
      </c>
      <c r="D974" s="2" t="s">
        <v>797</v>
      </c>
      <c r="E974" s="2" t="s">
        <v>37</v>
      </c>
      <c r="F974" s="2" t="s">
        <v>38</v>
      </c>
      <c r="G974" s="2" t="s">
        <v>45</v>
      </c>
      <c r="H974" s="2" t="s">
        <v>153</v>
      </c>
      <c r="I974" s="13">
        <v>4</v>
      </c>
      <c r="J974" s="10">
        <v>19639.53</v>
      </c>
      <c r="K974" s="10">
        <f t="shared" si="31"/>
        <v>78558.12</v>
      </c>
      <c r="L974" s="2">
        <v>0.25</v>
      </c>
      <c r="M974" s="2" t="s">
        <v>29</v>
      </c>
      <c r="N974" s="2" t="s">
        <v>42</v>
      </c>
    </row>
    <row r="975" spans="1:14" x14ac:dyDescent="0.2">
      <c r="A975" s="13">
        <v>101229</v>
      </c>
      <c r="B975" s="5">
        <v>45532</v>
      </c>
      <c r="C975" s="5" t="str">
        <f t="shared" si="30"/>
        <v>Aug</v>
      </c>
      <c r="D975" s="2" t="s">
        <v>799</v>
      </c>
      <c r="E975" s="2" t="s">
        <v>31</v>
      </c>
      <c r="F975" s="2" t="s">
        <v>32</v>
      </c>
      <c r="G975" s="2" t="s">
        <v>106</v>
      </c>
      <c r="H975" s="2" t="s">
        <v>137</v>
      </c>
      <c r="I975" s="13">
        <v>12</v>
      </c>
      <c r="J975" s="10">
        <v>940.8</v>
      </c>
      <c r="K975" s="10">
        <f t="shared" si="31"/>
        <v>11289.599999999999</v>
      </c>
      <c r="L975" s="2">
        <v>0</v>
      </c>
      <c r="M975" s="2" t="s">
        <v>83</v>
      </c>
      <c r="N975" s="2" t="s">
        <v>42</v>
      </c>
    </row>
    <row r="976" spans="1:14" x14ac:dyDescent="0.2">
      <c r="A976" s="13">
        <v>100073</v>
      </c>
      <c r="B976" s="5">
        <v>45438</v>
      </c>
      <c r="C976" s="5" t="str">
        <f t="shared" si="30"/>
        <v>May</v>
      </c>
      <c r="D976" s="2" t="s">
        <v>240</v>
      </c>
      <c r="E976" s="2" t="s">
        <v>27</v>
      </c>
      <c r="F976" s="2" t="s">
        <v>133</v>
      </c>
      <c r="G976" s="2" t="s">
        <v>45</v>
      </c>
      <c r="H976" s="2" t="s">
        <v>46</v>
      </c>
      <c r="I976" s="13">
        <v>9</v>
      </c>
      <c r="J976" s="10">
        <v>26323.87</v>
      </c>
      <c r="K976" s="10">
        <f t="shared" si="31"/>
        <v>236914.83</v>
      </c>
      <c r="L976" s="2">
        <v>0</v>
      </c>
      <c r="M976" s="2" t="s">
        <v>41</v>
      </c>
      <c r="N976" s="2" t="s">
        <v>18</v>
      </c>
    </row>
    <row r="977" spans="1:14" x14ac:dyDescent="0.2">
      <c r="A977" s="13">
        <v>100071</v>
      </c>
      <c r="B977" s="5">
        <v>45357</v>
      </c>
      <c r="C977" s="5" t="str">
        <f t="shared" si="30"/>
        <v>Mar</v>
      </c>
      <c r="D977" s="2" t="s">
        <v>775</v>
      </c>
      <c r="E977" s="2" t="s">
        <v>37</v>
      </c>
      <c r="F977" s="2" t="s">
        <v>69</v>
      </c>
      <c r="G977" s="2" t="s">
        <v>45</v>
      </c>
      <c r="H977" s="2" t="s">
        <v>97</v>
      </c>
      <c r="I977" s="13">
        <v>-1</v>
      </c>
      <c r="J977" s="10">
        <v>17767.32</v>
      </c>
      <c r="K977" s="10">
        <f t="shared" si="31"/>
        <v>-17767.32</v>
      </c>
      <c r="L977" s="2">
        <v>0.15</v>
      </c>
      <c r="M977" s="2" t="s">
        <v>66</v>
      </c>
      <c r="N977" s="2" t="s">
        <v>143</v>
      </c>
    </row>
    <row r="978" spans="1:14" x14ac:dyDescent="0.2">
      <c r="A978" s="13">
        <v>101349</v>
      </c>
      <c r="B978" s="5">
        <v>45440</v>
      </c>
      <c r="C978" s="5" t="str">
        <f t="shared" si="30"/>
        <v>May</v>
      </c>
      <c r="D978" s="2" t="s">
        <v>512</v>
      </c>
      <c r="E978" s="2" t="s">
        <v>27</v>
      </c>
      <c r="F978" s="2" t="s">
        <v>133</v>
      </c>
      <c r="G978" s="2" t="s">
        <v>106</v>
      </c>
      <c r="H978" s="2" t="s">
        <v>137</v>
      </c>
      <c r="I978" s="13">
        <v>1</v>
      </c>
      <c r="J978" s="10">
        <v>3005.94</v>
      </c>
      <c r="K978" s="10">
        <f t="shared" si="31"/>
        <v>3005.94</v>
      </c>
      <c r="L978" s="2">
        <v>0.15</v>
      </c>
      <c r="M978" s="2" t="s">
        <v>29</v>
      </c>
      <c r="N978" s="2" t="s">
        <v>121</v>
      </c>
    </row>
    <row r="979" spans="1:14" x14ac:dyDescent="0.2">
      <c r="A979" s="13">
        <v>101099</v>
      </c>
      <c r="B979" s="5">
        <v>45506</v>
      </c>
      <c r="C979" s="5" t="str">
        <f t="shared" si="30"/>
        <v>Aug</v>
      </c>
      <c r="D979" s="2" t="s">
        <v>1069</v>
      </c>
      <c r="E979" s="2" t="s">
        <v>37</v>
      </c>
      <c r="F979" s="2" t="s">
        <v>69</v>
      </c>
      <c r="G979" s="2" t="s">
        <v>33</v>
      </c>
      <c r="H979" s="2" t="s">
        <v>34</v>
      </c>
      <c r="I979" s="13">
        <v>3</v>
      </c>
      <c r="J979" s="10">
        <v>512.92999999999995</v>
      </c>
      <c r="K979" s="10">
        <f t="shared" si="31"/>
        <v>1538.79</v>
      </c>
      <c r="L979" s="2">
        <v>0.25</v>
      </c>
      <c r="M979" s="2" t="s">
        <v>29</v>
      </c>
      <c r="N979" s="2" t="s">
        <v>42</v>
      </c>
    </row>
    <row r="980" spans="1:14" x14ac:dyDescent="0.2">
      <c r="A980" s="13">
        <v>100172</v>
      </c>
      <c r="B980" s="5">
        <v>45545</v>
      </c>
      <c r="C980" s="5" t="str">
        <f t="shared" si="30"/>
        <v>Sep</v>
      </c>
      <c r="D980" s="2" t="s">
        <v>409</v>
      </c>
      <c r="E980" s="2" t="s">
        <v>31</v>
      </c>
      <c r="F980" s="2" t="s">
        <v>54</v>
      </c>
      <c r="G980" s="2" t="s">
        <v>45</v>
      </c>
      <c r="H980" s="2" t="s">
        <v>71</v>
      </c>
      <c r="I980" s="13">
        <v>1</v>
      </c>
      <c r="J980" s="10">
        <v>32031.27</v>
      </c>
      <c r="K980" s="10">
        <f t="shared" si="31"/>
        <v>32031.27</v>
      </c>
      <c r="L980" s="2">
        <v>0.1</v>
      </c>
      <c r="M980" s="2" t="s">
        <v>41</v>
      </c>
      <c r="N980" s="2" t="s">
        <v>35</v>
      </c>
    </row>
    <row r="981" spans="1:14" x14ac:dyDescent="0.2">
      <c r="A981" s="13">
        <v>101685</v>
      </c>
      <c r="B981" s="5">
        <v>45456</v>
      </c>
      <c r="C981" s="5" t="str">
        <f t="shared" si="30"/>
        <v>Jun</v>
      </c>
      <c r="D981" s="2" t="s">
        <v>201</v>
      </c>
      <c r="E981" s="2" t="s">
        <v>27</v>
      </c>
      <c r="F981" s="2" t="s">
        <v>133</v>
      </c>
      <c r="G981" s="2" t="s">
        <v>50</v>
      </c>
      <c r="H981" s="2" t="s">
        <v>51</v>
      </c>
      <c r="I981" s="13">
        <v>3</v>
      </c>
      <c r="J981" s="10">
        <v>5737.27</v>
      </c>
      <c r="K981" s="10">
        <f t="shared" si="31"/>
        <v>17211.810000000001</v>
      </c>
      <c r="L981" s="2">
        <v>0.1</v>
      </c>
      <c r="M981" s="2" t="s">
        <v>17</v>
      </c>
      <c r="N981" s="2" t="s">
        <v>35</v>
      </c>
    </row>
    <row r="982" spans="1:14" x14ac:dyDescent="0.2">
      <c r="A982" s="13">
        <v>100169</v>
      </c>
      <c r="B982" s="5">
        <v>45448</v>
      </c>
      <c r="C982" s="5" t="str">
        <f t="shared" si="30"/>
        <v>Jun</v>
      </c>
      <c r="D982" s="2" t="s">
        <v>800</v>
      </c>
      <c r="E982" s="2" t="s">
        <v>27</v>
      </c>
      <c r="F982" s="2" t="s">
        <v>21</v>
      </c>
      <c r="G982" s="2" t="s">
        <v>64</v>
      </c>
      <c r="H982" s="2" t="s">
        <v>242</v>
      </c>
      <c r="I982" s="13">
        <v>8</v>
      </c>
      <c r="J982" s="10">
        <v>572.30999999999995</v>
      </c>
      <c r="K982" s="10">
        <f t="shared" si="31"/>
        <v>4578.4799999999996</v>
      </c>
      <c r="L982" s="2">
        <v>0.05</v>
      </c>
      <c r="M982" s="2" t="s">
        <v>17</v>
      </c>
      <c r="N982" s="2" t="s">
        <v>42</v>
      </c>
    </row>
    <row r="983" spans="1:14" x14ac:dyDescent="0.2">
      <c r="A983" s="13">
        <v>100494</v>
      </c>
      <c r="B983" s="5">
        <v>45460</v>
      </c>
      <c r="C983" s="5" t="str">
        <f t="shared" si="30"/>
        <v>Jun</v>
      </c>
      <c r="D983" s="2" t="s">
        <v>1041</v>
      </c>
      <c r="E983" s="2" t="s">
        <v>31</v>
      </c>
      <c r="F983" s="2" t="s">
        <v>54</v>
      </c>
      <c r="G983" s="2" t="s">
        <v>106</v>
      </c>
      <c r="H983" s="2" t="s">
        <v>156</v>
      </c>
      <c r="I983" s="13">
        <v>1</v>
      </c>
      <c r="J983" s="10">
        <v>1714.58</v>
      </c>
      <c r="K983" s="10">
        <f t="shared" si="31"/>
        <v>1714.58</v>
      </c>
      <c r="L983" s="2">
        <v>0</v>
      </c>
      <c r="M983" s="2" t="s">
        <v>83</v>
      </c>
      <c r="N983" s="2" t="s">
        <v>121</v>
      </c>
    </row>
    <row r="984" spans="1:14" x14ac:dyDescent="0.2">
      <c r="A984" s="13">
        <v>101654</v>
      </c>
      <c r="B984" s="5">
        <v>45547</v>
      </c>
      <c r="C984" s="5" t="str">
        <f t="shared" si="30"/>
        <v>Sep</v>
      </c>
      <c r="D984" s="2" t="s">
        <v>610</v>
      </c>
      <c r="E984" s="2" t="s">
        <v>140</v>
      </c>
      <c r="F984" s="2" t="s">
        <v>49</v>
      </c>
      <c r="G984" s="2" t="s">
        <v>45</v>
      </c>
      <c r="H984" s="2" t="s">
        <v>111</v>
      </c>
      <c r="I984" s="13">
        <v>5</v>
      </c>
      <c r="J984" s="10">
        <v>34753.47</v>
      </c>
      <c r="K984" s="10">
        <f t="shared" si="31"/>
        <v>173767.35</v>
      </c>
      <c r="L984" s="2">
        <v>0</v>
      </c>
      <c r="M984" s="2" t="s">
        <v>83</v>
      </c>
      <c r="N984" s="2" t="s">
        <v>121</v>
      </c>
    </row>
    <row r="985" spans="1:14" x14ac:dyDescent="0.2">
      <c r="A985" s="13">
        <v>101121</v>
      </c>
      <c r="B985" s="5">
        <v>45526</v>
      </c>
      <c r="C985" s="5" t="str">
        <f t="shared" si="30"/>
        <v>Aug</v>
      </c>
      <c r="D985" s="2" t="s">
        <v>482</v>
      </c>
      <c r="E985" s="2" t="s">
        <v>31</v>
      </c>
      <c r="F985" s="2" t="s">
        <v>32</v>
      </c>
      <c r="G985" s="2" t="s">
        <v>45</v>
      </c>
      <c r="H985" s="2" t="s">
        <v>46</v>
      </c>
      <c r="I985" s="13">
        <v>8</v>
      </c>
      <c r="J985" s="10">
        <v>42286.98</v>
      </c>
      <c r="K985" s="10">
        <f t="shared" si="31"/>
        <v>338295.84</v>
      </c>
      <c r="L985" s="2">
        <v>0</v>
      </c>
      <c r="M985" s="2" t="s">
        <v>17</v>
      </c>
      <c r="N985" s="2" t="s">
        <v>35</v>
      </c>
    </row>
    <row r="986" spans="1:14" x14ac:dyDescent="0.2">
      <c r="A986" s="13">
        <v>101616</v>
      </c>
      <c r="B986" s="5">
        <v>45405</v>
      </c>
      <c r="C986" s="5" t="str">
        <f t="shared" si="30"/>
        <v>Apr</v>
      </c>
      <c r="D986" s="2" t="s">
        <v>522</v>
      </c>
      <c r="E986" s="2" t="s">
        <v>27</v>
      </c>
      <c r="F986" s="2" t="s">
        <v>21</v>
      </c>
      <c r="G986" s="2" t="s">
        <v>22</v>
      </c>
      <c r="H986" s="2" t="s">
        <v>141</v>
      </c>
      <c r="I986" s="13">
        <v>11</v>
      </c>
      <c r="J986" s="10">
        <v>1051.43</v>
      </c>
      <c r="K986" s="10">
        <f t="shared" si="31"/>
        <v>11565.730000000001</v>
      </c>
      <c r="L986" s="2">
        <v>0.25</v>
      </c>
      <c r="M986" s="2" t="s">
        <v>24</v>
      </c>
      <c r="N986" s="2" t="s">
        <v>52</v>
      </c>
    </row>
    <row r="987" spans="1:14" x14ac:dyDescent="0.2">
      <c r="A987" s="13">
        <v>100894</v>
      </c>
      <c r="B987" s="5">
        <v>45351</v>
      </c>
      <c r="C987" s="5" t="str">
        <f t="shared" si="30"/>
        <v>Feb</v>
      </c>
      <c r="D987" s="2" t="s">
        <v>802</v>
      </c>
      <c r="E987" s="2" t="s">
        <v>27</v>
      </c>
      <c r="F987" s="2" t="s">
        <v>21</v>
      </c>
      <c r="G987" s="2" t="s">
        <v>15</v>
      </c>
      <c r="H987" s="2" t="s">
        <v>116</v>
      </c>
      <c r="I987" s="13"/>
      <c r="J987" s="10">
        <v>7217.31</v>
      </c>
      <c r="K987" s="10">
        <f t="shared" si="31"/>
        <v>0</v>
      </c>
      <c r="L987" s="2">
        <v>0.15</v>
      </c>
      <c r="M987" s="2" t="s">
        <v>66</v>
      </c>
      <c r="N987" s="2" t="s">
        <v>18</v>
      </c>
    </row>
    <row r="988" spans="1:14" x14ac:dyDescent="0.2">
      <c r="A988" s="13">
        <v>100273</v>
      </c>
      <c r="B988" s="5">
        <v>45647</v>
      </c>
      <c r="C988" s="5" t="str">
        <f t="shared" si="30"/>
        <v>Dec</v>
      </c>
      <c r="D988" s="2" t="s">
        <v>578</v>
      </c>
      <c r="E988" s="2" t="s">
        <v>140</v>
      </c>
      <c r="F988" s="2" t="s">
        <v>79</v>
      </c>
      <c r="G988" s="2" t="s">
        <v>50</v>
      </c>
      <c r="H988" s="2" t="s">
        <v>62</v>
      </c>
      <c r="I988" s="13">
        <v>11</v>
      </c>
      <c r="J988" s="10">
        <v>9451.08</v>
      </c>
      <c r="K988" s="10">
        <f t="shared" si="31"/>
        <v>103961.88</v>
      </c>
      <c r="L988" s="2">
        <v>0.15</v>
      </c>
      <c r="M988" s="2" t="s">
        <v>29</v>
      </c>
      <c r="N988" s="2" t="s">
        <v>42</v>
      </c>
    </row>
    <row r="989" spans="1:14" x14ac:dyDescent="0.2">
      <c r="A989" s="13">
        <v>101310</v>
      </c>
      <c r="B989" s="5">
        <v>45355</v>
      </c>
      <c r="C989" s="5" t="str">
        <f t="shared" si="30"/>
        <v>Mar</v>
      </c>
      <c r="D989" s="2" t="s">
        <v>331</v>
      </c>
      <c r="E989" s="2" t="s">
        <v>37</v>
      </c>
      <c r="F989" s="2" t="s">
        <v>38</v>
      </c>
      <c r="G989" s="2" t="s">
        <v>22</v>
      </c>
      <c r="H989" s="2" t="s">
        <v>75</v>
      </c>
      <c r="I989" s="13">
        <v>8</v>
      </c>
      <c r="J989" s="10">
        <v>715.46</v>
      </c>
      <c r="K989" s="10">
        <f t="shared" si="31"/>
        <v>5723.68</v>
      </c>
      <c r="L989" s="2">
        <v>0.25</v>
      </c>
      <c r="M989" s="2" t="s">
        <v>66</v>
      </c>
      <c r="N989" s="2" t="s">
        <v>18</v>
      </c>
    </row>
    <row r="990" spans="1:14" x14ac:dyDescent="0.2">
      <c r="A990" s="13">
        <v>100421</v>
      </c>
      <c r="B990" s="5">
        <v>45499</v>
      </c>
      <c r="C990" s="5" t="str">
        <f t="shared" si="30"/>
        <v>Jul</v>
      </c>
      <c r="D990" s="2" t="s">
        <v>105</v>
      </c>
      <c r="E990" s="2" t="s">
        <v>140</v>
      </c>
      <c r="F990" s="2" t="s">
        <v>49</v>
      </c>
      <c r="G990" s="2" t="s">
        <v>50</v>
      </c>
      <c r="H990" s="2" t="s">
        <v>207</v>
      </c>
      <c r="I990" s="13">
        <v>2</v>
      </c>
      <c r="J990" s="10">
        <v>1334.49</v>
      </c>
      <c r="K990" s="10">
        <f t="shared" si="31"/>
        <v>2668.98</v>
      </c>
      <c r="L990" s="2">
        <v>0</v>
      </c>
      <c r="M990" s="2" t="s">
        <v>29</v>
      </c>
      <c r="N990" s="2" t="s">
        <v>143</v>
      </c>
    </row>
    <row r="991" spans="1:14" x14ac:dyDescent="0.2">
      <c r="A991" s="13">
        <v>100095</v>
      </c>
      <c r="B991" s="5">
        <v>45421</v>
      </c>
      <c r="C991" s="5" t="str">
        <f t="shared" si="30"/>
        <v>May</v>
      </c>
      <c r="D991" s="2" t="s">
        <v>803</v>
      </c>
      <c r="E991" s="2" t="s">
        <v>37</v>
      </c>
      <c r="F991" s="2" t="s">
        <v>38</v>
      </c>
      <c r="G991" s="2" t="s">
        <v>22</v>
      </c>
      <c r="H991" s="2" t="s">
        <v>75</v>
      </c>
      <c r="I991" s="13">
        <v>6</v>
      </c>
      <c r="J991" s="10">
        <v>0</v>
      </c>
      <c r="K991" s="10">
        <f t="shared" si="31"/>
        <v>0</v>
      </c>
      <c r="L991" s="2">
        <v>0.05</v>
      </c>
      <c r="M991" s="2" t="s">
        <v>17</v>
      </c>
      <c r="N991" s="2" t="s">
        <v>121</v>
      </c>
    </row>
    <row r="992" spans="1:14" x14ac:dyDescent="0.2">
      <c r="A992" s="13">
        <v>101383</v>
      </c>
      <c r="B992" s="5">
        <v>45532</v>
      </c>
      <c r="C992" s="5" t="str">
        <f t="shared" si="30"/>
        <v>Aug</v>
      </c>
      <c r="D992" s="2" t="s">
        <v>179</v>
      </c>
      <c r="E992" s="2" t="s">
        <v>61</v>
      </c>
      <c r="F992" s="2" t="s">
        <v>14</v>
      </c>
      <c r="G992" s="2" t="s">
        <v>45</v>
      </c>
      <c r="H992" s="2" t="s">
        <v>71</v>
      </c>
      <c r="I992" s="13">
        <v>1</v>
      </c>
      <c r="J992" s="10">
        <v>36653.379999999997</v>
      </c>
      <c r="K992" s="10">
        <f t="shared" si="31"/>
        <v>36653.379999999997</v>
      </c>
      <c r="L992" s="2">
        <v>0</v>
      </c>
      <c r="M992" s="2" t="s">
        <v>66</v>
      </c>
      <c r="N992" s="2" t="s">
        <v>42</v>
      </c>
    </row>
    <row r="993" spans="1:14" x14ac:dyDescent="0.2">
      <c r="A993" s="13">
        <v>101602</v>
      </c>
      <c r="B993" s="5">
        <v>45470</v>
      </c>
      <c r="C993" s="5" t="str">
        <f t="shared" si="30"/>
        <v>Jun</v>
      </c>
      <c r="D993" s="2" t="s">
        <v>805</v>
      </c>
      <c r="E993" s="2" t="s">
        <v>37</v>
      </c>
      <c r="F993" s="2" t="s">
        <v>69</v>
      </c>
      <c r="G993" s="2" t="s">
        <v>106</v>
      </c>
      <c r="H993" s="2" t="s">
        <v>135</v>
      </c>
      <c r="I993" s="13"/>
      <c r="J993" s="10">
        <v>2368.34</v>
      </c>
      <c r="K993" s="10">
        <f t="shared" si="31"/>
        <v>0</v>
      </c>
      <c r="L993" s="2">
        <v>0.1</v>
      </c>
      <c r="M993" s="2" t="s">
        <v>29</v>
      </c>
      <c r="N993" s="2" t="s">
        <v>121</v>
      </c>
    </row>
    <row r="994" spans="1:14" x14ac:dyDescent="0.2">
      <c r="A994" s="13">
        <v>101716</v>
      </c>
      <c r="B994" s="5">
        <v>45303</v>
      </c>
      <c r="C994" s="5" t="str">
        <f t="shared" si="30"/>
        <v>Jan</v>
      </c>
      <c r="D994" s="2" t="s">
        <v>806</v>
      </c>
      <c r="E994" s="2" t="s">
        <v>37</v>
      </c>
      <c r="F994" s="2" t="s">
        <v>38</v>
      </c>
      <c r="G994" s="2" t="s">
        <v>45</v>
      </c>
      <c r="H994" s="2" t="s">
        <v>71</v>
      </c>
      <c r="I994" s="13">
        <v>7</v>
      </c>
      <c r="J994" s="10">
        <v>3479.32</v>
      </c>
      <c r="K994" s="10">
        <f t="shared" si="31"/>
        <v>24355.24</v>
      </c>
      <c r="L994" s="2">
        <v>0</v>
      </c>
      <c r="M994" s="2" t="s">
        <v>24</v>
      </c>
      <c r="N994" s="2" t="s">
        <v>18</v>
      </c>
    </row>
    <row r="995" spans="1:14" x14ac:dyDescent="0.2">
      <c r="A995" s="13">
        <v>100043</v>
      </c>
      <c r="B995" s="5">
        <v>45585</v>
      </c>
      <c r="C995" s="5" t="str">
        <f t="shared" si="30"/>
        <v>Oct</v>
      </c>
      <c r="D995" s="2" t="s">
        <v>243</v>
      </c>
      <c r="E995" s="2" t="s">
        <v>31</v>
      </c>
      <c r="F995" s="2" t="s">
        <v>32</v>
      </c>
      <c r="G995" s="2" t="s">
        <v>106</v>
      </c>
      <c r="H995" s="2" t="s">
        <v>135</v>
      </c>
      <c r="I995" s="13"/>
      <c r="J995" s="10">
        <v>3978.8</v>
      </c>
      <c r="K995" s="10">
        <f t="shared" si="31"/>
        <v>0</v>
      </c>
      <c r="L995" s="2">
        <v>0</v>
      </c>
      <c r="M995" s="2" t="s">
        <v>66</v>
      </c>
      <c r="N995" s="2" t="s">
        <v>25</v>
      </c>
    </row>
    <row r="996" spans="1:14" x14ac:dyDescent="0.2">
      <c r="A996" s="13">
        <v>100057</v>
      </c>
      <c r="B996" s="5">
        <v>45616</v>
      </c>
      <c r="C996" s="5" t="str">
        <f t="shared" si="30"/>
        <v>Nov</v>
      </c>
      <c r="D996" s="2" t="s">
        <v>808</v>
      </c>
      <c r="E996" s="2" t="s">
        <v>140</v>
      </c>
      <c r="F996" s="2" t="s">
        <v>49</v>
      </c>
      <c r="G996" s="2" t="s">
        <v>22</v>
      </c>
      <c r="H996" s="2" t="s">
        <v>145</v>
      </c>
      <c r="I996" s="13">
        <v>2</v>
      </c>
      <c r="J996" s="10">
        <v>1972.98</v>
      </c>
      <c r="K996" s="10">
        <f t="shared" si="31"/>
        <v>3945.96</v>
      </c>
      <c r="L996" s="2">
        <v>0</v>
      </c>
      <c r="M996" s="2" t="s">
        <v>66</v>
      </c>
      <c r="N996" s="2" t="s">
        <v>143</v>
      </c>
    </row>
    <row r="997" spans="1:14" x14ac:dyDescent="0.2">
      <c r="A997" s="13">
        <v>101619</v>
      </c>
      <c r="B997" s="5">
        <v>45357</v>
      </c>
      <c r="C997" s="5" t="str">
        <f t="shared" si="30"/>
        <v>Mar</v>
      </c>
      <c r="D997" s="2" t="s">
        <v>809</v>
      </c>
      <c r="E997" s="2" t="s">
        <v>31</v>
      </c>
      <c r="F997" s="2" t="s">
        <v>32</v>
      </c>
      <c r="G997" s="2" t="s">
        <v>64</v>
      </c>
      <c r="H997" s="2" t="s">
        <v>165</v>
      </c>
      <c r="I997" s="13"/>
      <c r="J997" s="10">
        <v>163.44</v>
      </c>
      <c r="K997" s="10">
        <f t="shared" si="31"/>
        <v>0</v>
      </c>
      <c r="L997" s="2">
        <v>0</v>
      </c>
      <c r="M997" s="2" t="s">
        <v>41</v>
      </c>
      <c r="N997" s="2" t="s">
        <v>18</v>
      </c>
    </row>
    <row r="998" spans="1:14" x14ac:dyDescent="0.2">
      <c r="A998" s="13">
        <v>101125</v>
      </c>
      <c r="B998" s="5">
        <v>45461</v>
      </c>
      <c r="C998" s="5" t="str">
        <f t="shared" si="30"/>
        <v>Jun</v>
      </c>
      <c r="D998" s="2" t="s">
        <v>810</v>
      </c>
      <c r="E998" s="2" t="s">
        <v>27</v>
      </c>
      <c r="F998" s="2" t="s">
        <v>133</v>
      </c>
      <c r="G998" s="2" t="s">
        <v>33</v>
      </c>
      <c r="H998" s="2" t="s">
        <v>93</v>
      </c>
      <c r="I998" s="13">
        <v>10</v>
      </c>
      <c r="J998" s="10">
        <v>428.46</v>
      </c>
      <c r="K998" s="10">
        <f t="shared" si="31"/>
        <v>4284.5999999999995</v>
      </c>
      <c r="L998" s="2">
        <v>0.25</v>
      </c>
      <c r="M998" s="2" t="s">
        <v>29</v>
      </c>
      <c r="N998" s="2" t="s">
        <v>42</v>
      </c>
    </row>
    <row r="999" spans="1:14" x14ac:dyDescent="0.2">
      <c r="A999" s="13">
        <v>101189</v>
      </c>
      <c r="B999" s="5">
        <v>45536</v>
      </c>
      <c r="C999" s="5" t="str">
        <f t="shared" si="30"/>
        <v>Sep</v>
      </c>
      <c r="D999" s="2" t="s">
        <v>481</v>
      </c>
      <c r="E999" s="2" t="s">
        <v>37</v>
      </c>
      <c r="F999" s="2" t="s">
        <v>38</v>
      </c>
      <c r="G999" s="2" t="s">
        <v>45</v>
      </c>
      <c r="H999" s="2" t="s">
        <v>149</v>
      </c>
      <c r="I999" s="13">
        <v>7</v>
      </c>
      <c r="J999" s="10">
        <v>13329.36</v>
      </c>
      <c r="K999" s="10">
        <f t="shared" si="31"/>
        <v>93305.52</v>
      </c>
      <c r="L999" s="2">
        <v>0</v>
      </c>
      <c r="M999" s="2" t="s">
        <v>24</v>
      </c>
      <c r="N999" s="2" t="s">
        <v>52</v>
      </c>
    </row>
    <row r="1000" spans="1:14" x14ac:dyDescent="0.2">
      <c r="A1000" s="13">
        <v>101303</v>
      </c>
      <c r="B1000" s="5">
        <v>45550</v>
      </c>
      <c r="C1000" s="5" t="str">
        <f t="shared" si="30"/>
        <v>Sep</v>
      </c>
      <c r="D1000" s="2" t="s">
        <v>893</v>
      </c>
      <c r="E1000" s="2" t="s">
        <v>61</v>
      </c>
      <c r="F1000" s="2" t="s">
        <v>119</v>
      </c>
      <c r="G1000" s="2" t="s">
        <v>33</v>
      </c>
      <c r="H1000" s="2" t="s">
        <v>93</v>
      </c>
      <c r="I1000" s="13">
        <v>3</v>
      </c>
      <c r="J1000" s="10">
        <v>223.9</v>
      </c>
      <c r="K1000" s="10">
        <f t="shared" si="31"/>
        <v>671.7</v>
      </c>
      <c r="L1000" s="2">
        <v>0.05</v>
      </c>
      <c r="M1000" s="2" t="s">
        <v>66</v>
      </c>
      <c r="N1000" s="2" t="s">
        <v>143</v>
      </c>
    </row>
    <row r="1001" spans="1:14" x14ac:dyDescent="0.2">
      <c r="A1001" s="13">
        <v>100889</v>
      </c>
      <c r="B1001" s="5">
        <v>45505</v>
      </c>
      <c r="C1001" s="5" t="str">
        <f t="shared" si="30"/>
        <v>Aug</v>
      </c>
      <c r="D1001" s="2" t="s">
        <v>311</v>
      </c>
      <c r="E1001" s="2" t="s">
        <v>27</v>
      </c>
      <c r="F1001" s="2" t="s">
        <v>21</v>
      </c>
      <c r="G1001" s="2" t="s">
        <v>45</v>
      </c>
      <c r="H1001" s="2" t="s">
        <v>111</v>
      </c>
      <c r="I1001" s="13">
        <v>5</v>
      </c>
      <c r="J1001" s="10">
        <v>25380.75</v>
      </c>
      <c r="K1001" s="10">
        <f t="shared" si="31"/>
        <v>126903.75</v>
      </c>
      <c r="L1001" s="2">
        <v>0.1</v>
      </c>
      <c r="M1001" s="2" t="s">
        <v>29</v>
      </c>
      <c r="N1001" s="2" t="s">
        <v>35</v>
      </c>
    </row>
    <row r="1002" spans="1:14" x14ac:dyDescent="0.2">
      <c r="A1002" s="13">
        <v>100575</v>
      </c>
      <c r="B1002" s="5">
        <v>45555</v>
      </c>
      <c r="C1002" s="5" t="str">
        <f t="shared" si="30"/>
        <v>Sep</v>
      </c>
      <c r="D1002" s="2" t="s">
        <v>815</v>
      </c>
      <c r="E1002" s="2" t="s">
        <v>61</v>
      </c>
      <c r="F1002" s="2" t="s">
        <v>14</v>
      </c>
      <c r="G1002" s="2" t="s">
        <v>50</v>
      </c>
      <c r="H1002" s="2" t="s">
        <v>56</v>
      </c>
      <c r="I1002" s="13">
        <v>1</v>
      </c>
      <c r="J1002" s="10">
        <v>0</v>
      </c>
      <c r="K1002" s="10">
        <f t="shared" si="31"/>
        <v>0</v>
      </c>
      <c r="L1002" s="2">
        <v>0</v>
      </c>
      <c r="M1002" s="2" t="s">
        <v>29</v>
      </c>
      <c r="N1002" s="2" t="s">
        <v>143</v>
      </c>
    </row>
    <row r="1003" spans="1:14" x14ac:dyDescent="0.2">
      <c r="A1003" s="13">
        <v>100039</v>
      </c>
      <c r="B1003" s="5">
        <v>45294</v>
      </c>
      <c r="C1003" s="5" t="str">
        <f t="shared" si="30"/>
        <v>Jan</v>
      </c>
      <c r="D1003" s="2" t="s">
        <v>816</v>
      </c>
      <c r="E1003" s="2" t="s">
        <v>27</v>
      </c>
      <c r="F1003" s="2" t="s">
        <v>133</v>
      </c>
      <c r="G1003" s="2" t="s">
        <v>33</v>
      </c>
      <c r="H1003" s="2" t="s">
        <v>81</v>
      </c>
      <c r="I1003" s="13">
        <v>1</v>
      </c>
      <c r="J1003" s="10">
        <v>407.67</v>
      </c>
      <c r="K1003" s="10">
        <f t="shared" si="31"/>
        <v>407.67</v>
      </c>
      <c r="L1003" s="2">
        <v>0.15</v>
      </c>
      <c r="M1003" s="2" t="s">
        <v>66</v>
      </c>
      <c r="N1003" s="2" t="s">
        <v>18</v>
      </c>
    </row>
    <row r="1004" spans="1:14" x14ac:dyDescent="0.2">
      <c r="A1004" s="13">
        <v>100307</v>
      </c>
      <c r="B1004" s="5">
        <v>45410</v>
      </c>
      <c r="C1004" s="5" t="str">
        <f t="shared" si="30"/>
        <v>Apr</v>
      </c>
      <c r="D1004" s="2" t="s">
        <v>817</v>
      </c>
      <c r="E1004" s="2" t="s">
        <v>31</v>
      </c>
      <c r="F1004" s="2" t="s">
        <v>32</v>
      </c>
      <c r="G1004" s="2" t="s">
        <v>45</v>
      </c>
      <c r="H1004" s="2" t="s">
        <v>149</v>
      </c>
      <c r="I1004" s="13">
        <v>8</v>
      </c>
      <c r="J1004" s="10">
        <v>22359.040000000001</v>
      </c>
      <c r="K1004" s="10">
        <f t="shared" si="31"/>
        <v>178872.32000000001</v>
      </c>
      <c r="L1004" s="2">
        <v>0.15</v>
      </c>
      <c r="M1004" s="2" t="s">
        <v>17</v>
      </c>
      <c r="N1004" s="2" t="s">
        <v>121</v>
      </c>
    </row>
    <row r="1005" spans="1:14" x14ac:dyDescent="0.2">
      <c r="A1005" s="13">
        <v>100669</v>
      </c>
      <c r="B1005" s="5">
        <v>45542</v>
      </c>
      <c r="C1005" s="5" t="str">
        <f t="shared" si="30"/>
        <v>Sep</v>
      </c>
      <c r="D1005" s="2" t="s">
        <v>105</v>
      </c>
      <c r="E1005" s="2" t="s">
        <v>31</v>
      </c>
      <c r="F1005" s="2" t="s">
        <v>54</v>
      </c>
      <c r="G1005" s="2" t="s">
        <v>45</v>
      </c>
      <c r="H1005" s="2" t="s">
        <v>46</v>
      </c>
      <c r="I1005" s="13">
        <v>11</v>
      </c>
      <c r="J1005" s="10">
        <v>0</v>
      </c>
      <c r="K1005" s="10">
        <f t="shared" si="31"/>
        <v>0</v>
      </c>
      <c r="L1005" s="2">
        <v>0.2</v>
      </c>
      <c r="M1005" s="2" t="s">
        <v>24</v>
      </c>
      <c r="N1005" s="2" t="s">
        <v>121</v>
      </c>
    </row>
    <row r="1006" spans="1:14" x14ac:dyDescent="0.2">
      <c r="A1006" s="13">
        <v>100007</v>
      </c>
      <c r="B1006" s="5">
        <v>45639</v>
      </c>
      <c r="C1006" s="5" t="str">
        <f t="shared" si="30"/>
        <v>Dec</v>
      </c>
      <c r="D1006" s="2" t="s">
        <v>250</v>
      </c>
      <c r="E1006" s="2" t="s">
        <v>61</v>
      </c>
      <c r="F1006" s="2" t="s">
        <v>119</v>
      </c>
      <c r="G1006" s="2" t="s">
        <v>50</v>
      </c>
      <c r="H1006" s="2" t="s">
        <v>51</v>
      </c>
      <c r="I1006" s="13">
        <v>9</v>
      </c>
      <c r="J1006" s="10">
        <v>7659.57</v>
      </c>
      <c r="K1006" s="10">
        <f t="shared" si="31"/>
        <v>68936.13</v>
      </c>
      <c r="L1006" s="2">
        <v>0</v>
      </c>
      <c r="M1006" s="2" t="s">
        <v>83</v>
      </c>
      <c r="N1006" s="2" t="s">
        <v>42</v>
      </c>
    </row>
    <row r="1007" spans="1:14" x14ac:dyDescent="0.2">
      <c r="A1007" s="13">
        <v>101076</v>
      </c>
      <c r="B1007" s="5">
        <v>45550</v>
      </c>
      <c r="C1007" s="5" t="str">
        <f t="shared" si="30"/>
        <v>Sep</v>
      </c>
      <c r="D1007" s="2" t="s">
        <v>390</v>
      </c>
      <c r="E1007" s="2" t="s">
        <v>37</v>
      </c>
      <c r="F1007" s="2" t="s">
        <v>38</v>
      </c>
      <c r="G1007" s="2" t="s">
        <v>50</v>
      </c>
      <c r="H1007" s="2" t="s">
        <v>62</v>
      </c>
      <c r="I1007" s="13">
        <v>8</v>
      </c>
      <c r="J1007" s="10">
        <v>1372.54</v>
      </c>
      <c r="K1007" s="10">
        <f t="shared" si="31"/>
        <v>10980.32</v>
      </c>
      <c r="L1007" s="2">
        <v>0</v>
      </c>
      <c r="M1007" s="2" t="s">
        <v>29</v>
      </c>
      <c r="N1007" s="2" t="s">
        <v>52</v>
      </c>
    </row>
    <row r="1008" spans="1:14" x14ac:dyDescent="0.2">
      <c r="A1008" s="13">
        <v>100783</v>
      </c>
      <c r="B1008" s="5">
        <v>45456</v>
      </c>
      <c r="C1008" s="5" t="str">
        <f t="shared" si="30"/>
        <v>Jun</v>
      </c>
      <c r="D1008" s="2" t="s">
        <v>421</v>
      </c>
      <c r="E1008" s="2" t="s">
        <v>27</v>
      </c>
      <c r="F1008" s="2" t="s">
        <v>133</v>
      </c>
      <c r="G1008" s="2" t="s">
        <v>15</v>
      </c>
      <c r="H1008" s="2" t="s">
        <v>205</v>
      </c>
      <c r="I1008" s="13">
        <v>4</v>
      </c>
      <c r="J1008" s="10">
        <v>11283.98</v>
      </c>
      <c r="K1008" s="10">
        <f t="shared" si="31"/>
        <v>45135.92</v>
      </c>
      <c r="L1008" s="2">
        <v>0.15</v>
      </c>
      <c r="M1008" s="2" t="s">
        <v>29</v>
      </c>
      <c r="N1008" s="2" t="s">
        <v>35</v>
      </c>
    </row>
    <row r="1009" spans="1:14" x14ac:dyDescent="0.2">
      <c r="A1009" s="13">
        <v>100409</v>
      </c>
      <c r="B1009" s="5">
        <v>45361</v>
      </c>
      <c r="C1009" s="5" t="str">
        <f t="shared" si="30"/>
        <v>Mar</v>
      </c>
      <c r="D1009" s="2" t="s">
        <v>819</v>
      </c>
      <c r="E1009" s="2" t="s">
        <v>140</v>
      </c>
      <c r="F1009" s="2" t="s">
        <v>79</v>
      </c>
      <c r="G1009" s="2" t="s">
        <v>50</v>
      </c>
      <c r="H1009" s="2" t="s">
        <v>56</v>
      </c>
      <c r="I1009" s="13">
        <v>8</v>
      </c>
      <c r="J1009" s="10">
        <v>4989.57</v>
      </c>
      <c r="K1009" s="10">
        <f t="shared" si="31"/>
        <v>39916.559999999998</v>
      </c>
      <c r="L1009" s="2">
        <v>0</v>
      </c>
      <c r="M1009" s="2" t="s">
        <v>29</v>
      </c>
      <c r="N1009" s="2" t="s">
        <v>18</v>
      </c>
    </row>
    <row r="1010" spans="1:14" x14ac:dyDescent="0.2">
      <c r="A1010" s="13">
        <v>101905</v>
      </c>
      <c r="B1010" s="5">
        <v>45376</v>
      </c>
      <c r="C1010" s="5" t="str">
        <f t="shared" si="30"/>
        <v>Mar</v>
      </c>
      <c r="D1010" s="2" t="s">
        <v>820</v>
      </c>
      <c r="E1010" s="2" t="s">
        <v>27</v>
      </c>
      <c r="F1010" s="2" t="s">
        <v>21</v>
      </c>
      <c r="G1010" s="2" t="s">
        <v>64</v>
      </c>
      <c r="H1010" s="2" t="s">
        <v>114</v>
      </c>
      <c r="I1010" s="13">
        <v>8</v>
      </c>
      <c r="J1010" s="10">
        <v>101.29</v>
      </c>
      <c r="K1010" s="10">
        <f t="shared" si="31"/>
        <v>810.32</v>
      </c>
      <c r="L1010" s="2">
        <v>0</v>
      </c>
      <c r="M1010" s="2" t="s">
        <v>66</v>
      </c>
      <c r="N1010" s="2" t="s">
        <v>35</v>
      </c>
    </row>
    <row r="1011" spans="1:14" x14ac:dyDescent="0.2">
      <c r="A1011" s="13">
        <v>100782</v>
      </c>
      <c r="B1011" s="5">
        <v>45589</v>
      </c>
      <c r="C1011" s="5" t="str">
        <f t="shared" si="30"/>
        <v>Oct</v>
      </c>
      <c r="D1011" s="2" t="s">
        <v>405</v>
      </c>
      <c r="E1011" s="2" t="s">
        <v>27</v>
      </c>
      <c r="F1011" s="2" t="s">
        <v>21</v>
      </c>
      <c r="G1011" s="2" t="s">
        <v>33</v>
      </c>
      <c r="H1011" s="2" t="s">
        <v>93</v>
      </c>
      <c r="I1011" s="13">
        <v>9</v>
      </c>
      <c r="J1011" s="10">
        <v>503.28</v>
      </c>
      <c r="K1011" s="10">
        <f t="shared" si="31"/>
        <v>4529.5199999999995</v>
      </c>
      <c r="L1011" s="2">
        <v>0</v>
      </c>
      <c r="M1011" s="2" t="s">
        <v>29</v>
      </c>
      <c r="N1011" s="2" t="s">
        <v>35</v>
      </c>
    </row>
    <row r="1012" spans="1:14" x14ac:dyDescent="0.2">
      <c r="A1012" s="13">
        <v>100167</v>
      </c>
      <c r="B1012" s="5">
        <v>45302</v>
      </c>
      <c r="C1012" s="5" t="str">
        <f t="shared" si="30"/>
        <v>Jan</v>
      </c>
      <c r="D1012" s="2" t="s">
        <v>243</v>
      </c>
      <c r="E1012" s="2" t="s">
        <v>140</v>
      </c>
      <c r="F1012" s="2" t="s">
        <v>49</v>
      </c>
      <c r="G1012" s="2" t="s">
        <v>15</v>
      </c>
      <c r="H1012" s="2" t="s">
        <v>59</v>
      </c>
      <c r="I1012" s="13">
        <v>10</v>
      </c>
      <c r="J1012" s="10">
        <v>11670.87</v>
      </c>
      <c r="K1012" s="10">
        <f t="shared" si="31"/>
        <v>116708.70000000001</v>
      </c>
      <c r="L1012" s="2">
        <v>0.25</v>
      </c>
      <c r="M1012" s="2" t="s">
        <v>29</v>
      </c>
      <c r="N1012" s="2" t="s">
        <v>25</v>
      </c>
    </row>
    <row r="1013" spans="1:14" x14ac:dyDescent="0.2">
      <c r="A1013" s="13">
        <v>100535</v>
      </c>
      <c r="B1013" s="5">
        <v>45549</v>
      </c>
      <c r="C1013" s="5" t="str">
        <f t="shared" si="30"/>
        <v>Sep</v>
      </c>
      <c r="D1013" s="2" t="s">
        <v>405</v>
      </c>
      <c r="E1013" s="2" t="s">
        <v>37</v>
      </c>
      <c r="F1013" s="2" t="s">
        <v>69</v>
      </c>
      <c r="G1013" s="2" t="s">
        <v>15</v>
      </c>
      <c r="H1013" s="2" t="s">
        <v>205</v>
      </c>
      <c r="I1013" s="13">
        <v>10</v>
      </c>
      <c r="J1013" s="10">
        <v>14328.3</v>
      </c>
      <c r="K1013" s="10">
        <f t="shared" si="31"/>
        <v>143283</v>
      </c>
      <c r="L1013" s="2">
        <v>0</v>
      </c>
      <c r="M1013" s="2" t="s">
        <v>66</v>
      </c>
      <c r="N1013" s="2" t="s">
        <v>87</v>
      </c>
    </row>
    <row r="1014" spans="1:14" x14ac:dyDescent="0.2">
      <c r="A1014" s="13">
        <v>100584</v>
      </c>
      <c r="B1014" s="5">
        <v>45459</v>
      </c>
      <c r="C1014" s="5" t="str">
        <f t="shared" si="30"/>
        <v>Jun</v>
      </c>
      <c r="D1014" s="2" t="s">
        <v>697</v>
      </c>
      <c r="E1014" s="2" t="s">
        <v>140</v>
      </c>
      <c r="F1014" s="2" t="s">
        <v>49</v>
      </c>
      <c r="G1014" s="2" t="s">
        <v>106</v>
      </c>
      <c r="H1014" s="2" t="s">
        <v>103</v>
      </c>
      <c r="I1014" s="13">
        <v>5</v>
      </c>
      <c r="J1014" s="10">
        <v>3024.51</v>
      </c>
      <c r="K1014" s="10">
        <f t="shared" si="31"/>
        <v>15122.550000000001</v>
      </c>
      <c r="L1014" s="2">
        <v>0.05</v>
      </c>
      <c r="M1014" s="2" t="s">
        <v>17</v>
      </c>
      <c r="N1014" s="2" t="s">
        <v>35</v>
      </c>
    </row>
    <row r="1015" spans="1:14" x14ac:dyDescent="0.2">
      <c r="A1015" s="13">
        <v>101567</v>
      </c>
      <c r="B1015" s="5">
        <v>45654</v>
      </c>
      <c r="C1015" s="5" t="str">
        <f t="shared" si="30"/>
        <v>Dec</v>
      </c>
      <c r="D1015" s="2" t="s">
        <v>821</v>
      </c>
      <c r="E1015" s="2" t="s">
        <v>61</v>
      </c>
      <c r="F1015" s="2" t="s">
        <v>14</v>
      </c>
      <c r="G1015" s="2" t="s">
        <v>22</v>
      </c>
      <c r="H1015" s="2" t="s">
        <v>232</v>
      </c>
      <c r="I1015" s="13">
        <v>2</v>
      </c>
      <c r="J1015" s="10">
        <v>2516.11</v>
      </c>
      <c r="K1015" s="10">
        <f t="shared" si="31"/>
        <v>5032.22</v>
      </c>
      <c r="L1015" s="2">
        <v>0.15</v>
      </c>
      <c r="M1015" s="2" t="s">
        <v>66</v>
      </c>
      <c r="N1015" s="2" t="s">
        <v>121</v>
      </c>
    </row>
    <row r="1016" spans="1:14" x14ac:dyDescent="0.2">
      <c r="A1016" s="13">
        <v>101930</v>
      </c>
      <c r="B1016" s="5">
        <v>45525</v>
      </c>
      <c r="C1016" s="5" t="str">
        <f t="shared" si="30"/>
        <v>Aug</v>
      </c>
      <c r="D1016" s="2" t="s">
        <v>822</v>
      </c>
      <c r="E1016" s="2" t="s">
        <v>61</v>
      </c>
      <c r="F1016" s="2" t="s">
        <v>119</v>
      </c>
      <c r="G1016" s="2" t="s">
        <v>106</v>
      </c>
      <c r="H1016" s="2" t="s">
        <v>156</v>
      </c>
      <c r="I1016" s="13">
        <v>7</v>
      </c>
      <c r="J1016" s="10">
        <v>1338.67</v>
      </c>
      <c r="K1016" s="10">
        <f t="shared" si="31"/>
        <v>9370.69</v>
      </c>
      <c r="L1016" s="2">
        <v>0</v>
      </c>
      <c r="M1016" s="2" t="s">
        <v>41</v>
      </c>
      <c r="N1016" s="2" t="s">
        <v>25</v>
      </c>
    </row>
    <row r="1017" spans="1:14" x14ac:dyDescent="0.2">
      <c r="A1017" s="13">
        <v>101444</v>
      </c>
      <c r="B1017" s="5">
        <v>45652</v>
      </c>
      <c r="C1017" s="5" t="str">
        <f t="shared" si="30"/>
        <v>Dec</v>
      </c>
      <c r="D1017" s="2" t="s">
        <v>667</v>
      </c>
      <c r="E1017" s="2" t="s">
        <v>61</v>
      </c>
      <c r="F1017" s="2" t="s">
        <v>119</v>
      </c>
      <c r="G1017" s="2" t="s">
        <v>50</v>
      </c>
      <c r="H1017" s="2" t="s">
        <v>62</v>
      </c>
      <c r="I1017" s="13">
        <v>5</v>
      </c>
      <c r="J1017" s="10">
        <v>11686.35</v>
      </c>
      <c r="K1017" s="10">
        <f t="shared" si="31"/>
        <v>58431.75</v>
      </c>
      <c r="L1017" s="2">
        <v>0.1</v>
      </c>
      <c r="M1017" s="2" t="s">
        <v>17</v>
      </c>
      <c r="N1017" s="2" t="s">
        <v>87</v>
      </c>
    </row>
    <row r="1018" spans="1:14" x14ac:dyDescent="0.2">
      <c r="A1018" s="13">
        <v>101353</v>
      </c>
      <c r="B1018" s="5">
        <v>45432</v>
      </c>
      <c r="C1018" s="5" t="str">
        <f t="shared" si="30"/>
        <v>May</v>
      </c>
      <c r="D1018" s="2" t="s">
        <v>229</v>
      </c>
      <c r="E1018" s="2" t="s">
        <v>31</v>
      </c>
      <c r="F1018" s="2" t="s">
        <v>54</v>
      </c>
      <c r="G1018" s="2" t="s">
        <v>64</v>
      </c>
      <c r="H1018" s="2" t="s">
        <v>242</v>
      </c>
      <c r="I1018" s="13">
        <v>12</v>
      </c>
      <c r="J1018" s="10">
        <v>392.28</v>
      </c>
      <c r="K1018" s="10">
        <f t="shared" si="31"/>
        <v>4707.3599999999997</v>
      </c>
      <c r="L1018" s="2">
        <v>0</v>
      </c>
      <c r="M1018" s="2" t="s">
        <v>29</v>
      </c>
      <c r="N1018" s="2" t="s">
        <v>52</v>
      </c>
    </row>
    <row r="1019" spans="1:14" x14ac:dyDescent="0.2">
      <c r="A1019" s="13">
        <v>101128</v>
      </c>
      <c r="B1019" s="5">
        <v>45406</v>
      </c>
      <c r="C1019" s="5" t="str">
        <f t="shared" si="30"/>
        <v>Apr</v>
      </c>
      <c r="D1019" s="2" t="s">
        <v>442</v>
      </c>
      <c r="E1019" s="2" t="s">
        <v>31</v>
      </c>
      <c r="F1019" s="2" t="s">
        <v>54</v>
      </c>
      <c r="G1019" s="2" t="s">
        <v>64</v>
      </c>
      <c r="H1019" s="2" t="s">
        <v>292</v>
      </c>
      <c r="I1019" s="13">
        <v>10</v>
      </c>
      <c r="J1019" s="10">
        <v>679.31</v>
      </c>
      <c r="K1019" s="10">
        <f t="shared" si="31"/>
        <v>6793.0999999999995</v>
      </c>
      <c r="L1019" s="2">
        <v>0.1</v>
      </c>
      <c r="M1019" s="2" t="s">
        <v>83</v>
      </c>
      <c r="N1019" s="2" t="s">
        <v>87</v>
      </c>
    </row>
    <row r="1020" spans="1:14" x14ac:dyDescent="0.2">
      <c r="A1020" s="13">
        <v>101090</v>
      </c>
      <c r="B1020" s="5">
        <v>45544</v>
      </c>
      <c r="C1020" s="5" t="str">
        <f t="shared" si="30"/>
        <v>Sep</v>
      </c>
      <c r="D1020" s="2" t="s">
        <v>432</v>
      </c>
      <c r="E1020" s="2" t="s">
        <v>37</v>
      </c>
      <c r="F1020" s="2" t="s">
        <v>38</v>
      </c>
      <c r="G1020" s="2" t="s">
        <v>50</v>
      </c>
      <c r="H1020" s="2" t="s">
        <v>62</v>
      </c>
      <c r="I1020" s="13">
        <v>5</v>
      </c>
      <c r="J1020" s="10">
        <v>5074.29</v>
      </c>
      <c r="K1020" s="10">
        <f t="shared" si="31"/>
        <v>25371.45</v>
      </c>
      <c r="L1020" s="2">
        <v>0.05</v>
      </c>
      <c r="M1020" s="2" t="s">
        <v>17</v>
      </c>
      <c r="N1020" s="2" t="s">
        <v>121</v>
      </c>
    </row>
    <row r="1021" spans="1:14" x14ac:dyDescent="0.2">
      <c r="A1021" s="13">
        <v>100814</v>
      </c>
      <c r="B1021" s="5">
        <v>45350</v>
      </c>
      <c r="C1021" s="5" t="str">
        <f t="shared" si="30"/>
        <v>Feb</v>
      </c>
      <c r="D1021" s="2" t="s">
        <v>358</v>
      </c>
      <c r="E1021" s="2" t="s">
        <v>37</v>
      </c>
      <c r="F1021" s="2" t="s">
        <v>38</v>
      </c>
      <c r="G1021" s="2" t="s">
        <v>22</v>
      </c>
      <c r="H1021" s="2" t="s">
        <v>145</v>
      </c>
      <c r="I1021" s="13">
        <v>10</v>
      </c>
      <c r="J1021" s="10">
        <v>1955.69</v>
      </c>
      <c r="K1021" s="10">
        <f t="shared" si="31"/>
        <v>19556.900000000001</v>
      </c>
      <c r="L1021" s="2">
        <v>0.2</v>
      </c>
      <c r="M1021" s="2" t="s">
        <v>29</v>
      </c>
      <c r="N1021" s="2" t="s">
        <v>87</v>
      </c>
    </row>
    <row r="1022" spans="1:14" x14ac:dyDescent="0.2">
      <c r="A1022" s="13">
        <v>100317</v>
      </c>
      <c r="B1022" s="5">
        <v>45478</v>
      </c>
      <c r="C1022" s="5" t="str">
        <f t="shared" si="30"/>
        <v>Jul</v>
      </c>
      <c r="D1022" s="2" t="s">
        <v>642</v>
      </c>
      <c r="E1022" s="2" t="s">
        <v>31</v>
      </c>
      <c r="F1022" s="2" t="s">
        <v>54</v>
      </c>
      <c r="G1022" s="2" t="s">
        <v>22</v>
      </c>
      <c r="H1022" s="2" t="s">
        <v>75</v>
      </c>
      <c r="I1022" s="13">
        <v>11</v>
      </c>
      <c r="J1022" s="10">
        <v>1488.93</v>
      </c>
      <c r="K1022" s="10">
        <f t="shared" si="31"/>
        <v>16378.230000000001</v>
      </c>
      <c r="L1022" s="2">
        <v>0</v>
      </c>
      <c r="M1022" s="2" t="s">
        <v>29</v>
      </c>
      <c r="N1022" s="2" t="s">
        <v>25</v>
      </c>
    </row>
    <row r="1023" spans="1:14" x14ac:dyDescent="0.2">
      <c r="A1023" s="13">
        <v>101302</v>
      </c>
      <c r="B1023" s="5">
        <v>45406</v>
      </c>
      <c r="C1023" s="5" t="str">
        <f t="shared" si="30"/>
        <v>Apr</v>
      </c>
      <c r="D1023" s="2" t="s">
        <v>284</v>
      </c>
      <c r="E1023" s="2" t="s">
        <v>61</v>
      </c>
      <c r="F1023" s="2" t="s">
        <v>119</v>
      </c>
      <c r="G1023" s="2" t="s">
        <v>106</v>
      </c>
      <c r="H1023" s="2" t="s">
        <v>156</v>
      </c>
      <c r="I1023" s="13">
        <v>8</v>
      </c>
      <c r="J1023" s="10">
        <v>3342.39</v>
      </c>
      <c r="K1023" s="10">
        <f t="shared" si="31"/>
        <v>26739.119999999999</v>
      </c>
      <c r="L1023" s="2">
        <v>0</v>
      </c>
      <c r="M1023" s="2" t="s">
        <v>83</v>
      </c>
      <c r="N1023" s="2" t="s">
        <v>42</v>
      </c>
    </row>
    <row r="1024" spans="1:14" x14ac:dyDescent="0.2">
      <c r="A1024" s="13">
        <v>101748</v>
      </c>
      <c r="B1024" s="5">
        <v>45583</v>
      </c>
      <c r="C1024" s="5" t="str">
        <f t="shared" si="30"/>
        <v>Oct</v>
      </c>
      <c r="D1024" s="2" t="s">
        <v>1069</v>
      </c>
      <c r="E1024" s="2" t="s">
        <v>61</v>
      </c>
      <c r="F1024" s="2" t="s">
        <v>14</v>
      </c>
      <c r="G1024" s="2" t="s">
        <v>22</v>
      </c>
      <c r="H1024" s="2" t="s">
        <v>232</v>
      </c>
      <c r="I1024" s="13">
        <v>10</v>
      </c>
      <c r="J1024" s="10">
        <v>2838.27</v>
      </c>
      <c r="K1024" s="10">
        <f t="shared" si="31"/>
        <v>28382.7</v>
      </c>
      <c r="L1024" s="2">
        <v>0</v>
      </c>
      <c r="M1024" s="2" t="s">
        <v>66</v>
      </c>
      <c r="N1024" s="2" t="s">
        <v>52</v>
      </c>
    </row>
    <row r="1025" spans="1:14" x14ac:dyDescent="0.2">
      <c r="A1025" s="13">
        <v>100517</v>
      </c>
      <c r="B1025" s="5">
        <v>45452</v>
      </c>
      <c r="C1025" s="5" t="str">
        <f t="shared" si="30"/>
        <v>Jun</v>
      </c>
      <c r="D1025" s="2" t="s">
        <v>351</v>
      </c>
      <c r="E1025" s="2" t="s">
        <v>27</v>
      </c>
      <c r="F1025" s="2" t="s">
        <v>133</v>
      </c>
      <c r="G1025" s="2" t="s">
        <v>22</v>
      </c>
      <c r="H1025" s="2" t="s">
        <v>75</v>
      </c>
      <c r="I1025" s="13">
        <v>5</v>
      </c>
      <c r="J1025" s="10">
        <v>519.67999999999995</v>
      </c>
      <c r="K1025" s="10">
        <f t="shared" si="31"/>
        <v>2598.3999999999996</v>
      </c>
      <c r="L1025" s="2">
        <v>0</v>
      </c>
      <c r="M1025" s="2" t="s">
        <v>41</v>
      </c>
      <c r="N1025" s="2" t="s">
        <v>35</v>
      </c>
    </row>
    <row r="1026" spans="1:14" x14ac:dyDescent="0.2">
      <c r="A1026" s="13">
        <v>101694</v>
      </c>
      <c r="B1026" s="5">
        <v>45509</v>
      </c>
      <c r="C1026" s="5" t="str">
        <f t="shared" ref="C1026:C1089" si="32">TEXT(B1026,"mmm")</f>
        <v>Aug</v>
      </c>
      <c r="D1026" s="2" t="s">
        <v>334</v>
      </c>
      <c r="E1026" s="2" t="s">
        <v>37</v>
      </c>
      <c r="F1026" s="2" t="s">
        <v>38</v>
      </c>
      <c r="G1026" s="2" t="s">
        <v>22</v>
      </c>
      <c r="H1026" s="2" t="s">
        <v>232</v>
      </c>
      <c r="I1026" s="13"/>
      <c r="J1026" s="10">
        <v>1588.11</v>
      </c>
      <c r="K1026" s="10">
        <f t="shared" ref="K1026:K1089" si="33">I1026*J1026</f>
        <v>0</v>
      </c>
      <c r="L1026" s="2">
        <v>0</v>
      </c>
      <c r="M1026" s="2" t="s">
        <v>41</v>
      </c>
      <c r="N1026" s="2" t="s">
        <v>52</v>
      </c>
    </row>
    <row r="1027" spans="1:14" x14ac:dyDescent="0.2">
      <c r="A1027" s="13">
        <v>100534</v>
      </c>
      <c r="B1027" s="5">
        <v>45302</v>
      </c>
      <c r="C1027" s="5" t="str">
        <f t="shared" si="32"/>
        <v>Jan</v>
      </c>
      <c r="D1027" s="2" t="s">
        <v>616</v>
      </c>
      <c r="E1027" s="2" t="s">
        <v>31</v>
      </c>
      <c r="F1027" s="2" t="s">
        <v>32</v>
      </c>
      <c r="G1027" s="2" t="s">
        <v>45</v>
      </c>
      <c r="H1027" s="2" t="s">
        <v>153</v>
      </c>
      <c r="I1027" s="13">
        <v>1</v>
      </c>
      <c r="J1027" s="10">
        <v>23575.7</v>
      </c>
      <c r="K1027" s="10">
        <f t="shared" si="33"/>
        <v>23575.7</v>
      </c>
      <c r="L1027" s="2">
        <v>0.15</v>
      </c>
      <c r="M1027" s="2" t="s">
        <v>83</v>
      </c>
      <c r="N1027" s="2" t="s">
        <v>143</v>
      </c>
    </row>
    <row r="1028" spans="1:14" x14ac:dyDescent="0.2">
      <c r="A1028" s="13">
        <v>101639</v>
      </c>
      <c r="B1028" s="5">
        <v>45511</v>
      </c>
      <c r="C1028" s="5" t="str">
        <f t="shared" si="32"/>
        <v>Aug</v>
      </c>
      <c r="D1028" s="2" t="s">
        <v>1069</v>
      </c>
      <c r="E1028" s="2" t="s">
        <v>140</v>
      </c>
      <c r="F1028" s="2" t="s">
        <v>79</v>
      </c>
      <c r="G1028" s="2" t="s">
        <v>33</v>
      </c>
      <c r="H1028" s="2" t="s">
        <v>93</v>
      </c>
      <c r="I1028" s="13">
        <v>3</v>
      </c>
      <c r="J1028" s="10">
        <v>175.81</v>
      </c>
      <c r="K1028" s="10">
        <f t="shared" si="33"/>
        <v>527.43000000000006</v>
      </c>
      <c r="L1028" s="2">
        <v>0</v>
      </c>
      <c r="M1028" s="2" t="s">
        <v>83</v>
      </c>
      <c r="N1028" s="2" t="s">
        <v>87</v>
      </c>
    </row>
    <row r="1029" spans="1:14" x14ac:dyDescent="0.2">
      <c r="A1029" s="13">
        <v>100272</v>
      </c>
      <c r="B1029" s="5">
        <v>45623</v>
      </c>
      <c r="C1029" s="5" t="str">
        <f t="shared" si="32"/>
        <v>Nov</v>
      </c>
      <c r="D1029" s="2" t="s">
        <v>270</v>
      </c>
      <c r="E1029" s="2" t="s">
        <v>140</v>
      </c>
      <c r="F1029" s="2" t="s">
        <v>79</v>
      </c>
      <c r="G1029" s="2" t="s">
        <v>50</v>
      </c>
      <c r="H1029" s="2" t="s">
        <v>99</v>
      </c>
      <c r="I1029" s="13">
        <v>1</v>
      </c>
      <c r="J1029" s="10">
        <v>2371.1799999999998</v>
      </c>
      <c r="K1029" s="10">
        <f t="shared" si="33"/>
        <v>2371.1799999999998</v>
      </c>
      <c r="L1029" s="2">
        <v>0</v>
      </c>
      <c r="M1029" s="2" t="s">
        <v>41</v>
      </c>
      <c r="N1029" s="2" t="s">
        <v>18</v>
      </c>
    </row>
    <row r="1030" spans="1:14" x14ac:dyDescent="0.2">
      <c r="A1030" s="13">
        <v>100549</v>
      </c>
      <c r="B1030" s="5">
        <v>45552</v>
      </c>
      <c r="C1030" s="5" t="str">
        <f t="shared" si="32"/>
        <v>Sep</v>
      </c>
      <c r="D1030" s="2" t="s">
        <v>1069</v>
      </c>
      <c r="E1030" s="2" t="s">
        <v>37</v>
      </c>
      <c r="F1030" s="2" t="s">
        <v>69</v>
      </c>
      <c r="G1030" s="2" t="s">
        <v>45</v>
      </c>
      <c r="H1030" s="2" t="s">
        <v>153</v>
      </c>
      <c r="I1030" s="13">
        <v>12</v>
      </c>
      <c r="J1030" s="10">
        <v>28699.26</v>
      </c>
      <c r="K1030" s="10">
        <f t="shared" si="33"/>
        <v>344391.12</v>
      </c>
      <c r="L1030" s="2">
        <v>0.25</v>
      </c>
      <c r="M1030" s="2" t="s">
        <v>29</v>
      </c>
      <c r="N1030" s="2" t="s">
        <v>121</v>
      </c>
    </row>
    <row r="1031" spans="1:14" x14ac:dyDescent="0.2">
      <c r="A1031" s="13">
        <v>100965</v>
      </c>
      <c r="B1031" s="5">
        <v>45496</v>
      </c>
      <c r="C1031" s="5" t="str">
        <f t="shared" si="32"/>
        <v>Jul</v>
      </c>
      <c r="D1031" s="2" t="s">
        <v>1074</v>
      </c>
      <c r="E1031" s="2" t="s">
        <v>31</v>
      </c>
      <c r="F1031" s="2" t="s">
        <v>32</v>
      </c>
      <c r="G1031" s="2" t="s">
        <v>106</v>
      </c>
      <c r="H1031" s="2" t="s">
        <v>156</v>
      </c>
      <c r="I1031" s="13">
        <v>7</v>
      </c>
      <c r="J1031" s="10">
        <v>1928.27</v>
      </c>
      <c r="K1031" s="10">
        <f t="shared" si="33"/>
        <v>13497.89</v>
      </c>
      <c r="L1031" s="2">
        <v>0</v>
      </c>
      <c r="M1031" s="2" t="s">
        <v>17</v>
      </c>
      <c r="N1031" s="2" t="s">
        <v>25</v>
      </c>
    </row>
    <row r="1032" spans="1:14" x14ac:dyDescent="0.2">
      <c r="A1032" s="13">
        <v>101831</v>
      </c>
      <c r="B1032" s="5">
        <v>45481</v>
      </c>
      <c r="C1032" s="5" t="str">
        <f t="shared" si="32"/>
        <v>Jul</v>
      </c>
      <c r="D1032" s="2" t="s">
        <v>1069</v>
      </c>
      <c r="E1032" s="2" t="s">
        <v>140</v>
      </c>
      <c r="F1032" s="2" t="s">
        <v>79</v>
      </c>
      <c r="G1032" s="2" t="s">
        <v>22</v>
      </c>
      <c r="H1032" s="2" t="s">
        <v>145</v>
      </c>
      <c r="I1032" s="13">
        <v>10</v>
      </c>
      <c r="J1032" s="10">
        <v>2205.87</v>
      </c>
      <c r="K1032" s="10">
        <f t="shared" si="33"/>
        <v>22058.699999999997</v>
      </c>
      <c r="L1032" s="2">
        <v>0.15</v>
      </c>
      <c r="M1032" s="2" t="s">
        <v>17</v>
      </c>
      <c r="N1032" s="2" t="s">
        <v>18</v>
      </c>
    </row>
    <row r="1033" spans="1:14" x14ac:dyDescent="0.2">
      <c r="A1033" s="13">
        <v>101655</v>
      </c>
      <c r="B1033" s="5">
        <v>45306</v>
      </c>
      <c r="C1033" s="5" t="str">
        <f t="shared" si="32"/>
        <v>Jan</v>
      </c>
      <c r="D1033" s="2" t="s">
        <v>609</v>
      </c>
      <c r="E1033" s="2" t="s">
        <v>31</v>
      </c>
      <c r="F1033" s="2" t="s">
        <v>54</v>
      </c>
      <c r="G1033" s="2" t="s">
        <v>45</v>
      </c>
      <c r="H1033" s="2" t="s">
        <v>153</v>
      </c>
      <c r="I1033" s="13">
        <v>5</v>
      </c>
      <c r="J1033" s="10">
        <v>38540.879999999997</v>
      </c>
      <c r="K1033" s="10">
        <f t="shared" si="33"/>
        <v>192704.4</v>
      </c>
      <c r="L1033" s="2">
        <v>0.05</v>
      </c>
      <c r="M1033" s="2" t="s">
        <v>29</v>
      </c>
      <c r="N1033" s="2" t="s">
        <v>18</v>
      </c>
    </row>
    <row r="1034" spans="1:14" x14ac:dyDescent="0.2">
      <c r="A1034" s="13">
        <v>100599</v>
      </c>
      <c r="B1034" s="5">
        <v>45564</v>
      </c>
      <c r="C1034" s="5" t="str">
        <f t="shared" si="32"/>
        <v>Sep</v>
      </c>
      <c r="D1034" s="2" t="s">
        <v>505</v>
      </c>
      <c r="E1034" s="2" t="s">
        <v>61</v>
      </c>
      <c r="F1034" s="2" t="s">
        <v>119</v>
      </c>
      <c r="G1034" s="2" t="s">
        <v>22</v>
      </c>
      <c r="H1034" s="2" t="s">
        <v>232</v>
      </c>
      <c r="I1034" s="13">
        <v>6</v>
      </c>
      <c r="J1034" s="10">
        <v>492.94</v>
      </c>
      <c r="K1034" s="10">
        <f t="shared" si="33"/>
        <v>2957.64</v>
      </c>
      <c r="L1034" s="2">
        <v>0</v>
      </c>
      <c r="M1034" s="2" t="s">
        <v>24</v>
      </c>
      <c r="N1034" s="2" t="s">
        <v>121</v>
      </c>
    </row>
    <row r="1035" spans="1:14" x14ac:dyDescent="0.2">
      <c r="A1035" s="13">
        <v>101628</v>
      </c>
      <c r="B1035" s="5">
        <v>45455</v>
      </c>
      <c r="C1035" s="5" t="str">
        <f t="shared" si="32"/>
        <v>Jun</v>
      </c>
      <c r="D1035" s="2" t="s">
        <v>784</v>
      </c>
      <c r="E1035" s="2" t="s">
        <v>140</v>
      </c>
      <c r="F1035" s="2" t="s">
        <v>49</v>
      </c>
      <c r="G1035" s="2" t="s">
        <v>15</v>
      </c>
      <c r="H1035" s="2" t="s">
        <v>116</v>
      </c>
      <c r="I1035" s="13">
        <v>7</v>
      </c>
      <c r="J1035" s="10">
        <v>20499.52</v>
      </c>
      <c r="K1035" s="10">
        <f t="shared" si="33"/>
        <v>143496.64000000001</v>
      </c>
      <c r="L1035" s="2">
        <v>0.2</v>
      </c>
      <c r="M1035" s="2" t="s">
        <v>24</v>
      </c>
      <c r="N1035" s="2" t="s">
        <v>42</v>
      </c>
    </row>
    <row r="1036" spans="1:14" x14ac:dyDescent="0.2">
      <c r="A1036" s="13">
        <v>100571</v>
      </c>
      <c r="B1036" s="5">
        <v>45515</v>
      </c>
      <c r="C1036" s="5" t="str">
        <f t="shared" si="32"/>
        <v>Aug</v>
      </c>
      <c r="D1036" s="2" t="s">
        <v>273</v>
      </c>
      <c r="E1036" s="2" t="s">
        <v>31</v>
      </c>
      <c r="F1036" s="2" t="s">
        <v>32</v>
      </c>
      <c r="G1036" s="2" t="s">
        <v>45</v>
      </c>
      <c r="H1036" s="2" t="s">
        <v>46</v>
      </c>
      <c r="I1036" s="13">
        <v>7</v>
      </c>
      <c r="J1036" s="10">
        <v>39122.86</v>
      </c>
      <c r="K1036" s="10">
        <f t="shared" si="33"/>
        <v>273860.02</v>
      </c>
      <c r="L1036" s="2">
        <v>0.05</v>
      </c>
      <c r="M1036" s="2" t="s">
        <v>29</v>
      </c>
      <c r="N1036" s="2" t="s">
        <v>18</v>
      </c>
    </row>
    <row r="1037" spans="1:14" x14ac:dyDescent="0.2">
      <c r="A1037" s="13">
        <v>100075</v>
      </c>
      <c r="B1037" s="5">
        <v>45350</v>
      </c>
      <c r="C1037" s="5" t="str">
        <f t="shared" si="32"/>
        <v>Feb</v>
      </c>
      <c r="D1037" s="2" t="s">
        <v>601</v>
      </c>
      <c r="E1037" s="2" t="s">
        <v>37</v>
      </c>
      <c r="F1037" s="2" t="s">
        <v>69</v>
      </c>
      <c r="G1037" s="2" t="s">
        <v>50</v>
      </c>
      <c r="H1037" s="2" t="s">
        <v>99</v>
      </c>
      <c r="I1037" s="13">
        <v>1</v>
      </c>
      <c r="J1037" s="10">
        <v>1306.49</v>
      </c>
      <c r="K1037" s="10">
        <f t="shared" si="33"/>
        <v>1306.49</v>
      </c>
      <c r="L1037" s="2">
        <v>0</v>
      </c>
      <c r="M1037" s="2" t="s">
        <v>17</v>
      </c>
      <c r="N1037" s="2" t="s">
        <v>35</v>
      </c>
    </row>
    <row r="1038" spans="1:14" x14ac:dyDescent="0.2">
      <c r="A1038" s="13">
        <v>100062</v>
      </c>
      <c r="B1038" s="5">
        <v>45439</v>
      </c>
      <c r="C1038" s="5" t="str">
        <f t="shared" si="32"/>
        <v>May</v>
      </c>
      <c r="D1038" s="2" t="s">
        <v>388</v>
      </c>
      <c r="E1038" s="2" t="s">
        <v>31</v>
      </c>
      <c r="F1038" s="2" t="s">
        <v>32</v>
      </c>
      <c r="G1038" s="2" t="s">
        <v>64</v>
      </c>
      <c r="H1038" s="2" t="s">
        <v>40</v>
      </c>
      <c r="I1038" s="13">
        <v>6</v>
      </c>
      <c r="J1038" s="10">
        <v>495.37</v>
      </c>
      <c r="K1038" s="10">
        <f t="shared" si="33"/>
        <v>2972.2200000000003</v>
      </c>
      <c r="L1038" s="2">
        <v>0</v>
      </c>
      <c r="M1038" s="2" t="s">
        <v>29</v>
      </c>
      <c r="N1038" s="2" t="s">
        <v>121</v>
      </c>
    </row>
    <row r="1039" spans="1:14" x14ac:dyDescent="0.2">
      <c r="A1039" s="13">
        <v>100810</v>
      </c>
      <c r="B1039" s="5">
        <v>45405</v>
      </c>
      <c r="C1039" s="5" t="str">
        <f t="shared" si="32"/>
        <v>Apr</v>
      </c>
      <c r="D1039" s="2" t="s">
        <v>543</v>
      </c>
      <c r="E1039" s="2" t="s">
        <v>37</v>
      </c>
      <c r="F1039" s="2" t="s">
        <v>69</v>
      </c>
      <c r="G1039" s="2" t="s">
        <v>45</v>
      </c>
      <c r="H1039" s="2" t="s">
        <v>97</v>
      </c>
      <c r="I1039" s="13">
        <v>8</v>
      </c>
      <c r="J1039" s="10">
        <v>3346.6</v>
      </c>
      <c r="K1039" s="10">
        <f t="shared" si="33"/>
        <v>26772.799999999999</v>
      </c>
      <c r="L1039" s="2">
        <v>0</v>
      </c>
      <c r="M1039" s="2" t="s">
        <v>24</v>
      </c>
      <c r="N1039" s="2" t="s">
        <v>121</v>
      </c>
    </row>
    <row r="1040" spans="1:14" x14ac:dyDescent="0.2">
      <c r="A1040" s="13">
        <v>100245</v>
      </c>
      <c r="B1040" s="5">
        <v>45485</v>
      </c>
      <c r="C1040" s="5" t="str">
        <f t="shared" si="32"/>
        <v>Jul</v>
      </c>
      <c r="D1040" s="2" t="s">
        <v>464</v>
      </c>
      <c r="E1040" s="2" t="s">
        <v>27</v>
      </c>
      <c r="F1040" s="2" t="s">
        <v>21</v>
      </c>
      <c r="G1040" s="2" t="s">
        <v>15</v>
      </c>
      <c r="H1040" s="2" t="s">
        <v>152</v>
      </c>
      <c r="I1040" s="13">
        <v>10</v>
      </c>
      <c r="J1040" s="10">
        <v>19536.29</v>
      </c>
      <c r="K1040" s="10">
        <f t="shared" si="33"/>
        <v>195362.90000000002</v>
      </c>
      <c r="L1040" s="2">
        <v>0.05</v>
      </c>
      <c r="M1040" s="2" t="s">
        <v>29</v>
      </c>
      <c r="N1040" s="2" t="s">
        <v>18</v>
      </c>
    </row>
    <row r="1041" spans="1:14" x14ac:dyDescent="0.2">
      <c r="A1041" s="13">
        <v>101118</v>
      </c>
      <c r="B1041" s="5">
        <v>45580</v>
      </c>
      <c r="C1041" s="5" t="str">
        <f t="shared" si="32"/>
        <v>Oct</v>
      </c>
      <c r="D1041" s="2" t="s">
        <v>311</v>
      </c>
      <c r="E1041" s="2" t="s">
        <v>140</v>
      </c>
      <c r="F1041" s="2" t="s">
        <v>49</v>
      </c>
      <c r="G1041" s="2" t="s">
        <v>22</v>
      </c>
      <c r="H1041" s="2" t="s">
        <v>23</v>
      </c>
      <c r="I1041" s="13">
        <v>1</v>
      </c>
      <c r="J1041" s="10">
        <v>2512.17</v>
      </c>
      <c r="K1041" s="10">
        <f t="shared" si="33"/>
        <v>2512.17</v>
      </c>
      <c r="L1041" s="2">
        <v>0.25</v>
      </c>
      <c r="M1041" s="2" t="s">
        <v>66</v>
      </c>
      <c r="N1041" s="2" t="s">
        <v>42</v>
      </c>
    </row>
    <row r="1042" spans="1:14" x14ac:dyDescent="0.2">
      <c r="A1042" s="13">
        <v>101859</v>
      </c>
      <c r="B1042" s="5">
        <v>45308</v>
      </c>
      <c r="C1042" s="5" t="str">
        <f t="shared" si="32"/>
        <v>Jan</v>
      </c>
      <c r="D1042" s="2" t="s">
        <v>352</v>
      </c>
      <c r="E1042" s="2" t="s">
        <v>140</v>
      </c>
      <c r="F1042" s="2" t="s">
        <v>79</v>
      </c>
      <c r="G1042" s="2" t="s">
        <v>106</v>
      </c>
      <c r="H1042" s="2" t="s">
        <v>156</v>
      </c>
      <c r="I1042" s="13">
        <v>7</v>
      </c>
      <c r="J1042" s="10">
        <v>3109.83</v>
      </c>
      <c r="K1042" s="10">
        <f t="shared" si="33"/>
        <v>21768.809999999998</v>
      </c>
      <c r="L1042" s="2">
        <v>0</v>
      </c>
      <c r="M1042" s="2" t="s">
        <v>17</v>
      </c>
      <c r="N1042" s="2" t="s">
        <v>25</v>
      </c>
    </row>
    <row r="1043" spans="1:14" x14ac:dyDescent="0.2">
      <c r="A1043" s="13">
        <v>100106</v>
      </c>
      <c r="B1043" s="5">
        <v>45545</v>
      </c>
      <c r="C1043" s="5" t="str">
        <f t="shared" si="32"/>
        <v>Sep</v>
      </c>
      <c r="D1043" s="2" t="s">
        <v>1069</v>
      </c>
      <c r="E1043" s="2" t="s">
        <v>61</v>
      </c>
      <c r="F1043" s="2" t="s">
        <v>14</v>
      </c>
      <c r="G1043" s="2" t="s">
        <v>22</v>
      </c>
      <c r="H1043" s="2" t="s">
        <v>145</v>
      </c>
      <c r="I1043" s="13">
        <v>12</v>
      </c>
      <c r="J1043" s="10">
        <v>3136.72</v>
      </c>
      <c r="K1043" s="10">
        <f t="shared" si="33"/>
        <v>37640.639999999999</v>
      </c>
      <c r="L1043" s="2">
        <v>0.05</v>
      </c>
      <c r="M1043" s="2" t="s">
        <v>66</v>
      </c>
      <c r="N1043" s="2" t="s">
        <v>25</v>
      </c>
    </row>
    <row r="1044" spans="1:14" x14ac:dyDescent="0.2">
      <c r="A1044" s="13">
        <v>100674</v>
      </c>
      <c r="B1044" s="5">
        <v>45341</v>
      </c>
      <c r="C1044" s="5" t="str">
        <f t="shared" si="32"/>
        <v>Feb</v>
      </c>
      <c r="D1044" s="2" t="s">
        <v>1069</v>
      </c>
      <c r="E1044" s="2" t="s">
        <v>37</v>
      </c>
      <c r="F1044" s="2" t="s">
        <v>38</v>
      </c>
      <c r="G1044" s="2" t="s">
        <v>33</v>
      </c>
      <c r="H1044" s="2" t="s">
        <v>81</v>
      </c>
      <c r="I1044" s="13">
        <v>10</v>
      </c>
      <c r="J1044" s="10">
        <v>251.02</v>
      </c>
      <c r="K1044" s="10">
        <f t="shared" si="33"/>
        <v>2510.2000000000003</v>
      </c>
      <c r="L1044" s="2">
        <v>0</v>
      </c>
      <c r="M1044" s="2" t="s">
        <v>24</v>
      </c>
      <c r="N1044" s="2" t="s">
        <v>87</v>
      </c>
    </row>
    <row r="1045" spans="1:14" x14ac:dyDescent="0.2">
      <c r="A1045" s="13">
        <v>100643</v>
      </c>
      <c r="B1045" s="5">
        <v>45388</v>
      </c>
      <c r="C1045" s="5" t="str">
        <f t="shared" si="32"/>
        <v>Apr</v>
      </c>
      <c r="D1045" s="2" t="s">
        <v>306</v>
      </c>
      <c r="E1045" s="2" t="s">
        <v>27</v>
      </c>
      <c r="F1045" s="2" t="s">
        <v>133</v>
      </c>
      <c r="G1045" s="2" t="s">
        <v>33</v>
      </c>
      <c r="H1045" s="2" t="s">
        <v>158</v>
      </c>
      <c r="I1045" s="13">
        <v>4</v>
      </c>
      <c r="J1045" s="10">
        <v>93.25</v>
      </c>
      <c r="K1045" s="10">
        <f t="shared" si="33"/>
        <v>373</v>
      </c>
      <c r="L1045" s="2">
        <v>0</v>
      </c>
      <c r="M1045" s="2" t="s">
        <v>83</v>
      </c>
      <c r="N1045" s="2" t="s">
        <v>42</v>
      </c>
    </row>
    <row r="1046" spans="1:14" x14ac:dyDescent="0.2">
      <c r="A1046" s="13">
        <v>100666</v>
      </c>
      <c r="B1046" s="5">
        <v>45298</v>
      </c>
      <c r="C1046" s="5" t="str">
        <f t="shared" si="32"/>
        <v>Jan</v>
      </c>
      <c r="D1046" s="2" t="s">
        <v>237</v>
      </c>
      <c r="E1046" s="2" t="s">
        <v>140</v>
      </c>
      <c r="F1046" s="2" t="s">
        <v>79</v>
      </c>
      <c r="G1046" s="2" t="s">
        <v>45</v>
      </c>
      <c r="H1046" s="2" t="s">
        <v>97</v>
      </c>
      <c r="I1046" s="13">
        <v>5</v>
      </c>
      <c r="J1046" s="10">
        <v>3676.22</v>
      </c>
      <c r="K1046" s="10">
        <f t="shared" si="33"/>
        <v>18381.099999999999</v>
      </c>
      <c r="L1046" s="2">
        <v>0.2</v>
      </c>
      <c r="M1046" s="2" t="s">
        <v>29</v>
      </c>
      <c r="N1046" s="2" t="s">
        <v>18</v>
      </c>
    </row>
    <row r="1047" spans="1:14" x14ac:dyDescent="0.2">
      <c r="A1047" s="13">
        <v>100510</v>
      </c>
      <c r="B1047" s="5">
        <v>45403</v>
      </c>
      <c r="C1047" s="5" t="str">
        <f t="shared" si="32"/>
        <v>Apr</v>
      </c>
      <c r="D1047" s="2" t="s">
        <v>1069</v>
      </c>
      <c r="E1047" s="2" t="s">
        <v>37</v>
      </c>
      <c r="F1047" s="2" t="s">
        <v>69</v>
      </c>
      <c r="G1047" s="2" t="s">
        <v>106</v>
      </c>
      <c r="H1047" s="2" t="s">
        <v>137</v>
      </c>
      <c r="I1047" s="13">
        <v>12</v>
      </c>
      <c r="J1047" s="10">
        <v>4050.07</v>
      </c>
      <c r="K1047" s="10">
        <f t="shared" si="33"/>
        <v>48600.840000000004</v>
      </c>
      <c r="L1047" s="2">
        <v>0.05</v>
      </c>
      <c r="M1047" s="2" t="s">
        <v>17</v>
      </c>
      <c r="N1047" s="2" t="s">
        <v>25</v>
      </c>
    </row>
    <row r="1048" spans="1:14" x14ac:dyDescent="0.2">
      <c r="A1048" s="13">
        <v>100132</v>
      </c>
      <c r="B1048" s="5">
        <v>45372</v>
      </c>
      <c r="C1048" s="5" t="str">
        <f t="shared" si="32"/>
        <v>Mar</v>
      </c>
      <c r="D1048" s="2" t="s">
        <v>506</v>
      </c>
      <c r="E1048" s="2" t="s">
        <v>31</v>
      </c>
      <c r="F1048" s="2" t="s">
        <v>32</v>
      </c>
      <c r="G1048" s="2" t="s">
        <v>45</v>
      </c>
      <c r="H1048" s="2" t="s">
        <v>97</v>
      </c>
      <c r="I1048" s="13">
        <v>11</v>
      </c>
      <c r="J1048" s="10">
        <v>29775.88</v>
      </c>
      <c r="K1048" s="10">
        <f t="shared" si="33"/>
        <v>327534.68</v>
      </c>
      <c r="L1048" s="2">
        <v>0</v>
      </c>
      <c r="M1048" s="2" t="s">
        <v>24</v>
      </c>
      <c r="N1048" s="2" t="s">
        <v>18</v>
      </c>
    </row>
    <row r="1049" spans="1:14" x14ac:dyDescent="0.2">
      <c r="A1049" s="13">
        <v>100445</v>
      </c>
      <c r="B1049" s="5">
        <v>45307</v>
      </c>
      <c r="C1049" s="5" t="str">
        <f t="shared" si="32"/>
        <v>Jan</v>
      </c>
      <c r="D1049" s="2" t="s">
        <v>715</v>
      </c>
      <c r="E1049" s="2" t="s">
        <v>27</v>
      </c>
      <c r="F1049" s="2" t="s">
        <v>21</v>
      </c>
      <c r="G1049" s="2" t="s">
        <v>22</v>
      </c>
      <c r="H1049" s="2" t="s">
        <v>232</v>
      </c>
      <c r="I1049" s="13">
        <v>3</v>
      </c>
      <c r="J1049" s="10">
        <v>2934.25</v>
      </c>
      <c r="K1049" s="10">
        <f t="shared" si="33"/>
        <v>8802.75</v>
      </c>
      <c r="L1049" s="2">
        <v>0.2</v>
      </c>
      <c r="M1049" s="2" t="s">
        <v>41</v>
      </c>
      <c r="N1049" s="2" t="s">
        <v>143</v>
      </c>
    </row>
    <row r="1050" spans="1:14" x14ac:dyDescent="0.2">
      <c r="A1050" s="13">
        <v>101798</v>
      </c>
      <c r="B1050" s="5">
        <v>45500</v>
      </c>
      <c r="C1050" s="5" t="str">
        <f t="shared" si="32"/>
        <v>Jul</v>
      </c>
      <c r="D1050" s="2" t="s">
        <v>317</v>
      </c>
      <c r="E1050" s="2" t="s">
        <v>27</v>
      </c>
      <c r="F1050" s="2" t="s">
        <v>133</v>
      </c>
      <c r="G1050" s="2" t="s">
        <v>64</v>
      </c>
      <c r="H1050" s="2" t="s">
        <v>242</v>
      </c>
      <c r="I1050" s="13">
        <v>4</v>
      </c>
      <c r="J1050" s="10">
        <v>383.99</v>
      </c>
      <c r="K1050" s="10">
        <f t="shared" si="33"/>
        <v>1535.96</v>
      </c>
      <c r="L1050" s="2">
        <v>0.1</v>
      </c>
      <c r="M1050" s="2" t="s">
        <v>17</v>
      </c>
      <c r="N1050" s="2" t="s">
        <v>25</v>
      </c>
    </row>
    <row r="1051" spans="1:14" x14ac:dyDescent="0.2">
      <c r="A1051" s="13">
        <v>100058</v>
      </c>
      <c r="B1051" s="5">
        <v>45453</v>
      </c>
      <c r="C1051" s="5" t="str">
        <f t="shared" si="32"/>
        <v>Jun</v>
      </c>
      <c r="D1051" s="2" t="s">
        <v>830</v>
      </c>
      <c r="E1051" s="2" t="s">
        <v>61</v>
      </c>
      <c r="F1051" s="2" t="s">
        <v>119</v>
      </c>
      <c r="G1051" s="2" t="s">
        <v>15</v>
      </c>
      <c r="H1051" s="2" t="s">
        <v>59</v>
      </c>
      <c r="I1051" s="13">
        <v>3</v>
      </c>
      <c r="J1051" s="10">
        <v>23195.360000000001</v>
      </c>
      <c r="K1051" s="10">
        <f t="shared" si="33"/>
        <v>69586.080000000002</v>
      </c>
      <c r="L1051" s="2">
        <v>0</v>
      </c>
      <c r="M1051" s="2" t="s">
        <v>83</v>
      </c>
      <c r="N1051" s="2" t="s">
        <v>121</v>
      </c>
    </row>
    <row r="1052" spans="1:14" x14ac:dyDescent="0.2">
      <c r="A1052" s="13">
        <v>101678</v>
      </c>
      <c r="B1052" s="5">
        <v>45462</v>
      </c>
      <c r="C1052" s="5" t="str">
        <f t="shared" si="32"/>
        <v>Jun</v>
      </c>
      <c r="D1052" s="2" t="s">
        <v>213</v>
      </c>
      <c r="E1052" s="2" t="s">
        <v>140</v>
      </c>
      <c r="F1052" s="2" t="s">
        <v>79</v>
      </c>
      <c r="G1052" s="2" t="s">
        <v>50</v>
      </c>
      <c r="H1052" s="2" t="s">
        <v>62</v>
      </c>
      <c r="I1052" s="13">
        <v>1</v>
      </c>
      <c r="J1052" s="10">
        <v>9904.2900000000009</v>
      </c>
      <c r="K1052" s="10">
        <f t="shared" si="33"/>
        <v>9904.2900000000009</v>
      </c>
      <c r="L1052" s="2">
        <v>0.05</v>
      </c>
      <c r="M1052" s="2" t="s">
        <v>24</v>
      </c>
      <c r="N1052" s="2" t="s">
        <v>52</v>
      </c>
    </row>
    <row r="1053" spans="1:14" x14ac:dyDescent="0.2">
      <c r="A1053" s="13">
        <v>101084</v>
      </c>
      <c r="B1053" s="5">
        <v>45523</v>
      </c>
      <c r="C1053" s="5" t="str">
        <f t="shared" si="32"/>
        <v>Aug</v>
      </c>
      <c r="D1053" s="2" t="s">
        <v>806</v>
      </c>
      <c r="E1053" s="2" t="s">
        <v>37</v>
      </c>
      <c r="F1053" s="2" t="s">
        <v>69</v>
      </c>
      <c r="G1053" s="2" t="s">
        <v>64</v>
      </c>
      <c r="H1053" s="2" t="s">
        <v>242</v>
      </c>
      <c r="I1053" s="13">
        <v>3</v>
      </c>
      <c r="J1053" s="10">
        <v>786.91</v>
      </c>
      <c r="K1053" s="10">
        <f t="shared" si="33"/>
        <v>2360.73</v>
      </c>
      <c r="L1053" s="2">
        <v>0</v>
      </c>
      <c r="M1053" s="2" t="s">
        <v>24</v>
      </c>
      <c r="N1053" s="2" t="s">
        <v>121</v>
      </c>
    </row>
    <row r="1054" spans="1:14" x14ac:dyDescent="0.2">
      <c r="A1054" s="13">
        <v>101945</v>
      </c>
      <c r="B1054" s="5">
        <v>45523</v>
      </c>
      <c r="C1054" s="5" t="str">
        <f t="shared" si="32"/>
        <v>Aug</v>
      </c>
      <c r="D1054" s="2" t="s">
        <v>572</v>
      </c>
      <c r="E1054" s="2" t="s">
        <v>37</v>
      </c>
      <c r="F1054" s="2" t="s">
        <v>69</v>
      </c>
      <c r="G1054" s="2" t="s">
        <v>22</v>
      </c>
      <c r="H1054" s="2" t="s">
        <v>75</v>
      </c>
      <c r="I1054" s="13">
        <v>2</v>
      </c>
      <c r="J1054" s="10">
        <v>3496.58</v>
      </c>
      <c r="K1054" s="10">
        <f t="shared" si="33"/>
        <v>6993.16</v>
      </c>
      <c r="L1054" s="2">
        <v>0</v>
      </c>
      <c r="M1054" s="2" t="s">
        <v>83</v>
      </c>
      <c r="N1054" s="2" t="s">
        <v>18</v>
      </c>
    </row>
    <row r="1055" spans="1:14" x14ac:dyDescent="0.2">
      <c r="A1055" s="13">
        <v>100087</v>
      </c>
      <c r="B1055" s="5">
        <v>45649</v>
      </c>
      <c r="C1055" s="5" t="str">
        <f t="shared" si="32"/>
        <v>Dec</v>
      </c>
      <c r="D1055" s="2" t="s">
        <v>831</v>
      </c>
      <c r="E1055" s="2" t="s">
        <v>27</v>
      </c>
      <c r="F1055" s="2" t="s">
        <v>133</v>
      </c>
      <c r="G1055" s="2" t="s">
        <v>22</v>
      </c>
      <c r="H1055" s="2" t="s">
        <v>145</v>
      </c>
      <c r="I1055" s="13">
        <v>9</v>
      </c>
      <c r="J1055" s="10">
        <v>3310.74</v>
      </c>
      <c r="K1055" s="10">
        <f t="shared" si="33"/>
        <v>29796.659999999996</v>
      </c>
      <c r="L1055" s="2">
        <v>0</v>
      </c>
      <c r="M1055" s="2" t="s">
        <v>17</v>
      </c>
      <c r="N1055" s="2" t="s">
        <v>18</v>
      </c>
    </row>
    <row r="1056" spans="1:14" x14ac:dyDescent="0.2">
      <c r="A1056" s="13">
        <v>101872</v>
      </c>
      <c r="B1056" s="5">
        <v>45437</v>
      </c>
      <c r="C1056" s="5" t="str">
        <f t="shared" si="32"/>
        <v>May</v>
      </c>
      <c r="D1056" s="2" t="s">
        <v>832</v>
      </c>
      <c r="E1056" s="2" t="s">
        <v>37</v>
      </c>
      <c r="F1056" s="2" t="s">
        <v>38</v>
      </c>
      <c r="G1056" s="2" t="s">
        <v>64</v>
      </c>
      <c r="H1056" s="2" t="s">
        <v>165</v>
      </c>
      <c r="I1056" s="13">
        <v>6</v>
      </c>
      <c r="J1056" s="10">
        <v>224.24</v>
      </c>
      <c r="K1056" s="10">
        <f t="shared" si="33"/>
        <v>1345.44</v>
      </c>
      <c r="L1056" s="2">
        <v>0.15</v>
      </c>
      <c r="M1056" s="2" t="s">
        <v>83</v>
      </c>
      <c r="N1056" s="2" t="s">
        <v>52</v>
      </c>
    </row>
    <row r="1057" spans="1:14" x14ac:dyDescent="0.2">
      <c r="A1057" s="13">
        <v>100772</v>
      </c>
      <c r="B1057" s="5">
        <v>45436</v>
      </c>
      <c r="C1057" s="5" t="str">
        <f t="shared" si="32"/>
        <v>May</v>
      </c>
      <c r="D1057" s="2" t="s">
        <v>220</v>
      </c>
      <c r="E1057" s="2" t="s">
        <v>37</v>
      </c>
      <c r="F1057" s="2" t="s">
        <v>38</v>
      </c>
      <c r="G1057" s="2" t="s">
        <v>33</v>
      </c>
      <c r="H1057" s="2" t="s">
        <v>81</v>
      </c>
      <c r="I1057" s="13">
        <v>1</v>
      </c>
      <c r="J1057" s="10">
        <v>57.24</v>
      </c>
      <c r="K1057" s="10">
        <f t="shared" si="33"/>
        <v>57.24</v>
      </c>
      <c r="L1057" s="2">
        <v>0</v>
      </c>
      <c r="M1057" s="2" t="s">
        <v>66</v>
      </c>
      <c r="N1057" s="2" t="s">
        <v>87</v>
      </c>
    </row>
    <row r="1058" spans="1:14" x14ac:dyDescent="0.2">
      <c r="A1058" s="13">
        <v>101402</v>
      </c>
      <c r="B1058" s="5">
        <v>45497</v>
      </c>
      <c r="C1058" s="5" t="str">
        <f t="shared" si="32"/>
        <v>Jul</v>
      </c>
      <c r="D1058" s="2" t="s">
        <v>176</v>
      </c>
      <c r="E1058" s="2" t="s">
        <v>140</v>
      </c>
      <c r="F1058" s="2" t="s">
        <v>49</v>
      </c>
      <c r="G1058" s="2" t="s">
        <v>50</v>
      </c>
      <c r="H1058" s="2" t="s">
        <v>51</v>
      </c>
      <c r="I1058" s="13">
        <v>11</v>
      </c>
      <c r="J1058" s="10">
        <v>4173.6899999999996</v>
      </c>
      <c r="K1058" s="10">
        <f t="shared" si="33"/>
        <v>45910.59</v>
      </c>
      <c r="L1058" s="2">
        <v>0</v>
      </c>
      <c r="M1058" s="2" t="s">
        <v>17</v>
      </c>
      <c r="N1058" s="2" t="s">
        <v>18</v>
      </c>
    </row>
    <row r="1059" spans="1:14" x14ac:dyDescent="0.2">
      <c r="A1059" s="13">
        <v>100709</v>
      </c>
      <c r="B1059" s="5">
        <v>45387</v>
      </c>
      <c r="C1059" s="5" t="str">
        <f t="shared" si="32"/>
        <v>Apr</v>
      </c>
      <c r="D1059" s="2" t="s">
        <v>84</v>
      </c>
      <c r="E1059" s="2" t="s">
        <v>140</v>
      </c>
      <c r="F1059" s="2" t="s">
        <v>79</v>
      </c>
      <c r="G1059" s="2" t="s">
        <v>45</v>
      </c>
      <c r="H1059" s="2" t="s">
        <v>46</v>
      </c>
      <c r="I1059" s="13">
        <v>8</v>
      </c>
      <c r="J1059" s="10">
        <v>35845.11</v>
      </c>
      <c r="K1059" s="10">
        <f t="shared" si="33"/>
        <v>286760.88</v>
      </c>
      <c r="L1059" s="2">
        <v>0</v>
      </c>
      <c r="M1059" s="2" t="s">
        <v>29</v>
      </c>
      <c r="N1059" s="2" t="s">
        <v>87</v>
      </c>
    </row>
    <row r="1060" spans="1:14" x14ac:dyDescent="0.2">
      <c r="A1060" s="13">
        <v>101576</v>
      </c>
      <c r="B1060" s="5">
        <v>45410</v>
      </c>
      <c r="C1060" s="5" t="str">
        <f t="shared" si="32"/>
        <v>Apr</v>
      </c>
      <c r="D1060" s="2" t="s">
        <v>834</v>
      </c>
      <c r="E1060" s="2" t="s">
        <v>31</v>
      </c>
      <c r="F1060" s="2" t="s">
        <v>54</v>
      </c>
      <c r="G1060" s="2" t="s">
        <v>15</v>
      </c>
      <c r="H1060" s="2" t="s">
        <v>59</v>
      </c>
      <c r="I1060" s="13">
        <v>4</v>
      </c>
      <c r="J1060" s="10">
        <v>20791.82</v>
      </c>
      <c r="K1060" s="10">
        <f t="shared" si="33"/>
        <v>83167.28</v>
      </c>
      <c r="L1060" s="2">
        <v>0</v>
      </c>
      <c r="M1060" s="2" t="s">
        <v>83</v>
      </c>
      <c r="N1060" s="2" t="s">
        <v>18</v>
      </c>
    </row>
    <row r="1061" spans="1:14" x14ac:dyDescent="0.2">
      <c r="A1061" s="13">
        <v>101354</v>
      </c>
      <c r="B1061" s="5">
        <v>45656</v>
      </c>
      <c r="C1061" s="5" t="str">
        <f t="shared" si="32"/>
        <v>Dec</v>
      </c>
      <c r="D1061" s="2" t="s">
        <v>241</v>
      </c>
      <c r="E1061" s="2" t="s">
        <v>37</v>
      </c>
      <c r="F1061" s="2" t="s">
        <v>69</v>
      </c>
      <c r="G1061" s="2" t="s">
        <v>106</v>
      </c>
      <c r="H1061" s="2" t="s">
        <v>156</v>
      </c>
      <c r="I1061" s="13">
        <v>11</v>
      </c>
      <c r="J1061" s="10">
        <v>3868.14</v>
      </c>
      <c r="K1061" s="10">
        <f t="shared" si="33"/>
        <v>42549.54</v>
      </c>
      <c r="L1061" s="2">
        <v>0.1</v>
      </c>
      <c r="M1061" s="2" t="s">
        <v>41</v>
      </c>
      <c r="N1061" s="2" t="s">
        <v>25</v>
      </c>
    </row>
    <row r="1062" spans="1:14" x14ac:dyDescent="0.2">
      <c r="A1062" s="13">
        <v>101581</v>
      </c>
      <c r="B1062" s="5">
        <v>45577</v>
      </c>
      <c r="C1062" s="5" t="str">
        <f t="shared" si="32"/>
        <v>Oct</v>
      </c>
      <c r="D1062" s="2" t="s">
        <v>229</v>
      </c>
      <c r="E1062" s="2" t="s">
        <v>31</v>
      </c>
      <c r="F1062" s="2" t="s">
        <v>54</v>
      </c>
      <c r="G1062" s="2" t="s">
        <v>64</v>
      </c>
      <c r="H1062" s="2" t="s">
        <v>165</v>
      </c>
      <c r="I1062" s="13">
        <v>9</v>
      </c>
      <c r="J1062" s="10">
        <v>798.58</v>
      </c>
      <c r="K1062" s="10">
        <f t="shared" si="33"/>
        <v>7187.22</v>
      </c>
      <c r="L1062" s="2">
        <v>0</v>
      </c>
      <c r="M1062" s="2" t="s">
        <v>24</v>
      </c>
      <c r="N1062" s="2" t="s">
        <v>52</v>
      </c>
    </row>
    <row r="1063" spans="1:14" x14ac:dyDescent="0.2">
      <c r="A1063" s="13">
        <v>100539</v>
      </c>
      <c r="B1063" s="5">
        <v>45553</v>
      </c>
      <c r="C1063" s="5" t="str">
        <f t="shared" si="32"/>
        <v>Sep</v>
      </c>
      <c r="D1063" s="2" t="s">
        <v>413</v>
      </c>
      <c r="E1063" s="2" t="s">
        <v>31</v>
      </c>
      <c r="F1063" s="2" t="s">
        <v>32</v>
      </c>
      <c r="G1063" s="2" t="s">
        <v>64</v>
      </c>
      <c r="H1063" s="2" t="s">
        <v>40</v>
      </c>
      <c r="I1063" s="13">
        <v>12</v>
      </c>
      <c r="J1063" s="10">
        <v>668.42</v>
      </c>
      <c r="K1063" s="10">
        <f t="shared" si="33"/>
        <v>8021.0399999999991</v>
      </c>
      <c r="L1063" s="2">
        <v>0</v>
      </c>
      <c r="M1063" s="2" t="s">
        <v>83</v>
      </c>
      <c r="N1063" s="2" t="s">
        <v>121</v>
      </c>
    </row>
    <row r="1064" spans="1:14" x14ac:dyDescent="0.2">
      <c r="A1064" s="13">
        <v>101760</v>
      </c>
      <c r="B1064" s="5">
        <v>45571</v>
      </c>
      <c r="C1064" s="5" t="str">
        <f t="shared" si="32"/>
        <v>Oct</v>
      </c>
      <c r="D1064" s="2" t="s">
        <v>328</v>
      </c>
      <c r="E1064" s="2" t="s">
        <v>31</v>
      </c>
      <c r="F1064" s="2" t="s">
        <v>32</v>
      </c>
      <c r="G1064" s="2" t="s">
        <v>50</v>
      </c>
      <c r="H1064" s="2" t="s">
        <v>207</v>
      </c>
      <c r="I1064" s="13">
        <v>1</v>
      </c>
      <c r="J1064" s="10">
        <v>9146.23</v>
      </c>
      <c r="K1064" s="10">
        <f t="shared" si="33"/>
        <v>9146.23</v>
      </c>
      <c r="L1064" s="2">
        <v>0</v>
      </c>
      <c r="M1064" s="2" t="s">
        <v>24</v>
      </c>
      <c r="N1064" s="2" t="s">
        <v>143</v>
      </c>
    </row>
    <row r="1065" spans="1:14" x14ac:dyDescent="0.2">
      <c r="A1065" s="13">
        <v>101278</v>
      </c>
      <c r="B1065" s="5">
        <v>45585</v>
      </c>
      <c r="C1065" s="5" t="str">
        <f t="shared" si="32"/>
        <v>Oct</v>
      </c>
      <c r="D1065" s="2" t="s">
        <v>835</v>
      </c>
      <c r="E1065" s="2" t="s">
        <v>37</v>
      </c>
      <c r="F1065" s="2" t="s">
        <v>69</v>
      </c>
      <c r="G1065" s="2" t="s">
        <v>15</v>
      </c>
      <c r="H1065" s="2" t="s">
        <v>116</v>
      </c>
      <c r="I1065" s="13">
        <v>4</v>
      </c>
      <c r="J1065" s="10">
        <v>8882.34</v>
      </c>
      <c r="K1065" s="10">
        <f t="shared" si="33"/>
        <v>35529.360000000001</v>
      </c>
      <c r="L1065" s="2">
        <v>0</v>
      </c>
      <c r="M1065" s="2" t="s">
        <v>17</v>
      </c>
      <c r="N1065" s="2" t="s">
        <v>18</v>
      </c>
    </row>
    <row r="1066" spans="1:14" x14ac:dyDescent="0.2">
      <c r="A1066" s="13">
        <v>101572</v>
      </c>
      <c r="B1066" s="5">
        <v>45317</v>
      </c>
      <c r="C1066" s="5" t="str">
        <f t="shared" si="32"/>
        <v>Jan</v>
      </c>
      <c r="D1066" s="2" t="s">
        <v>450</v>
      </c>
      <c r="E1066" s="2" t="s">
        <v>31</v>
      </c>
      <c r="F1066" s="2" t="s">
        <v>32</v>
      </c>
      <c r="G1066" s="2" t="s">
        <v>15</v>
      </c>
      <c r="H1066" s="2" t="s">
        <v>152</v>
      </c>
      <c r="I1066" s="13">
        <v>6</v>
      </c>
      <c r="J1066" s="10">
        <v>12203.25</v>
      </c>
      <c r="K1066" s="10">
        <f t="shared" si="33"/>
        <v>73219.5</v>
      </c>
      <c r="L1066" s="2">
        <v>0.05</v>
      </c>
      <c r="M1066" s="2" t="s">
        <v>29</v>
      </c>
      <c r="N1066" s="2" t="s">
        <v>121</v>
      </c>
    </row>
    <row r="1067" spans="1:14" x14ac:dyDescent="0.2">
      <c r="A1067" s="13">
        <v>101321</v>
      </c>
      <c r="B1067" s="5">
        <v>45496</v>
      </c>
      <c r="C1067" s="5" t="str">
        <f t="shared" si="32"/>
        <v>Jul</v>
      </c>
      <c r="D1067" s="2" t="s">
        <v>836</v>
      </c>
      <c r="E1067" s="2" t="s">
        <v>31</v>
      </c>
      <c r="F1067" s="2" t="s">
        <v>54</v>
      </c>
      <c r="G1067" s="2" t="s">
        <v>45</v>
      </c>
      <c r="H1067" s="2" t="s">
        <v>71</v>
      </c>
      <c r="I1067" s="13">
        <v>7</v>
      </c>
      <c r="J1067" s="10">
        <v>29957.95</v>
      </c>
      <c r="K1067" s="10">
        <f t="shared" si="33"/>
        <v>209705.65</v>
      </c>
      <c r="L1067" s="2">
        <v>0</v>
      </c>
      <c r="M1067" s="2" t="s">
        <v>83</v>
      </c>
      <c r="N1067" s="2" t="s">
        <v>87</v>
      </c>
    </row>
    <row r="1068" spans="1:14" x14ac:dyDescent="0.2">
      <c r="A1068" s="13">
        <v>100419</v>
      </c>
      <c r="B1068" s="5">
        <v>45375</v>
      </c>
      <c r="C1068" s="5" t="str">
        <f t="shared" si="32"/>
        <v>Mar</v>
      </c>
      <c r="D1068" s="2" t="s">
        <v>681</v>
      </c>
      <c r="E1068" s="2" t="s">
        <v>31</v>
      </c>
      <c r="F1068" s="2" t="s">
        <v>54</v>
      </c>
      <c r="G1068" s="2" t="s">
        <v>33</v>
      </c>
      <c r="H1068" s="2" t="s">
        <v>81</v>
      </c>
      <c r="I1068" s="13">
        <v>11</v>
      </c>
      <c r="J1068" s="10">
        <v>36.61</v>
      </c>
      <c r="K1068" s="10">
        <f t="shared" si="33"/>
        <v>402.71</v>
      </c>
      <c r="L1068" s="2">
        <v>0</v>
      </c>
      <c r="M1068" s="2" t="s">
        <v>24</v>
      </c>
      <c r="N1068" s="2" t="s">
        <v>25</v>
      </c>
    </row>
    <row r="1069" spans="1:14" x14ac:dyDescent="0.2">
      <c r="A1069" s="13">
        <v>101867</v>
      </c>
      <c r="B1069" s="5">
        <v>45640</v>
      </c>
      <c r="C1069" s="5" t="str">
        <f t="shared" si="32"/>
        <v>Dec</v>
      </c>
      <c r="D1069" s="2" t="s">
        <v>809</v>
      </c>
      <c r="E1069" s="2" t="s">
        <v>37</v>
      </c>
      <c r="F1069" s="2" t="s">
        <v>38</v>
      </c>
      <c r="G1069" s="2" t="s">
        <v>64</v>
      </c>
      <c r="H1069" s="2" t="s">
        <v>242</v>
      </c>
      <c r="I1069" s="13">
        <v>2</v>
      </c>
      <c r="J1069" s="10">
        <v>812.34</v>
      </c>
      <c r="K1069" s="10">
        <f t="shared" si="33"/>
        <v>1624.68</v>
      </c>
      <c r="L1069" s="2">
        <v>0</v>
      </c>
      <c r="M1069" s="2" t="s">
        <v>83</v>
      </c>
      <c r="N1069" s="2" t="s">
        <v>143</v>
      </c>
    </row>
    <row r="1070" spans="1:14" x14ac:dyDescent="0.2">
      <c r="A1070" s="13">
        <v>101074</v>
      </c>
      <c r="B1070" s="5">
        <v>45514</v>
      </c>
      <c r="C1070" s="5" t="str">
        <f t="shared" si="32"/>
        <v>Aug</v>
      </c>
      <c r="D1070" s="2" t="s">
        <v>88</v>
      </c>
      <c r="E1070" s="2" t="s">
        <v>61</v>
      </c>
      <c r="F1070" s="2" t="s">
        <v>119</v>
      </c>
      <c r="G1070" s="2" t="s">
        <v>45</v>
      </c>
      <c r="H1070" s="2" t="s">
        <v>111</v>
      </c>
      <c r="I1070" s="13">
        <v>12</v>
      </c>
      <c r="J1070" s="10">
        <v>10591.77</v>
      </c>
      <c r="K1070" s="10">
        <f t="shared" si="33"/>
        <v>127101.24</v>
      </c>
      <c r="L1070" s="2">
        <v>0.15</v>
      </c>
      <c r="M1070" s="2" t="s">
        <v>41</v>
      </c>
      <c r="N1070" s="2" t="s">
        <v>121</v>
      </c>
    </row>
    <row r="1071" spans="1:14" x14ac:dyDescent="0.2">
      <c r="A1071" s="13">
        <v>101724</v>
      </c>
      <c r="B1071" s="5">
        <v>45340</v>
      </c>
      <c r="C1071" s="5" t="str">
        <f t="shared" si="32"/>
        <v>Feb</v>
      </c>
      <c r="D1071" s="2" t="s">
        <v>578</v>
      </c>
      <c r="E1071" s="2" t="s">
        <v>61</v>
      </c>
      <c r="F1071" s="2" t="s">
        <v>119</v>
      </c>
      <c r="G1071" s="2" t="s">
        <v>33</v>
      </c>
      <c r="H1071" s="2" t="s">
        <v>93</v>
      </c>
      <c r="I1071" s="13">
        <v>9</v>
      </c>
      <c r="J1071" s="10">
        <v>0</v>
      </c>
      <c r="K1071" s="10">
        <f t="shared" si="33"/>
        <v>0</v>
      </c>
      <c r="L1071" s="2">
        <v>0</v>
      </c>
      <c r="M1071" s="2" t="s">
        <v>17</v>
      </c>
      <c r="N1071" s="2" t="s">
        <v>121</v>
      </c>
    </row>
    <row r="1072" spans="1:14" x14ac:dyDescent="0.2">
      <c r="A1072" s="13">
        <v>101295</v>
      </c>
      <c r="B1072" s="5">
        <v>45584</v>
      </c>
      <c r="C1072" s="5" t="str">
        <f t="shared" si="32"/>
        <v>Oct</v>
      </c>
      <c r="D1072" s="2" t="s">
        <v>321</v>
      </c>
      <c r="E1072" s="2" t="s">
        <v>27</v>
      </c>
      <c r="F1072" s="2" t="s">
        <v>21</v>
      </c>
      <c r="G1072" s="2" t="s">
        <v>33</v>
      </c>
      <c r="H1072" s="2" t="s">
        <v>34</v>
      </c>
      <c r="I1072" s="13">
        <v>1</v>
      </c>
      <c r="J1072" s="10">
        <v>330.36</v>
      </c>
      <c r="K1072" s="10">
        <f t="shared" si="33"/>
        <v>330.36</v>
      </c>
      <c r="L1072" s="2">
        <v>0.15</v>
      </c>
      <c r="M1072" s="2" t="s">
        <v>66</v>
      </c>
      <c r="N1072" s="2" t="s">
        <v>25</v>
      </c>
    </row>
    <row r="1073" spans="1:14" x14ac:dyDescent="0.2">
      <c r="A1073" s="13">
        <v>100852</v>
      </c>
      <c r="B1073" s="5">
        <v>45459</v>
      </c>
      <c r="C1073" s="5" t="str">
        <f t="shared" si="32"/>
        <v>Jun</v>
      </c>
      <c r="D1073" s="2" t="s">
        <v>264</v>
      </c>
      <c r="E1073" s="2" t="s">
        <v>37</v>
      </c>
      <c r="F1073" s="2" t="s">
        <v>69</v>
      </c>
      <c r="G1073" s="2" t="s">
        <v>45</v>
      </c>
      <c r="H1073" s="2" t="s">
        <v>111</v>
      </c>
      <c r="I1073" s="13">
        <v>9</v>
      </c>
      <c r="J1073" s="10">
        <v>33316.39</v>
      </c>
      <c r="K1073" s="10">
        <f t="shared" si="33"/>
        <v>299847.51</v>
      </c>
      <c r="L1073" s="2">
        <v>0</v>
      </c>
      <c r="M1073" s="2" t="s">
        <v>83</v>
      </c>
      <c r="N1073" s="2" t="s">
        <v>35</v>
      </c>
    </row>
    <row r="1074" spans="1:14" x14ac:dyDescent="0.2">
      <c r="A1074" s="13">
        <v>101769</v>
      </c>
      <c r="B1074" s="5">
        <v>45586</v>
      </c>
      <c r="C1074" s="5" t="str">
        <f t="shared" si="32"/>
        <v>Oct</v>
      </c>
      <c r="D1074" s="2" t="s">
        <v>530</v>
      </c>
      <c r="E1074" s="2" t="s">
        <v>140</v>
      </c>
      <c r="F1074" s="2" t="s">
        <v>79</v>
      </c>
      <c r="G1074" s="2" t="s">
        <v>33</v>
      </c>
      <c r="H1074" s="2" t="s">
        <v>81</v>
      </c>
      <c r="I1074" s="13">
        <v>11</v>
      </c>
      <c r="J1074" s="10">
        <v>318.18</v>
      </c>
      <c r="K1074" s="10">
        <f t="shared" si="33"/>
        <v>3499.98</v>
      </c>
      <c r="L1074" s="2">
        <v>0</v>
      </c>
      <c r="M1074" s="2" t="s">
        <v>41</v>
      </c>
      <c r="N1074" s="2" t="s">
        <v>42</v>
      </c>
    </row>
    <row r="1075" spans="1:14" x14ac:dyDescent="0.2">
      <c r="A1075" s="13">
        <v>101887</v>
      </c>
      <c r="B1075" s="5">
        <v>45524</v>
      </c>
      <c r="C1075" s="5" t="str">
        <f t="shared" si="32"/>
        <v>Aug</v>
      </c>
      <c r="D1075" s="2" t="s">
        <v>215</v>
      </c>
      <c r="E1075" s="2" t="s">
        <v>140</v>
      </c>
      <c r="F1075" s="2" t="s">
        <v>79</v>
      </c>
      <c r="G1075" s="2" t="s">
        <v>50</v>
      </c>
      <c r="H1075" s="2" t="s">
        <v>99</v>
      </c>
      <c r="I1075" s="13">
        <v>11</v>
      </c>
      <c r="J1075" s="10">
        <v>7027.15</v>
      </c>
      <c r="K1075" s="10">
        <f t="shared" si="33"/>
        <v>77298.649999999994</v>
      </c>
      <c r="L1075" s="2">
        <v>0.25</v>
      </c>
      <c r="M1075" s="2" t="s">
        <v>66</v>
      </c>
      <c r="N1075" s="2" t="s">
        <v>52</v>
      </c>
    </row>
    <row r="1076" spans="1:14" x14ac:dyDescent="0.2">
      <c r="A1076" s="13">
        <v>101710</v>
      </c>
      <c r="B1076" s="5">
        <v>45637</v>
      </c>
      <c r="C1076" s="5" t="str">
        <f t="shared" si="32"/>
        <v>Dec</v>
      </c>
      <c r="D1076" s="2" t="s">
        <v>304</v>
      </c>
      <c r="E1076" s="2" t="s">
        <v>61</v>
      </c>
      <c r="F1076" s="2" t="s">
        <v>119</v>
      </c>
      <c r="G1076" s="2" t="s">
        <v>64</v>
      </c>
      <c r="H1076" s="2" t="s">
        <v>114</v>
      </c>
      <c r="I1076" s="13">
        <v>9</v>
      </c>
      <c r="J1076" s="10">
        <v>628.01</v>
      </c>
      <c r="K1076" s="10">
        <f t="shared" si="33"/>
        <v>5652.09</v>
      </c>
      <c r="L1076" s="2">
        <v>0</v>
      </c>
      <c r="M1076" s="2" t="s">
        <v>17</v>
      </c>
      <c r="N1076" s="2" t="s">
        <v>35</v>
      </c>
    </row>
    <row r="1077" spans="1:14" x14ac:dyDescent="0.2">
      <c r="A1077" s="13">
        <v>101782</v>
      </c>
      <c r="B1077" s="5">
        <v>45464</v>
      </c>
      <c r="C1077" s="5" t="str">
        <f t="shared" si="32"/>
        <v>Jun</v>
      </c>
      <c r="D1077" s="2" t="s">
        <v>130</v>
      </c>
      <c r="E1077" s="2" t="s">
        <v>27</v>
      </c>
      <c r="F1077" s="2" t="s">
        <v>133</v>
      </c>
      <c r="G1077" s="2" t="s">
        <v>22</v>
      </c>
      <c r="H1077" s="2" t="s">
        <v>75</v>
      </c>
      <c r="I1077" s="13">
        <v>1</v>
      </c>
      <c r="J1077" s="10">
        <v>2735.04</v>
      </c>
      <c r="K1077" s="10">
        <f t="shared" si="33"/>
        <v>2735.04</v>
      </c>
      <c r="L1077" s="2">
        <v>0.05</v>
      </c>
      <c r="M1077" s="2" t="s">
        <v>17</v>
      </c>
      <c r="N1077" s="2" t="s">
        <v>143</v>
      </c>
    </row>
    <row r="1078" spans="1:14" x14ac:dyDescent="0.2">
      <c r="A1078" s="13">
        <v>101313</v>
      </c>
      <c r="B1078" s="5">
        <v>45613</v>
      </c>
      <c r="C1078" s="5" t="str">
        <f t="shared" si="32"/>
        <v>Nov</v>
      </c>
      <c r="D1078" s="2" t="s">
        <v>649</v>
      </c>
      <c r="E1078" s="2" t="s">
        <v>31</v>
      </c>
      <c r="F1078" s="2" t="s">
        <v>32</v>
      </c>
      <c r="G1078" s="2" t="s">
        <v>22</v>
      </c>
      <c r="H1078" s="2" t="s">
        <v>75</v>
      </c>
      <c r="I1078" s="13">
        <v>6</v>
      </c>
      <c r="J1078" s="10">
        <v>1909.1</v>
      </c>
      <c r="K1078" s="10">
        <f t="shared" si="33"/>
        <v>11454.599999999999</v>
      </c>
      <c r="L1078" s="2">
        <v>0</v>
      </c>
      <c r="M1078" s="2" t="s">
        <v>41</v>
      </c>
      <c r="N1078" s="2" t="s">
        <v>42</v>
      </c>
    </row>
    <row r="1079" spans="1:14" x14ac:dyDescent="0.2">
      <c r="A1079" s="13">
        <v>101749</v>
      </c>
      <c r="B1079" s="5">
        <v>45563</v>
      </c>
      <c r="C1079" s="5" t="str">
        <f t="shared" si="32"/>
        <v>Sep</v>
      </c>
      <c r="D1079" s="2" t="s">
        <v>446</v>
      </c>
      <c r="E1079" s="2" t="s">
        <v>140</v>
      </c>
      <c r="F1079" s="2" t="s">
        <v>79</v>
      </c>
      <c r="G1079" s="2" t="s">
        <v>15</v>
      </c>
      <c r="H1079" s="2" t="s">
        <v>205</v>
      </c>
      <c r="I1079" s="13">
        <v>6</v>
      </c>
      <c r="J1079" s="10">
        <v>11541.57</v>
      </c>
      <c r="K1079" s="10">
        <f t="shared" si="33"/>
        <v>69249.42</v>
      </c>
      <c r="L1079" s="2">
        <v>0.15</v>
      </c>
      <c r="M1079" s="2" t="s">
        <v>17</v>
      </c>
      <c r="N1079" s="2" t="s">
        <v>52</v>
      </c>
    </row>
    <row r="1080" spans="1:14" x14ac:dyDescent="0.2">
      <c r="A1080" s="13">
        <v>101815</v>
      </c>
      <c r="B1080" s="5">
        <v>45640</v>
      </c>
      <c r="C1080" s="5" t="str">
        <f t="shared" si="32"/>
        <v>Dec</v>
      </c>
      <c r="D1080" s="2" t="s">
        <v>840</v>
      </c>
      <c r="E1080" s="2" t="s">
        <v>27</v>
      </c>
      <c r="F1080" s="2" t="s">
        <v>133</v>
      </c>
      <c r="G1080" s="2" t="s">
        <v>45</v>
      </c>
      <c r="H1080" s="2" t="s">
        <v>97</v>
      </c>
      <c r="I1080" s="13">
        <v>7</v>
      </c>
      <c r="J1080" s="10">
        <v>42945.25</v>
      </c>
      <c r="K1080" s="10">
        <f t="shared" si="33"/>
        <v>300616.75</v>
      </c>
      <c r="L1080" s="2">
        <v>0.1</v>
      </c>
      <c r="M1080" s="2" t="s">
        <v>41</v>
      </c>
      <c r="N1080" s="2" t="s">
        <v>42</v>
      </c>
    </row>
    <row r="1081" spans="1:14" x14ac:dyDescent="0.2">
      <c r="A1081" s="13">
        <v>100305</v>
      </c>
      <c r="B1081" s="5">
        <v>45347</v>
      </c>
      <c r="C1081" s="5" t="str">
        <f t="shared" si="32"/>
        <v>Feb</v>
      </c>
      <c r="D1081" s="2" t="s">
        <v>506</v>
      </c>
      <c r="E1081" s="2" t="s">
        <v>27</v>
      </c>
      <c r="F1081" s="2" t="s">
        <v>21</v>
      </c>
      <c r="G1081" s="2" t="s">
        <v>45</v>
      </c>
      <c r="H1081" s="2" t="s">
        <v>153</v>
      </c>
      <c r="I1081" s="13">
        <v>5</v>
      </c>
      <c r="J1081" s="10">
        <v>19748.86</v>
      </c>
      <c r="K1081" s="10">
        <f t="shared" si="33"/>
        <v>98744.3</v>
      </c>
      <c r="L1081" s="2">
        <v>0</v>
      </c>
      <c r="M1081" s="2" t="s">
        <v>83</v>
      </c>
      <c r="N1081" s="2" t="s">
        <v>18</v>
      </c>
    </row>
    <row r="1082" spans="1:14" x14ac:dyDescent="0.2">
      <c r="A1082" s="13">
        <v>101532</v>
      </c>
      <c r="B1082" s="5">
        <v>45412</v>
      </c>
      <c r="C1082" s="5" t="str">
        <f t="shared" si="32"/>
        <v>Apr</v>
      </c>
      <c r="D1082" s="2" t="s">
        <v>709</v>
      </c>
      <c r="E1082" s="2" t="s">
        <v>37</v>
      </c>
      <c r="F1082" s="2" t="s">
        <v>69</v>
      </c>
      <c r="G1082" s="2" t="s">
        <v>50</v>
      </c>
      <c r="H1082" s="2" t="s">
        <v>51</v>
      </c>
      <c r="I1082" s="13">
        <v>1</v>
      </c>
      <c r="J1082" s="10">
        <v>9358.86</v>
      </c>
      <c r="K1082" s="10">
        <f t="shared" si="33"/>
        <v>9358.86</v>
      </c>
      <c r="L1082" s="2">
        <v>0</v>
      </c>
      <c r="M1082" s="2" t="s">
        <v>66</v>
      </c>
      <c r="N1082" s="2" t="s">
        <v>87</v>
      </c>
    </row>
    <row r="1083" spans="1:14" x14ac:dyDescent="0.2">
      <c r="A1083" s="13">
        <v>100336</v>
      </c>
      <c r="B1083" s="5">
        <v>45348</v>
      </c>
      <c r="C1083" s="5" t="str">
        <f t="shared" si="32"/>
        <v>Feb</v>
      </c>
      <c r="D1083" s="2" t="s">
        <v>550</v>
      </c>
      <c r="E1083" s="2" t="s">
        <v>61</v>
      </c>
      <c r="F1083" s="2" t="s">
        <v>119</v>
      </c>
      <c r="G1083" s="2" t="s">
        <v>106</v>
      </c>
      <c r="H1083" s="2" t="s">
        <v>156</v>
      </c>
      <c r="I1083" s="13">
        <v>8</v>
      </c>
      <c r="J1083" s="10">
        <v>2165.6799999999998</v>
      </c>
      <c r="K1083" s="10">
        <f t="shared" si="33"/>
        <v>17325.439999999999</v>
      </c>
      <c r="L1083" s="2">
        <v>0</v>
      </c>
      <c r="M1083" s="2" t="s">
        <v>83</v>
      </c>
      <c r="N1083" s="2" t="s">
        <v>121</v>
      </c>
    </row>
    <row r="1084" spans="1:14" x14ac:dyDescent="0.2">
      <c r="A1084" s="13">
        <v>100996</v>
      </c>
      <c r="B1084" s="5">
        <v>45409</v>
      </c>
      <c r="C1084" s="5" t="str">
        <f t="shared" si="32"/>
        <v>Apr</v>
      </c>
      <c r="D1084" s="2" t="s">
        <v>844</v>
      </c>
      <c r="E1084" s="2" t="s">
        <v>31</v>
      </c>
      <c r="F1084" s="2" t="s">
        <v>54</v>
      </c>
      <c r="G1084" s="2" t="s">
        <v>50</v>
      </c>
      <c r="H1084" s="2" t="s">
        <v>62</v>
      </c>
      <c r="I1084" s="13">
        <v>1</v>
      </c>
      <c r="J1084" s="10">
        <v>6084.6</v>
      </c>
      <c r="K1084" s="10">
        <f t="shared" si="33"/>
        <v>6084.6</v>
      </c>
      <c r="L1084" s="2">
        <v>0</v>
      </c>
      <c r="M1084" s="2" t="s">
        <v>17</v>
      </c>
      <c r="N1084" s="2" t="s">
        <v>121</v>
      </c>
    </row>
    <row r="1085" spans="1:14" x14ac:dyDescent="0.2">
      <c r="A1085" s="13">
        <v>100570</v>
      </c>
      <c r="B1085" s="5">
        <v>45434</v>
      </c>
      <c r="C1085" s="5" t="str">
        <f t="shared" si="32"/>
        <v>May</v>
      </c>
      <c r="D1085" s="2" t="s">
        <v>47</v>
      </c>
      <c r="E1085" s="2" t="s">
        <v>37</v>
      </c>
      <c r="F1085" s="2" t="s">
        <v>69</v>
      </c>
      <c r="G1085" s="2" t="s">
        <v>45</v>
      </c>
      <c r="H1085" s="2" t="s">
        <v>97</v>
      </c>
      <c r="I1085" s="13">
        <v>7</v>
      </c>
      <c r="J1085" s="10">
        <v>26944.75</v>
      </c>
      <c r="K1085" s="10">
        <f t="shared" si="33"/>
        <v>188613.25</v>
      </c>
      <c r="L1085" s="2">
        <v>0.1</v>
      </c>
      <c r="M1085" s="2" t="s">
        <v>41</v>
      </c>
      <c r="N1085" s="2" t="s">
        <v>87</v>
      </c>
    </row>
    <row r="1086" spans="1:14" x14ac:dyDescent="0.2">
      <c r="A1086" s="13">
        <v>100089</v>
      </c>
      <c r="B1086" s="5">
        <v>45399</v>
      </c>
      <c r="C1086" s="5" t="str">
        <f t="shared" si="32"/>
        <v>Apr</v>
      </c>
      <c r="D1086" s="2" t="s">
        <v>646</v>
      </c>
      <c r="E1086" s="2" t="s">
        <v>61</v>
      </c>
      <c r="F1086" s="2" t="s">
        <v>14</v>
      </c>
      <c r="G1086" s="2" t="s">
        <v>33</v>
      </c>
      <c r="H1086" s="2" t="s">
        <v>34</v>
      </c>
      <c r="I1086" s="13">
        <v>10</v>
      </c>
      <c r="J1086" s="10">
        <v>362.61</v>
      </c>
      <c r="K1086" s="10">
        <f t="shared" si="33"/>
        <v>3626.1000000000004</v>
      </c>
      <c r="L1086" s="2">
        <v>0.05</v>
      </c>
      <c r="M1086" s="2" t="s">
        <v>29</v>
      </c>
      <c r="N1086" s="2" t="s">
        <v>42</v>
      </c>
    </row>
    <row r="1087" spans="1:14" x14ac:dyDescent="0.2">
      <c r="A1087" s="13">
        <v>100875</v>
      </c>
      <c r="B1087" s="5">
        <v>45384</v>
      </c>
      <c r="C1087" s="5" t="str">
        <f t="shared" si="32"/>
        <v>Apr</v>
      </c>
      <c r="D1087" s="2" t="s">
        <v>1069</v>
      </c>
      <c r="E1087" s="2" t="s">
        <v>140</v>
      </c>
      <c r="F1087" s="2" t="s">
        <v>79</v>
      </c>
      <c r="G1087" s="2" t="s">
        <v>15</v>
      </c>
      <c r="H1087" s="2" t="s">
        <v>116</v>
      </c>
      <c r="I1087" s="13">
        <v>9</v>
      </c>
      <c r="J1087" s="10">
        <v>5737.81</v>
      </c>
      <c r="K1087" s="10">
        <f t="shared" si="33"/>
        <v>51640.29</v>
      </c>
      <c r="L1087" s="2">
        <v>0</v>
      </c>
      <c r="M1087" s="2" t="s">
        <v>83</v>
      </c>
      <c r="N1087" s="2" t="s">
        <v>35</v>
      </c>
    </row>
    <row r="1088" spans="1:14" x14ac:dyDescent="0.2">
      <c r="A1088" s="13">
        <v>101165</v>
      </c>
      <c r="B1088" s="5">
        <v>45625</v>
      </c>
      <c r="C1088" s="5" t="str">
        <f t="shared" si="32"/>
        <v>Nov</v>
      </c>
      <c r="D1088" s="2" t="s">
        <v>142</v>
      </c>
      <c r="E1088" s="2" t="s">
        <v>31</v>
      </c>
      <c r="F1088" s="2" t="s">
        <v>54</v>
      </c>
      <c r="G1088" s="2" t="s">
        <v>50</v>
      </c>
      <c r="H1088" s="2" t="s">
        <v>51</v>
      </c>
      <c r="I1088" s="13">
        <v>6</v>
      </c>
      <c r="J1088" s="10">
        <v>4487.1099999999997</v>
      </c>
      <c r="K1088" s="10">
        <f t="shared" si="33"/>
        <v>26922.659999999996</v>
      </c>
      <c r="L1088" s="2">
        <v>0</v>
      </c>
      <c r="M1088" s="2" t="s">
        <v>24</v>
      </c>
      <c r="N1088" s="2" t="s">
        <v>143</v>
      </c>
    </row>
    <row r="1089" spans="1:14" x14ac:dyDescent="0.2">
      <c r="A1089" s="13">
        <v>101540</v>
      </c>
      <c r="B1089" s="5">
        <v>45537</v>
      </c>
      <c r="C1089" s="5" t="str">
        <f t="shared" si="32"/>
        <v>Sep</v>
      </c>
      <c r="D1089" s="2" t="s">
        <v>620</v>
      </c>
      <c r="E1089" s="2" t="s">
        <v>140</v>
      </c>
      <c r="F1089" s="2" t="s">
        <v>79</v>
      </c>
      <c r="G1089" s="2" t="s">
        <v>64</v>
      </c>
      <c r="H1089" s="2" t="s">
        <v>165</v>
      </c>
      <c r="I1089" s="13">
        <v>9</v>
      </c>
      <c r="J1089" s="10">
        <v>234.75</v>
      </c>
      <c r="K1089" s="10">
        <f t="shared" si="33"/>
        <v>2112.75</v>
      </c>
      <c r="L1089" s="2">
        <v>0</v>
      </c>
      <c r="M1089" s="2" t="s">
        <v>66</v>
      </c>
      <c r="N1089" s="2" t="s">
        <v>18</v>
      </c>
    </row>
    <row r="1090" spans="1:14" x14ac:dyDescent="0.2">
      <c r="A1090" s="13">
        <v>100713</v>
      </c>
      <c r="B1090" s="5">
        <v>45547</v>
      </c>
      <c r="C1090" s="5" t="str">
        <f t="shared" ref="C1090:C1153" si="34">TEXT(B1090,"mmm")</f>
        <v>Sep</v>
      </c>
      <c r="D1090" s="2" t="s">
        <v>127</v>
      </c>
      <c r="E1090" s="2" t="s">
        <v>61</v>
      </c>
      <c r="F1090" s="2" t="s">
        <v>119</v>
      </c>
      <c r="G1090" s="2" t="s">
        <v>50</v>
      </c>
      <c r="H1090" s="2" t="s">
        <v>99</v>
      </c>
      <c r="I1090" s="13">
        <v>3</v>
      </c>
      <c r="J1090" s="10">
        <v>5515.39</v>
      </c>
      <c r="K1090" s="10">
        <f t="shared" ref="K1090:K1153" si="35">I1090*J1090</f>
        <v>16546.170000000002</v>
      </c>
      <c r="L1090" s="2">
        <v>0.25</v>
      </c>
      <c r="M1090" s="2" t="s">
        <v>66</v>
      </c>
      <c r="N1090" s="2" t="s">
        <v>18</v>
      </c>
    </row>
    <row r="1091" spans="1:14" x14ac:dyDescent="0.2">
      <c r="A1091" s="13">
        <v>101766</v>
      </c>
      <c r="B1091" s="5">
        <v>45429</v>
      </c>
      <c r="C1091" s="5" t="str">
        <f t="shared" si="34"/>
        <v>May</v>
      </c>
      <c r="D1091" s="2" t="s">
        <v>738</v>
      </c>
      <c r="E1091" s="2" t="s">
        <v>27</v>
      </c>
      <c r="F1091" s="2" t="s">
        <v>133</v>
      </c>
      <c r="G1091" s="2" t="s">
        <v>64</v>
      </c>
      <c r="H1091" s="2" t="s">
        <v>114</v>
      </c>
      <c r="I1091" s="13">
        <v>10</v>
      </c>
      <c r="J1091" s="10">
        <v>144.01</v>
      </c>
      <c r="K1091" s="10">
        <f t="shared" si="35"/>
        <v>1440.1</v>
      </c>
      <c r="L1091" s="2">
        <v>0.2</v>
      </c>
      <c r="M1091" s="2" t="s">
        <v>24</v>
      </c>
      <c r="N1091" s="2" t="s">
        <v>143</v>
      </c>
    </row>
    <row r="1092" spans="1:14" x14ac:dyDescent="0.2">
      <c r="A1092" s="13">
        <v>101869</v>
      </c>
      <c r="B1092" s="5">
        <v>45301</v>
      </c>
      <c r="C1092" s="5" t="str">
        <f t="shared" si="34"/>
        <v>Jan</v>
      </c>
      <c r="D1092" s="2" t="s">
        <v>317</v>
      </c>
      <c r="E1092" s="2" t="s">
        <v>31</v>
      </c>
      <c r="F1092" s="2" t="s">
        <v>54</v>
      </c>
      <c r="G1092" s="2" t="s">
        <v>50</v>
      </c>
      <c r="H1092" s="2" t="s">
        <v>62</v>
      </c>
      <c r="I1092" s="13">
        <v>5</v>
      </c>
      <c r="J1092" s="10">
        <v>9367.01</v>
      </c>
      <c r="K1092" s="10">
        <f t="shared" si="35"/>
        <v>46835.05</v>
      </c>
      <c r="L1092" s="2">
        <v>0.2</v>
      </c>
      <c r="M1092" s="2" t="s">
        <v>29</v>
      </c>
      <c r="N1092" s="2" t="s">
        <v>25</v>
      </c>
    </row>
    <row r="1093" spans="1:14" x14ac:dyDescent="0.2">
      <c r="A1093" s="13">
        <v>101396</v>
      </c>
      <c r="B1093" s="5">
        <v>45515</v>
      </c>
      <c r="C1093" s="5" t="str">
        <f t="shared" si="34"/>
        <v>Aug</v>
      </c>
      <c r="D1093" s="2" t="s">
        <v>405</v>
      </c>
      <c r="E1093" s="2" t="s">
        <v>27</v>
      </c>
      <c r="F1093" s="2" t="s">
        <v>133</v>
      </c>
      <c r="G1093" s="2" t="s">
        <v>106</v>
      </c>
      <c r="H1093" s="2" t="s">
        <v>137</v>
      </c>
      <c r="I1093" s="13">
        <v>1</v>
      </c>
      <c r="J1093" s="10">
        <v>797.54</v>
      </c>
      <c r="K1093" s="10">
        <f t="shared" si="35"/>
        <v>797.54</v>
      </c>
      <c r="L1093" s="2">
        <v>0</v>
      </c>
      <c r="M1093" s="2" t="s">
        <v>29</v>
      </c>
      <c r="N1093" s="2" t="s">
        <v>143</v>
      </c>
    </row>
    <row r="1094" spans="1:14" x14ac:dyDescent="0.2">
      <c r="A1094" s="13">
        <v>100222</v>
      </c>
      <c r="B1094" s="5">
        <v>45375</v>
      </c>
      <c r="C1094" s="5" t="str">
        <f t="shared" si="34"/>
        <v>Mar</v>
      </c>
      <c r="D1094" s="2" t="s">
        <v>492</v>
      </c>
      <c r="E1094" s="2" t="s">
        <v>31</v>
      </c>
      <c r="F1094" s="2" t="s">
        <v>32</v>
      </c>
      <c r="G1094" s="2" t="s">
        <v>22</v>
      </c>
      <c r="H1094" s="2" t="s">
        <v>75</v>
      </c>
      <c r="I1094" s="13">
        <v>10</v>
      </c>
      <c r="J1094" s="10">
        <v>2338.5</v>
      </c>
      <c r="K1094" s="10">
        <f t="shared" si="35"/>
        <v>23385</v>
      </c>
      <c r="L1094" s="2">
        <v>0.1</v>
      </c>
      <c r="M1094" s="2" t="s">
        <v>29</v>
      </c>
      <c r="N1094" s="2" t="s">
        <v>35</v>
      </c>
    </row>
    <row r="1095" spans="1:14" x14ac:dyDescent="0.2">
      <c r="A1095" s="13">
        <v>100320</v>
      </c>
      <c r="B1095" s="5">
        <v>45524</v>
      </c>
      <c r="C1095" s="5" t="str">
        <f t="shared" si="34"/>
        <v>Aug</v>
      </c>
      <c r="D1095" s="2" t="s">
        <v>378</v>
      </c>
      <c r="E1095" s="2" t="s">
        <v>31</v>
      </c>
      <c r="F1095" s="2" t="s">
        <v>54</v>
      </c>
      <c r="G1095" s="2" t="s">
        <v>50</v>
      </c>
      <c r="H1095" s="2" t="s">
        <v>99</v>
      </c>
      <c r="I1095" s="13">
        <v>6</v>
      </c>
      <c r="J1095" s="10">
        <v>6501.5</v>
      </c>
      <c r="K1095" s="10">
        <f t="shared" si="35"/>
        <v>39009</v>
      </c>
      <c r="L1095" s="2">
        <v>0.25</v>
      </c>
      <c r="M1095" s="2" t="s">
        <v>29</v>
      </c>
      <c r="N1095" s="2" t="s">
        <v>35</v>
      </c>
    </row>
    <row r="1096" spans="1:14" x14ac:dyDescent="0.2">
      <c r="A1096" s="13">
        <v>101775</v>
      </c>
      <c r="B1096" s="5">
        <v>45571</v>
      </c>
      <c r="C1096" s="5" t="str">
        <f t="shared" si="34"/>
        <v>Oct</v>
      </c>
      <c r="D1096" s="2" t="s">
        <v>1069</v>
      </c>
      <c r="E1096" s="2" t="s">
        <v>61</v>
      </c>
      <c r="F1096" s="2" t="s">
        <v>14</v>
      </c>
      <c r="G1096" s="2" t="s">
        <v>15</v>
      </c>
      <c r="H1096" s="2" t="s">
        <v>59</v>
      </c>
      <c r="I1096" s="13">
        <v>7</v>
      </c>
      <c r="J1096" s="10">
        <v>19028.14</v>
      </c>
      <c r="K1096" s="10">
        <f t="shared" si="35"/>
        <v>133196.97999999998</v>
      </c>
      <c r="L1096" s="2">
        <v>0.05</v>
      </c>
      <c r="M1096" s="2" t="s">
        <v>41</v>
      </c>
      <c r="N1096" s="2" t="s">
        <v>87</v>
      </c>
    </row>
    <row r="1097" spans="1:14" x14ac:dyDescent="0.2">
      <c r="A1097" s="13">
        <v>100879</v>
      </c>
      <c r="B1097" s="5">
        <v>45389</v>
      </c>
      <c r="C1097" s="5" t="str">
        <f t="shared" si="34"/>
        <v>Apr</v>
      </c>
      <c r="D1097" s="2" t="s">
        <v>743</v>
      </c>
      <c r="E1097" s="2" t="s">
        <v>31</v>
      </c>
      <c r="F1097" s="2" t="s">
        <v>54</v>
      </c>
      <c r="G1097" s="2" t="s">
        <v>50</v>
      </c>
      <c r="H1097" s="2" t="s">
        <v>56</v>
      </c>
      <c r="I1097" s="13">
        <v>1</v>
      </c>
      <c r="J1097" s="10">
        <v>7360.65</v>
      </c>
      <c r="K1097" s="10">
        <f t="shared" si="35"/>
        <v>7360.65</v>
      </c>
      <c r="L1097" s="2">
        <v>0.1</v>
      </c>
      <c r="M1097" s="2" t="s">
        <v>41</v>
      </c>
      <c r="N1097" s="2" t="s">
        <v>25</v>
      </c>
    </row>
    <row r="1098" spans="1:14" x14ac:dyDescent="0.2">
      <c r="A1098" s="13">
        <v>101821</v>
      </c>
      <c r="B1098" s="5">
        <v>45491</v>
      </c>
      <c r="C1098" s="5" t="str">
        <f t="shared" si="34"/>
        <v>Jul</v>
      </c>
      <c r="D1098" s="2" t="s">
        <v>359</v>
      </c>
      <c r="E1098" s="2" t="s">
        <v>140</v>
      </c>
      <c r="F1098" s="2" t="s">
        <v>49</v>
      </c>
      <c r="G1098" s="2" t="s">
        <v>50</v>
      </c>
      <c r="H1098" s="2" t="s">
        <v>62</v>
      </c>
      <c r="I1098" s="13">
        <v>7</v>
      </c>
      <c r="J1098" s="10">
        <v>9432.91</v>
      </c>
      <c r="K1098" s="10">
        <f t="shared" si="35"/>
        <v>66030.37</v>
      </c>
      <c r="L1098" s="2">
        <v>0.15</v>
      </c>
      <c r="M1098" s="2" t="s">
        <v>24</v>
      </c>
      <c r="N1098" s="2" t="s">
        <v>121</v>
      </c>
    </row>
    <row r="1099" spans="1:14" x14ac:dyDescent="0.2">
      <c r="A1099" s="13">
        <v>100826</v>
      </c>
      <c r="B1099" s="5">
        <v>45336</v>
      </c>
      <c r="C1099" s="5" t="str">
        <f t="shared" si="34"/>
        <v>Feb</v>
      </c>
      <c r="D1099" s="2" t="s">
        <v>615</v>
      </c>
      <c r="E1099" s="2" t="s">
        <v>37</v>
      </c>
      <c r="F1099" s="2" t="s">
        <v>69</v>
      </c>
      <c r="G1099" s="2" t="s">
        <v>64</v>
      </c>
      <c r="H1099" s="2" t="s">
        <v>40</v>
      </c>
      <c r="I1099" s="13">
        <v>12</v>
      </c>
      <c r="J1099" s="10">
        <v>692.26</v>
      </c>
      <c r="K1099" s="10">
        <f t="shared" si="35"/>
        <v>8307.119999999999</v>
      </c>
      <c r="L1099" s="2">
        <v>0.1</v>
      </c>
      <c r="M1099" s="2" t="s">
        <v>24</v>
      </c>
      <c r="N1099" s="2" t="s">
        <v>35</v>
      </c>
    </row>
    <row r="1100" spans="1:14" x14ac:dyDescent="0.2">
      <c r="A1100" s="13">
        <v>100614</v>
      </c>
      <c r="B1100" s="5">
        <v>45436</v>
      </c>
      <c r="C1100" s="5" t="str">
        <f t="shared" si="34"/>
        <v>May</v>
      </c>
      <c r="D1100" s="2" t="s">
        <v>1069</v>
      </c>
      <c r="E1100" s="2" t="s">
        <v>37</v>
      </c>
      <c r="F1100" s="2" t="s">
        <v>38</v>
      </c>
      <c r="G1100" s="2" t="s">
        <v>33</v>
      </c>
      <c r="H1100" s="2" t="s">
        <v>93</v>
      </c>
      <c r="I1100" s="13">
        <v>7</v>
      </c>
      <c r="J1100" s="10">
        <v>208.37</v>
      </c>
      <c r="K1100" s="10">
        <f t="shared" si="35"/>
        <v>1458.5900000000001</v>
      </c>
      <c r="L1100" s="2">
        <v>0.25</v>
      </c>
      <c r="M1100" s="2" t="s">
        <v>83</v>
      </c>
      <c r="N1100" s="2" t="s">
        <v>52</v>
      </c>
    </row>
    <row r="1101" spans="1:14" x14ac:dyDescent="0.2">
      <c r="A1101" s="13">
        <v>101482</v>
      </c>
      <c r="B1101" s="5">
        <v>45518</v>
      </c>
      <c r="C1101" s="5" t="str">
        <f t="shared" si="34"/>
        <v>Aug</v>
      </c>
      <c r="D1101" s="2" t="s">
        <v>233</v>
      </c>
      <c r="E1101" s="2" t="s">
        <v>27</v>
      </c>
      <c r="F1101" s="2" t="s">
        <v>21</v>
      </c>
      <c r="G1101" s="2" t="s">
        <v>15</v>
      </c>
      <c r="H1101" s="2" t="s">
        <v>116</v>
      </c>
      <c r="I1101" s="13">
        <v>3</v>
      </c>
      <c r="J1101" s="10">
        <v>20396.82</v>
      </c>
      <c r="K1101" s="10">
        <f t="shared" si="35"/>
        <v>61190.46</v>
      </c>
      <c r="L1101" s="2">
        <v>0.25</v>
      </c>
      <c r="M1101" s="2" t="s">
        <v>41</v>
      </c>
      <c r="N1101" s="2" t="s">
        <v>18</v>
      </c>
    </row>
    <row r="1102" spans="1:14" x14ac:dyDescent="0.2">
      <c r="A1102" s="13">
        <v>100139</v>
      </c>
      <c r="B1102" s="5">
        <v>45590</v>
      </c>
      <c r="C1102" s="5" t="str">
        <f t="shared" si="34"/>
        <v>Oct</v>
      </c>
      <c r="D1102" s="2" t="s">
        <v>695</v>
      </c>
      <c r="E1102" s="2" t="s">
        <v>37</v>
      </c>
      <c r="F1102" s="2" t="s">
        <v>69</v>
      </c>
      <c r="G1102" s="2" t="s">
        <v>45</v>
      </c>
      <c r="H1102" s="2" t="s">
        <v>46</v>
      </c>
      <c r="I1102" s="13">
        <v>7</v>
      </c>
      <c r="J1102" s="10">
        <v>0</v>
      </c>
      <c r="K1102" s="10">
        <f t="shared" si="35"/>
        <v>0</v>
      </c>
      <c r="L1102" s="2">
        <v>0.1</v>
      </c>
      <c r="M1102" s="2" t="s">
        <v>83</v>
      </c>
      <c r="N1102" s="2" t="s">
        <v>42</v>
      </c>
    </row>
    <row r="1103" spans="1:14" x14ac:dyDescent="0.2">
      <c r="A1103" s="13">
        <v>100164</v>
      </c>
      <c r="B1103" s="5">
        <v>45483</v>
      </c>
      <c r="C1103" s="5" t="str">
        <f t="shared" si="34"/>
        <v>Jul</v>
      </c>
      <c r="D1103" s="2" t="s">
        <v>286</v>
      </c>
      <c r="E1103" s="2" t="s">
        <v>37</v>
      </c>
      <c r="F1103" s="2" t="s">
        <v>69</v>
      </c>
      <c r="G1103" s="2" t="s">
        <v>22</v>
      </c>
      <c r="H1103" s="2" t="s">
        <v>145</v>
      </c>
      <c r="I1103" s="13">
        <v>9</v>
      </c>
      <c r="J1103" s="10">
        <v>2955.36</v>
      </c>
      <c r="K1103" s="10">
        <f t="shared" si="35"/>
        <v>26598.240000000002</v>
      </c>
      <c r="L1103" s="2">
        <v>0.15</v>
      </c>
      <c r="M1103" s="2" t="s">
        <v>83</v>
      </c>
      <c r="N1103" s="2" t="s">
        <v>18</v>
      </c>
    </row>
    <row r="1104" spans="1:14" x14ac:dyDescent="0.2">
      <c r="A1104" s="13">
        <v>101801</v>
      </c>
      <c r="B1104" s="5">
        <v>45461</v>
      </c>
      <c r="C1104" s="5" t="str">
        <f t="shared" si="34"/>
        <v>Jun</v>
      </c>
      <c r="D1104" s="2" t="s">
        <v>416</v>
      </c>
      <c r="E1104" s="2" t="s">
        <v>140</v>
      </c>
      <c r="F1104" s="2" t="s">
        <v>49</v>
      </c>
      <c r="G1104" s="2" t="s">
        <v>33</v>
      </c>
      <c r="H1104" s="2" t="s">
        <v>34</v>
      </c>
      <c r="I1104" s="13">
        <v>7</v>
      </c>
      <c r="J1104" s="10">
        <v>451.67</v>
      </c>
      <c r="K1104" s="10">
        <f t="shared" si="35"/>
        <v>3161.69</v>
      </c>
      <c r="L1104" s="2">
        <v>0</v>
      </c>
      <c r="M1104" s="2" t="s">
        <v>66</v>
      </c>
      <c r="N1104" s="2" t="s">
        <v>87</v>
      </c>
    </row>
    <row r="1105" spans="1:14" x14ac:dyDescent="0.2">
      <c r="A1105" s="13">
        <v>101465</v>
      </c>
      <c r="B1105" s="5">
        <v>45648</v>
      </c>
      <c r="C1105" s="5" t="str">
        <f t="shared" si="34"/>
        <v>Dec</v>
      </c>
      <c r="D1105" s="2" t="s">
        <v>391</v>
      </c>
      <c r="E1105" s="2" t="s">
        <v>37</v>
      </c>
      <c r="F1105" s="2" t="s">
        <v>38</v>
      </c>
      <c r="G1105" s="2" t="s">
        <v>50</v>
      </c>
      <c r="H1105" s="2" t="s">
        <v>56</v>
      </c>
      <c r="I1105" s="13">
        <v>12</v>
      </c>
      <c r="J1105" s="10">
        <v>2812.56</v>
      </c>
      <c r="K1105" s="10">
        <f t="shared" si="35"/>
        <v>33750.720000000001</v>
      </c>
      <c r="L1105" s="2">
        <v>0.1</v>
      </c>
      <c r="M1105" s="2" t="s">
        <v>41</v>
      </c>
      <c r="N1105" s="2" t="s">
        <v>52</v>
      </c>
    </row>
    <row r="1106" spans="1:14" x14ac:dyDescent="0.2">
      <c r="A1106" s="13">
        <v>100961</v>
      </c>
      <c r="B1106" s="5">
        <v>45568</v>
      </c>
      <c r="C1106" s="5" t="str">
        <f t="shared" si="34"/>
        <v>Oct</v>
      </c>
      <c r="D1106" s="2" t="s">
        <v>596</v>
      </c>
      <c r="E1106" s="2" t="s">
        <v>140</v>
      </c>
      <c r="F1106" s="2" t="s">
        <v>79</v>
      </c>
      <c r="G1106" s="2" t="s">
        <v>50</v>
      </c>
      <c r="H1106" s="2" t="s">
        <v>62</v>
      </c>
      <c r="I1106" s="13">
        <v>6</v>
      </c>
      <c r="J1106" s="10">
        <v>6094.91</v>
      </c>
      <c r="K1106" s="10">
        <f t="shared" si="35"/>
        <v>36569.46</v>
      </c>
      <c r="L1106" s="2">
        <v>0.2</v>
      </c>
      <c r="M1106" s="2" t="s">
        <v>41</v>
      </c>
      <c r="N1106" s="2" t="s">
        <v>35</v>
      </c>
    </row>
    <row r="1107" spans="1:14" x14ac:dyDescent="0.2">
      <c r="A1107" s="13">
        <v>101455</v>
      </c>
      <c r="B1107" s="5">
        <v>45343</v>
      </c>
      <c r="C1107" s="5" t="str">
        <f t="shared" si="34"/>
        <v>Feb</v>
      </c>
      <c r="D1107" s="2" t="s">
        <v>670</v>
      </c>
      <c r="E1107" s="2" t="s">
        <v>31</v>
      </c>
      <c r="F1107" s="2" t="s">
        <v>54</v>
      </c>
      <c r="G1107" s="2" t="s">
        <v>64</v>
      </c>
      <c r="H1107" s="2" t="s">
        <v>242</v>
      </c>
      <c r="I1107" s="13">
        <v>8</v>
      </c>
      <c r="J1107" s="10">
        <v>860.93</v>
      </c>
      <c r="K1107" s="10">
        <f t="shared" si="35"/>
        <v>6887.44</v>
      </c>
      <c r="L1107" s="2">
        <v>0</v>
      </c>
      <c r="M1107" s="2" t="s">
        <v>17</v>
      </c>
      <c r="N1107" s="2" t="s">
        <v>143</v>
      </c>
    </row>
    <row r="1108" spans="1:14" x14ac:dyDescent="0.2">
      <c r="A1108" s="13">
        <v>101925</v>
      </c>
      <c r="B1108" s="5">
        <v>45408</v>
      </c>
      <c r="C1108" s="5" t="str">
        <f t="shared" si="34"/>
        <v>Apr</v>
      </c>
      <c r="D1108" s="2" t="s">
        <v>72</v>
      </c>
      <c r="E1108" s="2" t="s">
        <v>140</v>
      </c>
      <c r="F1108" s="2" t="s">
        <v>79</v>
      </c>
      <c r="G1108" s="2" t="s">
        <v>33</v>
      </c>
      <c r="H1108" s="2" t="s">
        <v>93</v>
      </c>
      <c r="I1108" s="13">
        <v>12</v>
      </c>
      <c r="J1108" s="10">
        <v>358.66</v>
      </c>
      <c r="K1108" s="10">
        <f t="shared" si="35"/>
        <v>4303.92</v>
      </c>
      <c r="L1108" s="2">
        <v>0.05</v>
      </c>
      <c r="M1108" s="2" t="s">
        <v>24</v>
      </c>
      <c r="N1108" s="2" t="s">
        <v>42</v>
      </c>
    </row>
    <row r="1109" spans="1:14" x14ac:dyDescent="0.2">
      <c r="A1109" s="13">
        <v>101193</v>
      </c>
      <c r="B1109" s="5">
        <v>45371</v>
      </c>
      <c r="C1109" s="5" t="str">
        <f t="shared" si="34"/>
        <v>Mar</v>
      </c>
      <c r="D1109" s="2" t="s">
        <v>698</v>
      </c>
      <c r="E1109" s="2" t="s">
        <v>61</v>
      </c>
      <c r="F1109" s="2" t="s">
        <v>14</v>
      </c>
      <c r="G1109" s="2" t="s">
        <v>15</v>
      </c>
      <c r="H1109" s="2" t="s">
        <v>116</v>
      </c>
      <c r="I1109" s="13">
        <v>12</v>
      </c>
      <c r="J1109" s="10">
        <v>17167.54</v>
      </c>
      <c r="K1109" s="10">
        <f t="shared" si="35"/>
        <v>206010.48</v>
      </c>
      <c r="L1109" s="2">
        <v>0</v>
      </c>
      <c r="M1109" s="2" t="s">
        <v>17</v>
      </c>
      <c r="N1109" s="2" t="s">
        <v>143</v>
      </c>
    </row>
    <row r="1110" spans="1:14" x14ac:dyDescent="0.2">
      <c r="A1110" s="13">
        <v>101950</v>
      </c>
      <c r="B1110" s="5">
        <v>45321</v>
      </c>
      <c r="C1110" s="5" t="str">
        <f t="shared" si="34"/>
        <v>Jan</v>
      </c>
      <c r="D1110" s="2" t="s">
        <v>586</v>
      </c>
      <c r="E1110" s="2" t="s">
        <v>140</v>
      </c>
      <c r="F1110" s="2" t="s">
        <v>79</v>
      </c>
      <c r="G1110" s="2" t="s">
        <v>50</v>
      </c>
      <c r="H1110" s="2" t="s">
        <v>99</v>
      </c>
      <c r="I1110" s="13">
        <v>8</v>
      </c>
      <c r="J1110" s="10">
        <v>1689.83</v>
      </c>
      <c r="K1110" s="10">
        <f t="shared" si="35"/>
        <v>13518.64</v>
      </c>
      <c r="L1110" s="2">
        <v>0.2</v>
      </c>
      <c r="M1110" s="2" t="s">
        <v>17</v>
      </c>
      <c r="N1110" s="2" t="s">
        <v>87</v>
      </c>
    </row>
    <row r="1111" spans="1:14" x14ac:dyDescent="0.2">
      <c r="A1111" s="13">
        <v>101314</v>
      </c>
      <c r="B1111" s="5">
        <v>45557</v>
      </c>
      <c r="C1111" s="5" t="str">
        <f t="shared" si="34"/>
        <v>Sep</v>
      </c>
      <c r="D1111" s="2" t="s">
        <v>850</v>
      </c>
      <c r="E1111" s="2" t="s">
        <v>27</v>
      </c>
      <c r="F1111" s="2" t="s">
        <v>21</v>
      </c>
      <c r="G1111" s="2" t="s">
        <v>50</v>
      </c>
      <c r="H1111" s="2" t="s">
        <v>51</v>
      </c>
      <c r="I1111" s="13">
        <v>8</v>
      </c>
      <c r="J1111" s="10">
        <v>0</v>
      </c>
      <c r="K1111" s="10">
        <f t="shared" si="35"/>
        <v>0</v>
      </c>
      <c r="L1111" s="2">
        <v>0.25</v>
      </c>
      <c r="M1111" s="2" t="s">
        <v>29</v>
      </c>
      <c r="N1111" s="2" t="s">
        <v>25</v>
      </c>
    </row>
    <row r="1112" spans="1:14" x14ac:dyDescent="0.2">
      <c r="A1112" s="13">
        <v>101824</v>
      </c>
      <c r="B1112" s="5">
        <v>45528</v>
      </c>
      <c r="C1112" s="5" t="str">
        <f t="shared" si="34"/>
        <v>Aug</v>
      </c>
      <c r="D1112" s="2" t="s">
        <v>851</v>
      </c>
      <c r="E1112" s="2" t="s">
        <v>31</v>
      </c>
      <c r="F1112" s="2" t="s">
        <v>32</v>
      </c>
      <c r="G1112" s="2" t="s">
        <v>22</v>
      </c>
      <c r="H1112" s="2" t="s">
        <v>232</v>
      </c>
      <c r="I1112" s="13">
        <v>8</v>
      </c>
      <c r="J1112" s="10">
        <v>3191.18</v>
      </c>
      <c r="K1112" s="10">
        <f t="shared" si="35"/>
        <v>25529.439999999999</v>
      </c>
      <c r="L1112" s="2">
        <v>0</v>
      </c>
      <c r="M1112" s="2" t="s">
        <v>29</v>
      </c>
      <c r="N1112" s="2" t="s">
        <v>18</v>
      </c>
    </row>
    <row r="1113" spans="1:14" x14ac:dyDescent="0.2">
      <c r="A1113" s="13">
        <v>100634</v>
      </c>
      <c r="B1113" s="5">
        <v>45399</v>
      </c>
      <c r="C1113" s="5" t="str">
        <f t="shared" si="34"/>
        <v>Apr</v>
      </c>
      <c r="D1113" s="2" t="s">
        <v>513</v>
      </c>
      <c r="E1113" s="2" t="s">
        <v>140</v>
      </c>
      <c r="F1113" s="2" t="s">
        <v>49</v>
      </c>
      <c r="G1113" s="2" t="s">
        <v>106</v>
      </c>
      <c r="H1113" s="2" t="s">
        <v>137</v>
      </c>
      <c r="I1113" s="13">
        <v>6</v>
      </c>
      <c r="J1113" s="10">
        <v>2974.34</v>
      </c>
      <c r="K1113" s="10">
        <f t="shared" si="35"/>
        <v>17846.04</v>
      </c>
      <c r="L1113" s="2">
        <v>0</v>
      </c>
      <c r="M1113" s="2" t="s">
        <v>29</v>
      </c>
      <c r="N1113" s="2" t="s">
        <v>143</v>
      </c>
    </row>
    <row r="1114" spans="1:14" x14ac:dyDescent="0.2">
      <c r="A1114" s="13">
        <v>101202</v>
      </c>
      <c r="B1114" s="5">
        <v>45548</v>
      </c>
      <c r="C1114" s="5" t="str">
        <f t="shared" si="34"/>
        <v>Sep</v>
      </c>
      <c r="D1114" s="2" t="s">
        <v>853</v>
      </c>
      <c r="E1114" s="2" t="s">
        <v>31</v>
      </c>
      <c r="F1114" s="2" t="s">
        <v>32</v>
      </c>
      <c r="G1114" s="2" t="s">
        <v>50</v>
      </c>
      <c r="H1114" s="2" t="s">
        <v>207</v>
      </c>
      <c r="I1114" s="13">
        <v>8</v>
      </c>
      <c r="J1114" s="10">
        <v>10630.22</v>
      </c>
      <c r="K1114" s="10">
        <f t="shared" si="35"/>
        <v>85041.76</v>
      </c>
      <c r="L1114" s="2">
        <v>0.2</v>
      </c>
      <c r="M1114" s="2" t="s">
        <v>66</v>
      </c>
      <c r="N1114" s="2" t="s">
        <v>121</v>
      </c>
    </row>
    <row r="1115" spans="1:14" x14ac:dyDescent="0.2">
      <c r="A1115" s="13">
        <v>100656</v>
      </c>
      <c r="B1115" s="5">
        <v>45467</v>
      </c>
      <c r="C1115" s="5" t="str">
        <f t="shared" si="34"/>
        <v>Jun</v>
      </c>
      <c r="D1115" s="2" t="s">
        <v>148</v>
      </c>
      <c r="E1115" s="2" t="s">
        <v>61</v>
      </c>
      <c r="F1115" s="2" t="s">
        <v>119</v>
      </c>
      <c r="G1115" s="2" t="s">
        <v>64</v>
      </c>
      <c r="H1115" s="2" t="s">
        <v>40</v>
      </c>
      <c r="I1115" s="13">
        <v>7</v>
      </c>
      <c r="J1115" s="10">
        <v>806.97</v>
      </c>
      <c r="K1115" s="10">
        <f t="shared" si="35"/>
        <v>5648.79</v>
      </c>
      <c r="L1115" s="2">
        <v>0</v>
      </c>
      <c r="M1115" s="2" t="s">
        <v>17</v>
      </c>
      <c r="N1115" s="2" t="s">
        <v>52</v>
      </c>
    </row>
    <row r="1116" spans="1:14" x14ac:dyDescent="0.2">
      <c r="A1116" s="13">
        <v>100017</v>
      </c>
      <c r="B1116" s="5">
        <v>45310</v>
      </c>
      <c r="C1116" s="5" t="str">
        <f t="shared" si="34"/>
        <v>Jan</v>
      </c>
      <c r="D1116" s="2" t="s">
        <v>286</v>
      </c>
      <c r="E1116" s="2" t="s">
        <v>140</v>
      </c>
      <c r="F1116" s="2" t="s">
        <v>79</v>
      </c>
      <c r="G1116" s="2" t="s">
        <v>50</v>
      </c>
      <c r="H1116" s="2" t="s">
        <v>51</v>
      </c>
      <c r="I1116" s="13">
        <v>6</v>
      </c>
      <c r="J1116" s="10">
        <v>0</v>
      </c>
      <c r="K1116" s="10">
        <f t="shared" si="35"/>
        <v>0</v>
      </c>
      <c r="L1116" s="2">
        <v>0</v>
      </c>
      <c r="M1116" s="2" t="s">
        <v>24</v>
      </c>
      <c r="N1116" s="2" t="s">
        <v>121</v>
      </c>
    </row>
    <row r="1117" spans="1:14" x14ac:dyDescent="0.2">
      <c r="A1117" s="13">
        <v>101649</v>
      </c>
      <c r="B1117" s="5">
        <v>45574</v>
      </c>
      <c r="C1117" s="5" t="str">
        <f t="shared" si="34"/>
        <v>Oct</v>
      </c>
      <c r="D1117" s="2" t="s">
        <v>766</v>
      </c>
      <c r="E1117" s="2" t="s">
        <v>61</v>
      </c>
      <c r="F1117" s="2" t="s">
        <v>14</v>
      </c>
      <c r="G1117" s="2" t="s">
        <v>106</v>
      </c>
      <c r="H1117" s="2" t="s">
        <v>137</v>
      </c>
      <c r="I1117" s="13">
        <v>4</v>
      </c>
      <c r="J1117" s="10">
        <v>3519.05</v>
      </c>
      <c r="K1117" s="10">
        <f t="shared" si="35"/>
        <v>14076.2</v>
      </c>
      <c r="L1117" s="2">
        <v>0.25</v>
      </c>
      <c r="M1117" s="2" t="s">
        <v>17</v>
      </c>
      <c r="N1117" s="2" t="s">
        <v>52</v>
      </c>
    </row>
    <row r="1118" spans="1:14" x14ac:dyDescent="0.2">
      <c r="A1118" s="13">
        <v>101179</v>
      </c>
      <c r="B1118" s="5">
        <v>45487</v>
      </c>
      <c r="C1118" s="5" t="str">
        <f t="shared" si="34"/>
        <v>Jul</v>
      </c>
      <c r="D1118" s="2" t="s">
        <v>405</v>
      </c>
      <c r="E1118" s="2" t="s">
        <v>31</v>
      </c>
      <c r="F1118" s="2" t="s">
        <v>54</v>
      </c>
      <c r="G1118" s="2" t="s">
        <v>64</v>
      </c>
      <c r="H1118" s="2" t="s">
        <v>242</v>
      </c>
      <c r="I1118" s="13">
        <v>12</v>
      </c>
      <c r="J1118" s="10">
        <v>157.79</v>
      </c>
      <c r="K1118" s="10">
        <f t="shared" si="35"/>
        <v>1893.48</v>
      </c>
      <c r="L1118" s="2">
        <v>0.05</v>
      </c>
      <c r="M1118" s="2" t="s">
        <v>17</v>
      </c>
      <c r="N1118" s="2" t="s">
        <v>143</v>
      </c>
    </row>
    <row r="1119" spans="1:14" x14ac:dyDescent="0.2">
      <c r="A1119" s="13">
        <v>100138</v>
      </c>
      <c r="B1119" s="5">
        <v>45390</v>
      </c>
      <c r="C1119" s="5" t="str">
        <f t="shared" si="34"/>
        <v>Apr</v>
      </c>
      <c r="D1119" s="2" t="s">
        <v>808</v>
      </c>
      <c r="E1119" s="2" t="s">
        <v>140</v>
      </c>
      <c r="F1119" s="2" t="s">
        <v>79</v>
      </c>
      <c r="G1119" s="2" t="s">
        <v>15</v>
      </c>
      <c r="H1119" s="2" t="s">
        <v>16</v>
      </c>
      <c r="I1119" s="13">
        <v>1</v>
      </c>
      <c r="J1119" s="10">
        <v>0</v>
      </c>
      <c r="K1119" s="10">
        <f t="shared" si="35"/>
        <v>0</v>
      </c>
      <c r="L1119" s="2">
        <v>0</v>
      </c>
      <c r="M1119" s="2" t="s">
        <v>29</v>
      </c>
      <c r="N1119" s="2" t="s">
        <v>18</v>
      </c>
    </row>
    <row r="1120" spans="1:14" x14ac:dyDescent="0.2">
      <c r="A1120" s="13">
        <v>101239</v>
      </c>
      <c r="B1120" s="5">
        <v>45549</v>
      </c>
      <c r="C1120" s="5" t="str">
        <f t="shared" si="34"/>
        <v>Sep</v>
      </c>
      <c r="D1120" s="2" t="s">
        <v>854</v>
      </c>
      <c r="E1120" s="2" t="s">
        <v>27</v>
      </c>
      <c r="F1120" s="2" t="s">
        <v>21</v>
      </c>
      <c r="G1120" s="2" t="s">
        <v>106</v>
      </c>
      <c r="H1120" s="2" t="s">
        <v>103</v>
      </c>
      <c r="I1120" s="13">
        <v>7</v>
      </c>
      <c r="J1120" s="10">
        <v>926.21</v>
      </c>
      <c r="K1120" s="10">
        <f t="shared" si="35"/>
        <v>6483.47</v>
      </c>
      <c r="L1120" s="2">
        <v>0.05</v>
      </c>
      <c r="M1120" s="2" t="s">
        <v>66</v>
      </c>
      <c r="N1120" s="2" t="s">
        <v>35</v>
      </c>
    </row>
    <row r="1121" spans="1:14" x14ac:dyDescent="0.2">
      <c r="A1121" s="13">
        <v>100698</v>
      </c>
      <c r="B1121" s="5">
        <v>45367</v>
      </c>
      <c r="C1121" s="5" t="str">
        <f t="shared" si="34"/>
        <v>Mar</v>
      </c>
      <c r="D1121" s="2" t="s">
        <v>1069</v>
      </c>
      <c r="E1121" s="2" t="s">
        <v>61</v>
      </c>
      <c r="F1121" s="2" t="s">
        <v>14</v>
      </c>
      <c r="G1121" s="2" t="s">
        <v>106</v>
      </c>
      <c r="H1121" s="2" t="s">
        <v>156</v>
      </c>
      <c r="I1121" s="13">
        <v>4</v>
      </c>
      <c r="J1121" s="10">
        <v>2512.61</v>
      </c>
      <c r="K1121" s="10">
        <f t="shared" si="35"/>
        <v>10050.44</v>
      </c>
      <c r="L1121" s="2">
        <v>0.1</v>
      </c>
      <c r="M1121" s="2" t="s">
        <v>41</v>
      </c>
      <c r="N1121" s="2" t="s">
        <v>42</v>
      </c>
    </row>
    <row r="1122" spans="1:14" x14ac:dyDescent="0.2">
      <c r="A1122" s="13">
        <v>101098</v>
      </c>
      <c r="B1122" s="5">
        <v>45495</v>
      </c>
      <c r="C1122" s="5" t="str">
        <f t="shared" si="34"/>
        <v>Jul</v>
      </c>
      <c r="D1122" s="2" t="s">
        <v>855</v>
      </c>
      <c r="E1122" s="2" t="s">
        <v>140</v>
      </c>
      <c r="F1122" s="2" t="s">
        <v>49</v>
      </c>
      <c r="G1122" s="2" t="s">
        <v>106</v>
      </c>
      <c r="H1122" s="2" t="s">
        <v>156</v>
      </c>
      <c r="I1122" s="13">
        <v>2</v>
      </c>
      <c r="J1122" s="10">
        <v>1505.91</v>
      </c>
      <c r="K1122" s="10">
        <f t="shared" si="35"/>
        <v>3011.82</v>
      </c>
      <c r="L1122" s="2">
        <v>0</v>
      </c>
      <c r="M1122" s="2" t="s">
        <v>29</v>
      </c>
      <c r="N1122" s="2" t="s">
        <v>121</v>
      </c>
    </row>
    <row r="1123" spans="1:14" x14ac:dyDescent="0.2">
      <c r="A1123" s="13">
        <v>101634</v>
      </c>
      <c r="B1123" s="5">
        <v>45556</v>
      </c>
      <c r="C1123" s="5" t="str">
        <f t="shared" si="34"/>
        <v>Sep</v>
      </c>
      <c r="D1123" s="2" t="s">
        <v>450</v>
      </c>
      <c r="E1123" s="2" t="s">
        <v>31</v>
      </c>
      <c r="F1123" s="2" t="s">
        <v>32</v>
      </c>
      <c r="G1123" s="2" t="s">
        <v>50</v>
      </c>
      <c r="H1123" s="2" t="s">
        <v>207</v>
      </c>
      <c r="I1123" s="13">
        <v>3</v>
      </c>
      <c r="J1123" s="10">
        <v>3695.08</v>
      </c>
      <c r="K1123" s="10">
        <f t="shared" si="35"/>
        <v>11085.24</v>
      </c>
      <c r="L1123" s="2">
        <v>0.2</v>
      </c>
      <c r="M1123" s="2" t="s">
        <v>29</v>
      </c>
      <c r="N1123" s="2" t="s">
        <v>121</v>
      </c>
    </row>
    <row r="1124" spans="1:14" x14ac:dyDescent="0.2">
      <c r="A1124" s="13">
        <v>100449</v>
      </c>
      <c r="B1124" s="5">
        <v>45397</v>
      </c>
      <c r="C1124" s="5" t="str">
        <f t="shared" si="34"/>
        <v>Apr</v>
      </c>
      <c r="D1124" s="2" t="s">
        <v>857</v>
      </c>
      <c r="E1124" s="2" t="s">
        <v>27</v>
      </c>
      <c r="F1124" s="2" t="s">
        <v>133</v>
      </c>
      <c r="G1124" s="2" t="s">
        <v>22</v>
      </c>
      <c r="H1124" s="2" t="s">
        <v>141</v>
      </c>
      <c r="I1124" s="13">
        <v>12</v>
      </c>
      <c r="J1124" s="10">
        <v>3240.33</v>
      </c>
      <c r="K1124" s="10">
        <f t="shared" si="35"/>
        <v>38883.96</v>
      </c>
      <c r="L1124" s="2">
        <v>0</v>
      </c>
      <c r="M1124" s="2" t="s">
        <v>24</v>
      </c>
      <c r="N1124" s="2" t="s">
        <v>87</v>
      </c>
    </row>
    <row r="1125" spans="1:14" x14ac:dyDescent="0.2">
      <c r="A1125" s="13">
        <v>101915</v>
      </c>
      <c r="B1125" s="5">
        <v>45496</v>
      </c>
      <c r="C1125" s="5" t="str">
        <f t="shared" si="34"/>
        <v>Jul</v>
      </c>
      <c r="D1125" s="2" t="s">
        <v>1069</v>
      </c>
      <c r="E1125" s="2" t="s">
        <v>31</v>
      </c>
      <c r="F1125" s="2" t="s">
        <v>32</v>
      </c>
      <c r="G1125" s="2" t="s">
        <v>22</v>
      </c>
      <c r="H1125" s="2" t="s">
        <v>141</v>
      </c>
      <c r="I1125" s="13">
        <v>12</v>
      </c>
      <c r="J1125" s="10">
        <v>0</v>
      </c>
      <c r="K1125" s="10">
        <f t="shared" si="35"/>
        <v>0</v>
      </c>
      <c r="L1125" s="2">
        <v>0</v>
      </c>
      <c r="M1125" s="2" t="s">
        <v>17</v>
      </c>
      <c r="N1125" s="2" t="s">
        <v>42</v>
      </c>
    </row>
    <row r="1126" spans="1:14" x14ac:dyDescent="0.2">
      <c r="A1126" s="13">
        <v>100328</v>
      </c>
      <c r="B1126" s="5">
        <v>45295</v>
      </c>
      <c r="C1126" s="5" t="str">
        <f t="shared" si="34"/>
        <v>Jan</v>
      </c>
      <c r="D1126" s="2" t="s">
        <v>334</v>
      </c>
      <c r="E1126" s="2" t="s">
        <v>31</v>
      </c>
      <c r="F1126" s="2" t="s">
        <v>32</v>
      </c>
      <c r="G1126" s="2" t="s">
        <v>33</v>
      </c>
      <c r="H1126" s="2" t="s">
        <v>93</v>
      </c>
      <c r="I1126" s="13">
        <v>11</v>
      </c>
      <c r="J1126" s="10">
        <v>480.88</v>
      </c>
      <c r="K1126" s="10">
        <f t="shared" si="35"/>
        <v>5289.68</v>
      </c>
      <c r="L1126" s="2">
        <v>0</v>
      </c>
      <c r="M1126" s="2" t="s">
        <v>83</v>
      </c>
      <c r="N1126" s="2" t="s">
        <v>35</v>
      </c>
    </row>
    <row r="1127" spans="1:14" x14ac:dyDescent="0.2">
      <c r="A1127" s="13">
        <v>100318</v>
      </c>
      <c r="B1127" s="5">
        <v>45636</v>
      </c>
      <c r="C1127" s="5" t="str">
        <f t="shared" si="34"/>
        <v>Dec</v>
      </c>
      <c r="D1127" s="2" t="s">
        <v>434</v>
      </c>
      <c r="E1127" s="2" t="s">
        <v>61</v>
      </c>
      <c r="F1127" s="2" t="s">
        <v>14</v>
      </c>
      <c r="G1127" s="2" t="s">
        <v>45</v>
      </c>
      <c r="H1127" s="2" t="s">
        <v>97</v>
      </c>
      <c r="I1127" s="13">
        <v>6</v>
      </c>
      <c r="J1127" s="10">
        <v>2467.29</v>
      </c>
      <c r="K1127" s="10">
        <f t="shared" si="35"/>
        <v>14803.74</v>
      </c>
      <c r="L1127" s="2">
        <v>0</v>
      </c>
      <c r="M1127" s="2" t="s">
        <v>17</v>
      </c>
      <c r="N1127" s="2" t="s">
        <v>52</v>
      </c>
    </row>
    <row r="1128" spans="1:14" x14ac:dyDescent="0.2">
      <c r="A1128" s="13">
        <v>101546</v>
      </c>
      <c r="B1128" s="5">
        <v>45314</v>
      </c>
      <c r="C1128" s="5" t="str">
        <f t="shared" si="34"/>
        <v>Jan</v>
      </c>
      <c r="D1128" s="2" t="s">
        <v>859</v>
      </c>
      <c r="E1128" s="2" t="s">
        <v>61</v>
      </c>
      <c r="F1128" s="2" t="s">
        <v>119</v>
      </c>
      <c r="G1128" s="2" t="s">
        <v>45</v>
      </c>
      <c r="H1128" s="2" t="s">
        <v>71</v>
      </c>
      <c r="I1128" s="13">
        <v>7</v>
      </c>
      <c r="J1128" s="10">
        <v>26460.66</v>
      </c>
      <c r="K1128" s="10">
        <f t="shared" si="35"/>
        <v>185224.62</v>
      </c>
      <c r="L1128" s="2">
        <v>0.15</v>
      </c>
      <c r="M1128" s="2" t="s">
        <v>66</v>
      </c>
      <c r="N1128" s="2" t="s">
        <v>42</v>
      </c>
    </row>
    <row r="1129" spans="1:14" x14ac:dyDescent="0.2">
      <c r="A1129" s="13">
        <v>100527</v>
      </c>
      <c r="B1129" s="5">
        <v>45652</v>
      </c>
      <c r="C1129" s="5" t="str">
        <f t="shared" si="34"/>
        <v>Dec</v>
      </c>
      <c r="D1129" s="2" t="s">
        <v>188</v>
      </c>
      <c r="E1129" s="2" t="s">
        <v>27</v>
      </c>
      <c r="F1129" s="2" t="s">
        <v>133</v>
      </c>
      <c r="G1129" s="2" t="s">
        <v>50</v>
      </c>
      <c r="H1129" s="2" t="s">
        <v>56</v>
      </c>
      <c r="I1129" s="13">
        <v>9</v>
      </c>
      <c r="J1129" s="10">
        <v>4200.57</v>
      </c>
      <c r="K1129" s="10">
        <f t="shared" si="35"/>
        <v>37805.129999999997</v>
      </c>
      <c r="L1129" s="2">
        <v>0.2</v>
      </c>
      <c r="M1129" s="2" t="s">
        <v>66</v>
      </c>
      <c r="N1129" s="2" t="s">
        <v>18</v>
      </c>
    </row>
    <row r="1130" spans="1:14" x14ac:dyDescent="0.2">
      <c r="A1130" s="13">
        <v>100088</v>
      </c>
      <c r="B1130" s="5">
        <v>45516</v>
      </c>
      <c r="C1130" s="5" t="str">
        <f t="shared" si="34"/>
        <v>Aug</v>
      </c>
      <c r="D1130" s="2" t="s">
        <v>122</v>
      </c>
      <c r="E1130" s="2" t="s">
        <v>61</v>
      </c>
      <c r="F1130" s="2" t="s">
        <v>119</v>
      </c>
      <c r="G1130" s="2" t="s">
        <v>64</v>
      </c>
      <c r="H1130" s="2" t="s">
        <v>165</v>
      </c>
      <c r="I1130" s="13">
        <v>8</v>
      </c>
      <c r="J1130" s="10">
        <v>554.66999999999996</v>
      </c>
      <c r="K1130" s="10">
        <f t="shared" si="35"/>
        <v>4437.3599999999997</v>
      </c>
      <c r="L1130" s="2">
        <v>0</v>
      </c>
      <c r="M1130" s="2" t="s">
        <v>29</v>
      </c>
      <c r="N1130" s="2" t="s">
        <v>143</v>
      </c>
    </row>
    <row r="1131" spans="1:14" x14ac:dyDescent="0.2">
      <c r="A1131" s="13">
        <v>101288</v>
      </c>
      <c r="B1131" s="5">
        <v>45343</v>
      </c>
      <c r="C1131" s="5" t="str">
        <f t="shared" si="34"/>
        <v>Feb</v>
      </c>
      <c r="D1131" s="2" t="s">
        <v>211</v>
      </c>
      <c r="E1131" s="2" t="s">
        <v>37</v>
      </c>
      <c r="F1131" s="2" t="s">
        <v>69</v>
      </c>
      <c r="G1131" s="2" t="s">
        <v>33</v>
      </c>
      <c r="H1131" s="2" t="s">
        <v>81</v>
      </c>
      <c r="I1131" s="13">
        <v>3</v>
      </c>
      <c r="J1131" s="10">
        <v>488.89</v>
      </c>
      <c r="K1131" s="10">
        <f t="shared" si="35"/>
        <v>1466.67</v>
      </c>
      <c r="L1131" s="2">
        <v>0.15</v>
      </c>
      <c r="M1131" s="2" t="s">
        <v>41</v>
      </c>
      <c r="N1131" s="2" t="s">
        <v>121</v>
      </c>
    </row>
    <row r="1132" spans="1:14" x14ac:dyDescent="0.2">
      <c r="A1132" s="13">
        <v>100149</v>
      </c>
      <c r="B1132" s="5">
        <v>45647</v>
      </c>
      <c r="C1132" s="5" t="str">
        <f t="shared" si="34"/>
        <v>Dec</v>
      </c>
      <c r="D1132" s="2" t="s">
        <v>506</v>
      </c>
      <c r="E1132" s="2" t="s">
        <v>140</v>
      </c>
      <c r="F1132" s="2" t="s">
        <v>79</v>
      </c>
      <c r="G1132" s="2" t="s">
        <v>45</v>
      </c>
      <c r="H1132" s="2" t="s">
        <v>149</v>
      </c>
      <c r="I1132" s="13">
        <v>6</v>
      </c>
      <c r="J1132" s="10">
        <v>15930.43</v>
      </c>
      <c r="K1132" s="10">
        <f t="shared" si="35"/>
        <v>95582.58</v>
      </c>
      <c r="L1132" s="2">
        <v>0.15</v>
      </c>
      <c r="M1132" s="2" t="s">
        <v>41</v>
      </c>
      <c r="N1132" s="2" t="s">
        <v>18</v>
      </c>
    </row>
    <row r="1133" spans="1:14" x14ac:dyDescent="0.2">
      <c r="A1133" s="13">
        <v>101641</v>
      </c>
      <c r="B1133" s="5">
        <v>45380</v>
      </c>
      <c r="C1133" s="5" t="str">
        <f t="shared" si="34"/>
        <v>Mar</v>
      </c>
      <c r="D1133" s="2" t="s">
        <v>91</v>
      </c>
      <c r="E1133" s="2" t="s">
        <v>27</v>
      </c>
      <c r="F1133" s="2" t="s">
        <v>133</v>
      </c>
      <c r="G1133" s="2" t="s">
        <v>64</v>
      </c>
      <c r="H1133" s="2" t="s">
        <v>292</v>
      </c>
      <c r="I1133" s="13">
        <v>10</v>
      </c>
      <c r="J1133" s="10">
        <v>730.63</v>
      </c>
      <c r="K1133" s="10">
        <f t="shared" si="35"/>
        <v>7306.3</v>
      </c>
      <c r="L1133" s="2">
        <v>0.25</v>
      </c>
      <c r="M1133" s="2" t="s">
        <v>29</v>
      </c>
      <c r="N1133" s="2" t="s">
        <v>87</v>
      </c>
    </row>
    <row r="1134" spans="1:14" x14ac:dyDescent="0.2">
      <c r="A1134" s="13">
        <v>101222</v>
      </c>
      <c r="B1134" s="5">
        <v>45326</v>
      </c>
      <c r="C1134" s="5" t="str">
        <f t="shared" si="34"/>
        <v>Feb</v>
      </c>
      <c r="D1134" s="2" t="s">
        <v>449</v>
      </c>
      <c r="E1134" s="2" t="s">
        <v>27</v>
      </c>
      <c r="F1134" s="2" t="s">
        <v>21</v>
      </c>
      <c r="G1134" s="2" t="s">
        <v>64</v>
      </c>
      <c r="H1134" s="2" t="s">
        <v>165</v>
      </c>
      <c r="I1134" s="13">
        <v>4</v>
      </c>
      <c r="J1134" s="10">
        <v>706.01</v>
      </c>
      <c r="K1134" s="10">
        <f t="shared" si="35"/>
        <v>2824.04</v>
      </c>
      <c r="L1134" s="2">
        <v>0.15</v>
      </c>
      <c r="M1134" s="2" t="s">
        <v>83</v>
      </c>
      <c r="N1134" s="2" t="s">
        <v>121</v>
      </c>
    </row>
    <row r="1135" spans="1:14" x14ac:dyDescent="0.2">
      <c r="A1135" s="13">
        <v>101477</v>
      </c>
      <c r="B1135" s="5">
        <v>45494</v>
      </c>
      <c r="C1135" s="5" t="str">
        <f t="shared" si="34"/>
        <v>Jul</v>
      </c>
      <c r="D1135" s="2" t="s">
        <v>290</v>
      </c>
      <c r="E1135" s="2" t="s">
        <v>27</v>
      </c>
      <c r="F1135" s="2" t="s">
        <v>133</v>
      </c>
      <c r="G1135" s="2" t="s">
        <v>106</v>
      </c>
      <c r="H1135" s="2" t="s">
        <v>156</v>
      </c>
      <c r="I1135" s="13">
        <v>10</v>
      </c>
      <c r="J1135" s="10">
        <v>2691.22</v>
      </c>
      <c r="K1135" s="10">
        <f t="shared" si="35"/>
        <v>26912.199999999997</v>
      </c>
      <c r="L1135" s="2">
        <v>0</v>
      </c>
      <c r="M1135" s="2" t="s">
        <v>24</v>
      </c>
      <c r="N1135" s="2" t="s">
        <v>25</v>
      </c>
    </row>
    <row r="1136" spans="1:14" x14ac:dyDescent="0.2">
      <c r="A1136" s="13">
        <v>100366</v>
      </c>
      <c r="B1136" s="5">
        <v>45600</v>
      </c>
      <c r="C1136" s="5" t="str">
        <f t="shared" si="34"/>
        <v>Nov</v>
      </c>
      <c r="D1136" s="2" t="s">
        <v>740</v>
      </c>
      <c r="E1136" s="2" t="s">
        <v>37</v>
      </c>
      <c r="F1136" s="2" t="s">
        <v>69</v>
      </c>
      <c r="G1136" s="2" t="s">
        <v>22</v>
      </c>
      <c r="H1136" s="2" t="s">
        <v>75</v>
      </c>
      <c r="I1136" s="13"/>
      <c r="J1136" s="10">
        <v>3372.88</v>
      </c>
      <c r="K1136" s="10">
        <f t="shared" si="35"/>
        <v>0</v>
      </c>
      <c r="L1136" s="2">
        <v>0</v>
      </c>
      <c r="M1136" s="2" t="s">
        <v>29</v>
      </c>
      <c r="N1136" s="2" t="s">
        <v>87</v>
      </c>
    </row>
    <row r="1137" spans="1:14" x14ac:dyDescent="0.2">
      <c r="A1137" s="13">
        <v>100590</v>
      </c>
      <c r="B1137" s="5">
        <v>45440</v>
      </c>
      <c r="C1137" s="5" t="str">
        <f t="shared" si="34"/>
        <v>May</v>
      </c>
      <c r="D1137" s="2" t="s">
        <v>861</v>
      </c>
      <c r="E1137" s="2" t="s">
        <v>61</v>
      </c>
      <c r="F1137" s="2" t="s">
        <v>119</v>
      </c>
      <c r="G1137" s="2" t="s">
        <v>64</v>
      </c>
      <c r="H1137" s="2" t="s">
        <v>165</v>
      </c>
      <c r="I1137" s="13">
        <v>9</v>
      </c>
      <c r="J1137" s="10">
        <v>536.82000000000005</v>
      </c>
      <c r="K1137" s="10">
        <f t="shared" si="35"/>
        <v>4831.38</v>
      </c>
      <c r="L1137" s="2">
        <v>0</v>
      </c>
      <c r="M1137" s="2" t="s">
        <v>17</v>
      </c>
      <c r="N1137" s="2" t="s">
        <v>121</v>
      </c>
    </row>
    <row r="1138" spans="1:14" x14ac:dyDescent="0.2">
      <c r="A1138" s="13">
        <v>101528</v>
      </c>
      <c r="B1138" s="5">
        <v>45412</v>
      </c>
      <c r="C1138" s="5" t="str">
        <f t="shared" si="34"/>
        <v>Apr</v>
      </c>
      <c r="D1138" s="2" t="s">
        <v>652</v>
      </c>
      <c r="E1138" s="2" t="s">
        <v>31</v>
      </c>
      <c r="F1138" s="2" t="s">
        <v>32</v>
      </c>
      <c r="G1138" s="2" t="s">
        <v>22</v>
      </c>
      <c r="H1138" s="2" t="s">
        <v>145</v>
      </c>
      <c r="I1138" s="13">
        <v>9</v>
      </c>
      <c r="J1138" s="10">
        <v>795.17</v>
      </c>
      <c r="K1138" s="10">
        <f t="shared" si="35"/>
        <v>7156.53</v>
      </c>
      <c r="L1138" s="2">
        <v>0</v>
      </c>
      <c r="M1138" s="2" t="s">
        <v>29</v>
      </c>
      <c r="N1138" s="2" t="s">
        <v>52</v>
      </c>
    </row>
    <row r="1139" spans="1:14" x14ac:dyDescent="0.2">
      <c r="A1139" s="13">
        <v>100199</v>
      </c>
      <c r="B1139" s="5">
        <v>45648</v>
      </c>
      <c r="C1139" s="5" t="str">
        <f t="shared" si="34"/>
        <v>Dec</v>
      </c>
      <c r="D1139" s="2" t="s">
        <v>862</v>
      </c>
      <c r="E1139" s="2" t="s">
        <v>37</v>
      </c>
      <c r="F1139" s="2" t="s">
        <v>69</v>
      </c>
      <c r="G1139" s="2" t="s">
        <v>50</v>
      </c>
      <c r="H1139" s="2" t="s">
        <v>51</v>
      </c>
      <c r="I1139" s="13">
        <v>4</v>
      </c>
      <c r="J1139" s="10">
        <v>973.23</v>
      </c>
      <c r="K1139" s="10">
        <f t="shared" si="35"/>
        <v>3892.92</v>
      </c>
      <c r="L1139" s="2">
        <v>0.05</v>
      </c>
      <c r="M1139" s="2" t="s">
        <v>41</v>
      </c>
      <c r="N1139" s="2" t="s">
        <v>35</v>
      </c>
    </row>
    <row r="1140" spans="1:14" x14ac:dyDescent="0.2">
      <c r="A1140" s="13">
        <v>101953</v>
      </c>
      <c r="B1140" s="5">
        <v>45573</v>
      </c>
      <c r="C1140" s="5" t="str">
        <f t="shared" si="34"/>
        <v>Oct</v>
      </c>
      <c r="D1140" s="2" t="s">
        <v>830</v>
      </c>
      <c r="E1140" s="2" t="s">
        <v>37</v>
      </c>
      <c r="F1140" s="2" t="s">
        <v>69</v>
      </c>
      <c r="G1140" s="2" t="s">
        <v>45</v>
      </c>
      <c r="H1140" s="2" t="s">
        <v>97</v>
      </c>
      <c r="I1140" s="13">
        <v>9</v>
      </c>
      <c r="J1140" s="10">
        <v>30233.91</v>
      </c>
      <c r="K1140" s="10">
        <f t="shared" si="35"/>
        <v>272105.19</v>
      </c>
      <c r="L1140" s="2">
        <v>0</v>
      </c>
      <c r="M1140" s="2" t="s">
        <v>24</v>
      </c>
      <c r="N1140" s="2" t="s">
        <v>42</v>
      </c>
    </row>
    <row r="1141" spans="1:14" x14ac:dyDescent="0.2">
      <c r="A1141" s="13">
        <v>100193</v>
      </c>
      <c r="B1141" s="5">
        <v>45545</v>
      </c>
      <c r="C1141" s="5" t="str">
        <f t="shared" si="34"/>
        <v>Sep</v>
      </c>
      <c r="D1141" s="2" t="s">
        <v>437</v>
      </c>
      <c r="E1141" s="2" t="s">
        <v>27</v>
      </c>
      <c r="F1141" s="2" t="s">
        <v>21</v>
      </c>
      <c r="G1141" s="2" t="s">
        <v>50</v>
      </c>
      <c r="H1141" s="2" t="s">
        <v>51</v>
      </c>
      <c r="I1141" s="13">
        <v>4</v>
      </c>
      <c r="J1141" s="10">
        <v>1711.9</v>
      </c>
      <c r="K1141" s="10">
        <f t="shared" si="35"/>
        <v>6847.6</v>
      </c>
      <c r="L1141" s="2">
        <v>0.15</v>
      </c>
      <c r="M1141" s="2" t="s">
        <v>24</v>
      </c>
      <c r="N1141" s="2" t="s">
        <v>35</v>
      </c>
    </row>
    <row r="1142" spans="1:14" x14ac:dyDescent="0.2">
      <c r="A1142" s="13">
        <v>100405</v>
      </c>
      <c r="B1142" s="5">
        <v>45350</v>
      </c>
      <c r="C1142" s="5" t="str">
        <f t="shared" si="34"/>
        <v>Feb</v>
      </c>
      <c r="D1142" s="2" t="s">
        <v>68</v>
      </c>
      <c r="E1142" s="2" t="s">
        <v>140</v>
      </c>
      <c r="F1142" s="2" t="s">
        <v>49</v>
      </c>
      <c r="G1142" s="2" t="s">
        <v>50</v>
      </c>
      <c r="H1142" s="2" t="s">
        <v>99</v>
      </c>
      <c r="I1142" s="13">
        <v>-1</v>
      </c>
      <c r="J1142" s="10">
        <v>9210.9</v>
      </c>
      <c r="K1142" s="10">
        <f t="shared" si="35"/>
        <v>-9210.9</v>
      </c>
      <c r="L1142" s="2">
        <v>0</v>
      </c>
      <c r="M1142" s="2" t="s">
        <v>17</v>
      </c>
      <c r="N1142" s="2" t="s">
        <v>121</v>
      </c>
    </row>
    <row r="1143" spans="1:14" x14ac:dyDescent="0.2">
      <c r="A1143" s="13">
        <v>101592</v>
      </c>
      <c r="B1143" s="5">
        <v>45533</v>
      </c>
      <c r="C1143" s="5" t="str">
        <f t="shared" si="34"/>
        <v>Aug</v>
      </c>
      <c r="D1143" s="2" t="s">
        <v>346</v>
      </c>
      <c r="E1143" s="2" t="s">
        <v>37</v>
      </c>
      <c r="F1143" s="2" t="s">
        <v>69</v>
      </c>
      <c r="G1143" s="2" t="s">
        <v>64</v>
      </c>
      <c r="H1143" s="2" t="s">
        <v>165</v>
      </c>
      <c r="I1143" s="13">
        <v>-1</v>
      </c>
      <c r="J1143" s="10">
        <v>154.97999999999999</v>
      </c>
      <c r="K1143" s="10">
        <f t="shared" si="35"/>
        <v>-154.97999999999999</v>
      </c>
      <c r="L1143" s="2">
        <v>0</v>
      </c>
      <c r="M1143" s="2" t="s">
        <v>24</v>
      </c>
      <c r="N1143" s="2" t="s">
        <v>87</v>
      </c>
    </row>
    <row r="1144" spans="1:14" x14ac:dyDescent="0.2">
      <c r="A1144" s="13">
        <v>100484</v>
      </c>
      <c r="B1144" s="5">
        <v>45357</v>
      </c>
      <c r="C1144" s="5" t="str">
        <f t="shared" si="34"/>
        <v>Mar</v>
      </c>
      <c r="D1144" s="2" t="s">
        <v>800</v>
      </c>
      <c r="E1144" s="2" t="s">
        <v>31</v>
      </c>
      <c r="F1144" s="2" t="s">
        <v>32</v>
      </c>
      <c r="G1144" s="2" t="s">
        <v>22</v>
      </c>
      <c r="H1144" s="2" t="s">
        <v>23</v>
      </c>
      <c r="I1144" s="13">
        <v>11</v>
      </c>
      <c r="J1144" s="10">
        <v>1494.33</v>
      </c>
      <c r="K1144" s="10">
        <f t="shared" si="35"/>
        <v>16437.629999999997</v>
      </c>
      <c r="L1144" s="2">
        <v>0</v>
      </c>
      <c r="M1144" s="2" t="s">
        <v>24</v>
      </c>
      <c r="N1144" s="2" t="s">
        <v>42</v>
      </c>
    </row>
    <row r="1145" spans="1:14" x14ac:dyDescent="0.2">
      <c r="A1145" s="13">
        <v>101476</v>
      </c>
      <c r="B1145" s="5">
        <v>45619</v>
      </c>
      <c r="C1145" s="5" t="str">
        <f t="shared" si="34"/>
        <v>Nov</v>
      </c>
      <c r="D1145" s="2" t="s">
        <v>267</v>
      </c>
      <c r="E1145" s="2" t="s">
        <v>27</v>
      </c>
      <c r="F1145" s="2" t="s">
        <v>133</v>
      </c>
      <c r="G1145" s="2" t="s">
        <v>106</v>
      </c>
      <c r="H1145" s="2" t="s">
        <v>156</v>
      </c>
      <c r="I1145" s="13">
        <v>5</v>
      </c>
      <c r="J1145" s="10">
        <v>3243.59</v>
      </c>
      <c r="K1145" s="10">
        <f t="shared" si="35"/>
        <v>16217.95</v>
      </c>
      <c r="L1145" s="2">
        <v>0</v>
      </c>
      <c r="M1145" s="2" t="s">
        <v>66</v>
      </c>
      <c r="N1145" s="2" t="s">
        <v>121</v>
      </c>
    </row>
    <row r="1146" spans="1:14" x14ac:dyDescent="0.2">
      <c r="A1146" s="13">
        <v>100792</v>
      </c>
      <c r="B1146" s="5">
        <v>45638</v>
      </c>
      <c r="C1146" s="5" t="str">
        <f t="shared" si="34"/>
        <v>Dec</v>
      </c>
      <c r="D1146" s="2" t="s">
        <v>530</v>
      </c>
      <c r="E1146" s="2" t="s">
        <v>140</v>
      </c>
      <c r="F1146" s="2" t="s">
        <v>79</v>
      </c>
      <c r="G1146" s="2" t="s">
        <v>45</v>
      </c>
      <c r="H1146" s="2" t="s">
        <v>111</v>
      </c>
      <c r="I1146" s="13">
        <v>5</v>
      </c>
      <c r="J1146" s="10">
        <v>1853</v>
      </c>
      <c r="K1146" s="10">
        <f t="shared" si="35"/>
        <v>9265</v>
      </c>
      <c r="L1146" s="2">
        <v>0.25</v>
      </c>
      <c r="M1146" s="2" t="s">
        <v>17</v>
      </c>
      <c r="N1146" s="2" t="s">
        <v>18</v>
      </c>
    </row>
    <row r="1147" spans="1:14" x14ac:dyDescent="0.2">
      <c r="A1147" s="13">
        <v>100800</v>
      </c>
      <c r="B1147" s="5">
        <v>45512</v>
      </c>
      <c r="C1147" s="5" t="str">
        <f t="shared" si="34"/>
        <v>Aug</v>
      </c>
      <c r="D1147" s="2" t="s">
        <v>761</v>
      </c>
      <c r="E1147" s="2" t="s">
        <v>27</v>
      </c>
      <c r="F1147" s="2" t="s">
        <v>21</v>
      </c>
      <c r="G1147" s="2" t="s">
        <v>45</v>
      </c>
      <c r="H1147" s="2" t="s">
        <v>111</v>
      </c>
      <c r="I1147" s="13">
        <v>10</v>
      </c>
      <c r="J1147" s="10">
        <v>26607.7</v>
      </c>
      <c r="K1147" s="10">
        <f t="shared" si="35"/>
        <v>266077</v>
      </c>
      <c r="L1147" s="2">
        <v>0</v>
      </c>
      <c r="M1147" s="2" t="s">
        <v>17</v>
      </c>
      <c r="N1147" s="2" t="s">
        <v>143</v>
      </c>
    </row>
    <row r="1148" spans="1:14" x14ac:dyDescent="0.2">
      <c r="A1148" s="13">
        <v>100385</v>
      </c>
      <c r="B1148" s="5">
        <v>45444</v>
      </c>
      <c r="C1148" s="5" t="str">
        <f t="shared" si="34"/>
        <v>Jun</v>
      </c>
      <c r="D1148" s="2" t="s">
        <v>865</v>
      </c>
      <c r="E1148" s="2" t="s">
        <v>31</v>
      </c>
      <c r="F1148" s="2" t="s">
        <v>32</v>
      </c>
      <c r="G1148" s="2" t="s">
        <v>22</v>
      </c>
      <c r="H1148" s="2" t="s">
        <v>75</v>
      </c>
      <c r="I1148" s="13">
        <v>8</v>
      </c>
      <c r="J1148" s="10">
        <v>2787.41</v>
      </c>
      <c r="K1148" s="10">
        <f t="shared" si="35"/>
        <v>22299.279999999999</v>
      </c>
      <c r="L1148" s="2">
        <v>0</v>
      </c>
      <c r="M1148" s="2" t="s">
        <v>83</v>
      </c>
      <c r="N1148" s="2" t="s">
        <v>18</v>
      </c>
    </row>
    <row r="1149" spans="1:14" x14ac:dyDescent="0.2">
      <c r="A1149" s="13">
        <v>100751</v>
      </c>
      <c r="B1149" s="5">
        <v>45390</v>
      </c>
      <c r="C1149" s="5" t="str">
        <f t="shared" si="34"/>
        <v>Apr</v>
      </c>
      <c r="D1149" s="2" t="s">
        <v>30</v>
      </c>
      <c r="E1149" s="2" t="s">
        <v>37</v>
      </c>
      <c r="F1149" s="2" t="s">
        <v>38</v>
      </c>
      <c r="G1149" s="2" t="s">
        <v>50</v>
      </c>
      <c r="H1149" s="2" t="s">
        <v>99</v>
      </c>
      <c r="I1149" s="13">
        <v>12</v>
      </c>
      <c r="J1149" s="10">
        <v>8952.99</v>
      </c>
      <c r="K1149" s="10">
        <f t="shared" si="35"/>
        <v>107435.88</v>
      </c>
      <c r="L1149" s="2">
        <v>0</v>
      </c>
      <c r="M1149" s="2" t="s">
        <v>17</v>
      </c>
      <c r="N1149" s="2" t="s">
        <v>18</v>
      </c>
    </row>
    <row r="1150" spans="1:14" x14ac:dyDescent="0.2">
      <c r="A1150" s="13">
        <v>100423</v>
      </c>
      <c r="B1150" s="5">
        <v>45410</v>
      </c>
      <c r="C1150" s="5" t="str">
        <f t="shared" si="34"/>
        <v>Apr</v>
      </c>
      <c r="D1150" s="2" t="s">
        <v>775</v>
      </c>
      <c r="E1150" s="2" t="s">
        <v>61</v>
      </c>
      <c r="F1150" s="2" t="s">
        <v>14</v>
      </c>
      <c r="G1150" s="2" t="s">
        <v>22</v>
      </c>
      <c r="H1150" s="2" t="s">
        <v>145</v>
      </c>
      <c r="I1150" s="13">
        <v>11</v>
      </c>
      <c r="J1150" s="10">
        <v>1708.25</v>
      </c>
      <c r="K1150" s="10">
        <f t="shared" si="35"/>
        <v>18790.75</v>
      </c>
      <c r="L1150" s="2">
        <v>0</v>
      </c>
      <c r="M1150" s="2" t="s">
        <v>29</v>
      </c>
      <c r="N1150" s="2" t="s">
        <v>52</v>
      </c>
    </row>
    <row r="1151" spans="1:14" x14ac:dyDescent="0.2">
      <c r="A1151" s="13">
        <v>100315</v>
      </c>
      <c r="B1151" s="5">
        <v>45603</v>
      </c>
      <c r="C1151" s="5" t="str">
        <f t="shared" si="34"/>
        <v>Nov</v>
      </c>
      <c r="D1151" s="2" t="s">
        <v>853</v>
      </c>
      <c r="E1151" s="2" t="s">
        <v>140</v>
      </c>
      <c r="F1151" s="2" t="s">
        <v>79</v>
      </c>
      <c r="G1151" s="2" t="s">
        <v>64</v>
      </c>
      <c r="H1151" s="2" t="s">
        <v>165</v>
      </c>
      <c r="I1151" s="13">
        <v>3</v>
      </c>
      <c r="J1151" s="10">
        <v>0</v>
      </c>
      <c r="K1151" s="10">
        <f t="shared" si="35"/>
        <v>0</v>
      </c>
      <c r="L1151" s="2">
        <v>0.1</v>
      </c>
      <c r="M1151" s="2" t="s">
        <v>29</v>
      </c>
      <c r="N1151" s="2" t="s">
        <v>35</v>
      </c>
    </row>
    <row r="1152" spans="1:14" x14ac:dyDescent="0.2">
      <c r="A1152" s="13">
        <v>101022</v>
      </c>
      <c r="B1152" s="5">
        <v>45296</v>
      </c>
      <c r="C1152" s="5" t="str">
        <f t="shared" si="34"/>
        <v>Jan</v>
      </c>
      <c r="D1152" s="2" t="s">
        <v>1069</v>
      </c>
      <c r="E1152" s="2" t="s">
        <v>61</v>
      </c>
      <c r="F1152" s="2" t="s">
        <v>119</v>
      </c>
      <c r="G1152" s="2" t="s">
        <v>64</v>
      </c>
      <c r="H1152" s="2" t="s">
        <v>242</v>
      </c>
      <c r="I1152" s="13">
        <v>2</v>
      </c>
      <c r="J1152" s="10">
        <v>892.61</v>
      </c>
      <c r="K1152" s="10">
        <f t="shared" si="35"/>
        <v>1785.22</v>
      </c>
      <c r="L1152" s="2">
        <v>0.2</v>
      </c>
      <c r="M1152" s="2" t="s">
        <v>29</v>
      </c>
      <c r="N1152" s="2" t="s">
        <v>25</v>
      </c>
    </row>
    <row r="1153" spans="1:14" x14ac:dyDescent="0.2">
      <c r="A1153" s="13">
        <v>100544</v>
      </c>
      <c r="B1153" s="5">
        <v>45545</v>
      </c>
      <c r="C1153" s="5" t="str">
        <f t="shared" si="34"/>
        <v>Sep</v>
      </c>
      <c r="D1153" s="2" t="s">
        <v>445</v>
      </c>
      <c r="E1153" s="2" t="s">
        <v>27</v>
      </c>
      <c r="F1153" s="2" t="s">
        <v>21</v>
      </c>
      <c r="G1153" s="2" t="s">
        <v>106</v>
      </c>
      <c r="H1153" s="2" t="s">
        <v>135</v>
      </c>
      <c r="I1153" s="13">
        <v>2</v>
      </c>
      <c r="J1153" s="10">
        <v>878.86</v>
      </c>
      <c r="K1153" s="10">
        <f t="shared" si="35"/>
        <v>1757.72</v>
      </c>
      <c r="L1153" s="2">
        <v>0</v>
      </c>
      <c r="M1153" s="2" t="s">
        <v>66</v>
      </c>
      <c r="N1153" s="2" t="s">
        <v>25</v>
      </c>
    </row>
    <row r="1154" spans="1:14" x14ac:dyDescent="0.2">
      <c r="A1154" s="13">
        <v>100914</v>
      </c>
      <c r="B1154" s="5">
        <v>45430</v>
      </c>
      <c r="C1154" s="5" t="str">
        <f t="shared" ref="C1154:C1217" si="36">TEXT(B1154,"mmm")</f>
        <v>May</v>
      </c>
      <c r="D1154" s="2" t="s">
        <v>585</v>
      </c>
      <c r="E1154" s="2" t="s">
        <v>27</v>
      </c>
      <c r="F1154" s="2" t="s">
        <v>133</v>
      </c>
      <c r="G1154" s="2" t="s">
        <v>15</v>
      </c>
      <c r="H1154" s="2" t="s">
        <v>205</v>
      </c>
      <c r="I1154" s="13">
        <v>5</v>
      </c>
      <c r="J1154" s="10">
        <v>2770.17</v>
      </c>
      <c r="K1154" s="10">
        <f t="shared" ref="K1154:K1217" si="37">I1154*J1154</f>
        <v>13850.85</v>
      </c>
      <c r="L1154" s="2">
        <v>0</v>
      </c>
      <c r="M1154" s="2" t="s">
        <v>29</v>
      </c>
      <c r="N1154" s="2" t="s">
        <v>25</v>
      </c>
    </row>
    <row r="1155" spans="1:14" x14ac:dyDescent="0.2">
      <c r="A1155" s="13">
        <v>100663</v>
      </c>
      <c r="B1155" s="5">
        <v>45531</v>
      </c>
      <c r="C1155" s="5" t="str">
        <f t="shared" si="36"/>
        <v>Aug</v>
      </c>
      <c r="D1155" s="2" t="s">
        <v>213</v>
      </c>
      <c r="E1155" s="2" t="s">
        <v>61</v>
      </c>
      <c r="F1155" s="2" t="s">
        <v>119</v>
      </c>
      <c r="G1155" s="2" t="s">
        <v>64</v>
      </c>
      <c r="H1155" s="2" t="s">
        <v>242</v>
      </c>
      <c r="I1155" s="13">
        <v>5</v>
      </c>
      <c r="J1155" s="10">
        <v>505.8</v>
      </c>
      <c r="K1155" s="10">
        <f t="shared" si="37"/>
        <v>2529</v>
      </c>
      <c r="L1155" s="2">
        <v>0.2</v>
      </c>
      <c r="M1155" s="2" t="s">
        <v>41</v>
      </c>
      <c r="N1155" s="2" t="s">
        <v>52</v>
      </c>
    </row>
    <row r="1156" spans="1:14" x14ac:dyDescent="0.2">
      <c r="A1156" s="13">
        <v>100903</v>
      </c>
      <c r="B1156" s="5">
        <v>45518</v>
      </c>
      <c r="C1156" s="5" t="str">
        <f t="shared" si="36"/>
        <v>Aug</v>
      </c>
      <c r="D1156" s="2" t="s">
        <v>590</v>
      </c>
      <c r="E1156" s="2" t="s">
        <v>140</v>
      </c>
      <c r="F1156" s="2" t="s">
        <v>79</v>
      </c>
      <c r="G1156" s="2" t="s">
        <v>15</v>
      </c>
      <c r="H1156" s="2" t="s">
        <v>116</v>
      </c>
      <c r="I1156" s="13">
        <v>6</v>
      </c>
      <c r="J1156" s="10">
        <v>17523.849999999999</v>
      </c>
      <c r="K1156" s="10">
        <f t="shared" si="37"/>
        <v>105143.09999999999</v>
      </c>
      <c r="L1156" s="2">
        <v>0.25</v>
      </c>
      <c r="M1156" s="2" t="s">
        <v>83</v>
      </c>
      <c r="N1156" s="2" t="s">
        <v>42</v>
      </c>
    </row>
    <row r="1157" spans="1:14" x14ac:dyDescent="0.2">
      <c r="A1157" s="13">
        <v>101413</v>
      </c>
      <c r="B1157" s="5">
        <v>45605</v>
      </c>
      <c r="C1157" s="5" t="str">
        <f t="shared" si="36"/>
        <v>Nov</v>
      </c>
      <c r="D1157" s="2" t="s">
        <v>150</v>
      </c>
      <c r="E1157" s="2" t="s">
        <v>27</v>
      </c>
      <c r="F1157" s="2" t="s">
        <v>133</v>
      </c>
      <c r="G1157" s="2" t="s">
        <v>33</v>
      </c>
      <c r="H1157" s="2" t="s">
        <v>34</v>
      </c>
      <c r="I1157" s="13">
        <v>7</v>
      </c>
      <c r="J1157" s="10">
        <v>34.42</v>
      </c>
      <c r="K1157" s="10">
        <f t="shared" si="37"/>
        <v>240.94</v>
      </c>
      <c r="L1157" s="2">
        <v>0.05</v>
      </c>
      <c r="M1157" s="2" t="s">
        <v>29</v>
      </c>
      <c r="N1157" s="2" t="s">
        <v>35</v>
      </c>
    </row>
    <row r="1158" spans="1:14" x14ac:dyDescent="0.2">
      <c r="A1158" s="13">
        <v>100686</v>
      </c>
      <c r="B1158" s="5">
        <v>45618</v>
      </c>
      <c r="C1158" s="5" t="str">
        <f t="shared" si="36"/>
        <v>Nov</v>
      </c>
      <c r="D1158" s="2" t="s">
        <v>198</v>
      </c>
      <c r="E1158" s="2" t="s">
        <v>61</v>
      </c>
      <c r="F1158" s="2" t="s">
        <v>119</v>
      </c>
      <c r="G1158" s="2" t="s">
        <v>33</v>
      </c>
      <c r="H1158" s="2" t="s">
        <v>158</v>
      </c>
      <c r="I1158" s="13">
        <v>3</v>
      </c>
      <c r="J1158" s="10">
        <v>147.27000000000001</v>
      </c>
      <c r="K1158" s="10">
        <f t="shared" si="37"/>
        <v>441.81000000000006</v>
      </c>
      <c r="L1158" s="2">
        <v>0.15</v>
      </c>
      <c r="M1158" s="2" t="s">
        <v>41</v>
      </c>
      <c r="N1158" s="2" t="s">
        <v>52</v>
      </c>
    </row>
    <row r="1159" spans="1:14" x14ac:dyDescent="0.2">
      <c r="A1159" s="13">
        <v>101697</v>
      </c>
      <c r="B1159" s="5">
        <v>45560</v>
      </c>
      <c r="C1159" s="5" t="str">
        <f t="shared" si="36"/>
        <v>Sep</v>
      </c>
      <c r="D1159" s="2" t="s">
        <v>867</v>
      </c>
      <c r="E1159" s="2" t="s">
        <v>31</v>
      </c>
      <c r="F1159" s="2" t="s">
        <v>54</v>
      </c>
      <c r="G1159" s="2" t="s">
        <v>22</v>
      </c>
      <c r="H1159" s="2" t="s">
        <v>75</v>
      </c>
      <c r="I1159" s="13">
        <v>8</v>
      </c>
      <c r="J1159" s="10">
        <v>1633.29</v>
      </c>
      <c r="K1159" s="10">
        <f t="shared" si="37"/>
        <v>13066.32</v>
      </c>
      <c r="L1159" s="2">
        <v>0.1</v>
      </c>
      <c r="M1159" s="2" t="s">
        <v>29</v>
      </c>
      <c r="N1159" s="2" t="s">
        <v>42</v>
      </c>
    </row>
    <row r="1160" spans="1:14" x14ac:dyDescent="0.2">
      <c r="A1160" s="13">
        <v>100160</v>
      </c>
      <c r="B1160" s="5">
        <v>45422</v>
      </c>
      <c r="C1160" s="5" t="str">
        <f t="shared" si="36"/>
        <v>May</v>
      </c>
      <c r="D1160" s="2" t="s">
        <v>19</v>
      </c>
      <c r="E1160" s="2" t="s">
        <v>140</v>
      </c>
      <c r="F1160" s="2" t="s">
        <v>49</v>
      </c>
      <c r="G1160" s="2" t="s">
        <v>22</v>
      </c>
      <c r="H1160" s="2" t="s">
        <v>141</v>
      </c>
      <c r="I1160" s="13">
        <v>8</v>
      </c>
      <c r="J1160" s="10">
        <v>2933.9</v>
      </c>
      <c r="K1160" s="10">
        <f t="shared" si="37"/>
        <v>23471.200000000001</v>
      </c>
      <c r="L1160" s="2">
        <v>0.05</v>
      </c>
      <c r="M1160" s="2" t="s">
        <v>24</v>
      </c>
      <c r="N1160" s="2" t="s">
        <v>42</v>
      </c>
    </row>
    <row r="1161" spans="1:14" x14ac:dyDescent="0.2">
      <c r="A1161" s="13">
        <v>101000</v>
      </c>
      <c r="B1161" s="5">
        <v>45328</v>
      </c>
      <c r="C1161" s="5" t="str">
        <f t="shared" si="36"/>
        <v>Feb</v>
      </c>
      <c r="D1161" s="2" t="s">
        <v>554</v>
      </c>
      <c r="E1161" s="2" t="s">
        <v>37</v>
      </c>
      <c r="F1161" s="2" t="s">
        <v>69</v>
      </c>
      <c r="G1161" s="2" t="s">
        <v>45</v>
      </c>
      <c r="H1161" s="2" t="s">
        <v>46</v>
      </c>
      <c r="I1161" s="13">
        <v>5</v>
      </c>
      <c r="J1161" s="10">
        <v>39048.76</v>
      </c>
      <c r="K1161" s="10">
        <f t="shared" si="37"/>
        <v>195243.80000000002</v>
      </c>
      <c r="L1161" s="2">
        <v>0.2</v>
      </c>
      <c r="M1161" s="2" t="s">
        <v>17</v>
      </c>
      <c r="N1161" s="2" t="s">
        <v>121</v>
      </c>
    </row>
    <row r="1162" spans="1:14" x14ac:dyDescent="0.2">
      <c r="A1162" s="13">
        <v>101554</v>
      </c>
      <c r="B1162" s="5">
        <v>45542</v>
      </c>
      <c r="C1162" s="5" t="str">
        <f t="shared" si="36"/>
        <v>Sep</v>
      </c>
      <c r="D1162" s="2" t="s">
        <v>627</v>
      </c>
      <c r="E1162" s="2" t="s">
        <v>31</v>
      </c>
      <c r="F1162" s="2" t="s">
        <v>54</v>
      </c>
      <c r="G1162" s="2" t="s">
        <v>64</v>
      </c>
      <c r="H1162" s="2" t="s">
        <v>114</v>
      </c>
      <c r="I1162" s="13">
        <v>4</v>
      </c>
      <c r="J1162" s="10">
        <v>346.54</v>
      </c>
      <c r="K1162" s="10">
        <f t="shared" si="37"/>
        <v>1386.16</v>
      </c>
      <c r="L1162" s="2">
        <v>0.1</v>
      </c>
      <c r="M1162" s="2" t="s">
        <v>24</v>
      </c>
      <c r="N1162" s="2" t="s">
        <v>121</v>
      </c>
    </row>
    <row r="1163" spans="1:14" x14ac:dyDescent="0.2">
      <c r="A1163" s="13">
        <v>101797</v>
      </c>
      <c r="B1163" s="5">
        <v>45413</v>
      </c>
      <c r="C1163" s="5" t="str">
        <f t="shared" si="36"/>
        <v>May</v>
      </c>
      <c r="D1163" s="2" t="s">
        <v>1069</v>
      </c>
      <c r="E1163" s="2" t="s">
        <v>140</v>
      </c>
      <c r="F1163" s="2" t="s">
        <v>49</v>
      </c>
      <c r="G1163" s="2" t="s">
        <v>15</v>
      </c>
      <c r="H1163" s="2" t="s">
        <v>116</v>
      </c>
      <c r="I1163" s="13">
        <v>11</v>
      </c>
      <c r="J1163" s="10">
        <v>22866.13</v>
      </c>
      <c r="K1163" s="10">
        <f t="shared" si="37"/>
        <v>251527.43000000002</v>
      </c>
      <c r="L1163" s="2">
        <v>0</v>
      </c>
      <c r="M1163" s="2" t="s">
        <v>83</v>
      </c>
      <c r="N1163" s="2" t="s">
        <v>35</v>
      </c>
    </row>
    <row r="1164" spans="1:14" x14ac:dyDescent="0.2">
      <c r="A1164" s="13">
        <v>100203</v>
      </c>
      <c r="B1164" s="5">
        <v>45294</v>
      </c>
      <c r="C1164" s="5" t="str">
        <f t="shared" si="36"/>
        <v>Jan</v>
      </c>
      <c r="D1164" s="2" t="s">
        <v>644</v>
      </c>
      <c r="E1164" s="2" t="s">
        <v>31</v>
      </c>
      <c r="F1164" s="2" t="s">
        <v>54</v>
      </c>
      <c r="G1164" s="2" t="s">
        <v>50</v>
      </c>
      <c r="H1164" s="2" t="s">
        <v>51</v>
      </c>
      <c r="I1164" s="13">
        <v>7</v>
      </c>
      <c r="J1164" s="10">
        <v>5661.41</v>
      </c>
      <c r="K1164" s="10">
        <f t="shared" si="37"/>
        <v>39629.869999999995</v>
      </c>
      <c r="L1164" s="2">
        <v>0</v>
      </c>
      <c r="M1164" s="2" t="s">
        <v>66</v>
      </c>
      <c r="N1164" s="2" t="s">
        <v>25</v>
      </c>
    </row>
    <row r="1165" spans="1:14" x14ac:dyDescent="0.2">
      <c r="A1165" s="13">
        <v>101024</v>
      </c>
      <c r="B1165" s="5">
        <v>45353</v>
      </c>
      <c r="C1165" s="5" t="str">
        <f t="shared" si="36"/>
        <v>Mar</v>
      </c>
      <c r="D1165" s="2" t="s">
        <v>869</v>
      </c>
      <c r="E1165" s="2" t="s">
        <v>31</v>
      </c>
      <c r="F1165" s="2" t="s">
        <v>32</v>
      </c>
      <c r="G1165" s="2" t="s">
        <v>45</v>
      </c>
      <c r="H1165" s="2" t="s">
        <v>111</v>
      </c>
      <c r="I1165" s="13">
        <v>3</v>
      </c>
      <c r="J1165" s="10">
        <v>32596.78</v>
      </c>
      <c r="K1165" s="10">
        <f t="shared" si="37"/>
        <v>97790.34</v>
      </c>
      <c r="L1165" s="2">
        <v>0</v>
      </c>
      <c r="M1165" s="2" t="s">
        <v>41</v>
      </c>
      <c r="N1165" s="2" t="s">
        <v>42</v>
      </c>
    </row>
    <row r="1166" spans="1:14" x14ac:dyDescent="0.2">
      <c r="A1166" s="13">
        <v>101551</v>
      </c>
      <c r="B1166" s="5">
        <v>45416</v>
      </c>
      <c r="C1166" s="5" t="str">
        <f t="shared" si="36"/>
        <v>May</v>
      </c>
      <c r="D1166" s="2" t="s">
        <v>221</v>
      </c>
      <c r="E1166" s="2" t="s">
        <v>61</v>
      </c>
      <c r="F1166" s="2" t="s">
        <v>14</v>
      </c>
      <c r="G1166" s="2" t="s">
        <v>15</v>
      </c>
      <c r="H1166" s="2" t="s">
        <v>59</v>
      </c>
      <c r="I1166" s="13">
        <v>11</v>
      </c>
      <c r="J1166" s="10">
        <v>16270.35</v>
      </c>
      <c r="K1166" s="10">
        <f t="shared" si="37"/>
        <v>178973.85</v>
      </c>
      <c r="L1166" s="2">
        <v>0.25</v>
      </c>
      <c r="M1166" s="2" t="s">
        <v>29</v>
      </c>
      <c r="N1166" s="2" t="s">
        <v>87</v>
      </c>
    </row>
    <row r="1167" spans="1:14" x14ac:dyDescent="0.2">
      <c r="A1167" s="13">
        <v>101600</v>
      </c>
      <c r="B1167" s="5">
        <v>45503</v>
      </c>
      <c r="C1167" s="5" t="str">
        <f t="shared" si="36"/>
        <v>Jul</v>
      </c>
      <c r="D1167" s="2" t="s">
        <v>170</v>
      </c>
      <c r="E1167" s="2" t="s">
        <v>61</v>
      </c>
      <c r="F1167" s="2" t="s">
        <v>119</v>
      </c>
      <c r="G1167" s="2" t="s">
        <v>64</v>
      </c>
      <c r="H1167" s="2" t="s">
        <v>292</v>
      </c>
      <c r="I1167" s="13">
        <v>10</v>
      </c>
      <c r="J1167" s="10">
        <v>368</v>
      </c>
      <c r="K1167" s="10">
        <f t="shared" si="37"/>
        <v>3680</v>
      </c>
      <c r="L1167" s="2">
        <v>0</v>
      </c>
      <c r="M1167" s="2" t="s">
        <v>41</v>
      </c>
      <c r="N1167" s="2" t="s">
        <v>18</v>
      </c>
    </row>
    <row r="1168" spans="1:14" x14ac:dyDescent="0.2">
      <c r="A1168" s="13">
        <v>100113</v>
      </c>
      <c r="B1168" s="5">
        <v>45348</v>
      </c>
      <c r="C1168" s="5" t="str">
        <f t="shared" si="36"/>
        <v>Feb</v>
      </c>
      <c r="D1168" s="2" t="s">
        <v>622</v>
      </c>
      <c r="E1168" s="2" t="s">
        <v>27</v>
      </c>
      <c r="F1168" s="2" t="s">
        <v>133</v>
      </c>
      <c r="G1168" s="2" t="s">
        <v>45</v>
      </c>
      <c r="H1168" s="2" t="s">
        <v>46</v>
      </c>
      <c r="I1168" s="13">
        <v>12</v>
      </c>
      <c r="J1168" s="10">
        <v>32520.22</v>
      </c>
      <c r="K1168" s="10">
        <f t="shared" si="37"/>
        <v>390242.64</v>
      </c>
      <c r="L1168" s="2">
        <v>0.2</v>
      </c>
      <c r="M1168" s="2" t="s">
        <v>41</v>
      </c>
      <c r="N1168" s="2" t="s">
        <v>121</v>
      </c>
    </row>
    <row r="1169" spans="1:14" x14ac:dyDescent="0.2">
      <c r="A1169" s="13">
        <v>101827</v>
      </c>
      <c r="B1169" s="5">
        <v>45357</v>
      </c>
      <c r="C1169" s="5" t="str">
        <f t="shared" si="36"/>
        <v>Mar</v>
      </c>
      <c r="D1169" s="2" t="s">
        <v>627</v>
      </c>
      <c r="E1169" s="2" t="s">
        <v>140</v>
      </c>
      <c r="F1169" s="2" t="s">
        <v>49</v>
      </c>
      <c r="G1169" s="2" t="s">
        <v>106</v>
      </c>
      <c r="H1169" s="2" t="s">
        <v>103</v>
      </c>
      <c r="I1169" s="13">
        <v>12</v>
      </c>
      <c r="J1169" s="10">
        <v>3274.82</v>
      </c>
      <c r="K1169" s="10">
        <f t="shared" si="37"/>
        <v>39297.840000000004</v>
      </c>
      <c r="L1169" s="2">
        <v>0</v>
      </c>
      <c r="M1169" s="2" t="s">
        <v>24</v>
      </c>
      <c r="N1169" s="2" t="s">
        <v>42</v>
      </c>
    </row>
    <row r="1170" spans="1:14" x14ac:dyDescent="0.2">
      <c r="A1170" s="13">
        <v>101248</v>
      </c>
      <c r="B1170" s="5">
        <v>45522</v>
      </c>
      <c r="C1170" s="5" t="str">
        <f t="shared" si="36"/>
        <v>Aug</v>
      </c>
      <c r="D1170" s="2" t="s">
        <v>185</v>
      </c>
      <c r="E1170" s="2" t="s">
        <v>27</v>
      </c>
      <c r="F1170" s="2" t="s">
        <v>133</v>
      </c>
      <c r="G1170" s="2" t="s">
        <v>45</v>
      </c>
      <c r="H1170" s="2" t="s">
        <v>149</v>
      </c>
      <c r="I1170" s="13">
        <v>10</v>
      </c>
      <c r="J1170" s="10">
        <v>21953.98</v>
      </c>
      <c r="K1170" s="10">
        <f t="shared" si="37"/>
        <v>219539.8</v>
      </c>
      <c r="L1170" s="2">
        <v>0.1</v>
      </c>
      <c r="M1170" s="2" t="s">
        <v>83</v>
      </c>
      <c r="N1170" s="2" t="s">
        <v>18</v>
      </c>
    </row>
    <row r="1171" spans="1:14" x14ac:dyDescent="0.2">
      <c r="A1171" s="13">
        <v>100981</v>
      </c>
      <c r="B1171" s="5">
        <v>45480</v>
      </c>
      <c r="C1171" s="5" t="str">
        <f t="shared" si="36"/>
        <v>Jul</v>
      </c>
      <c r="D1171" s="2" t="s">
        <v>667</v>
      </c>
      <c r="E1171" s="2" t="s">
        <v>140</v>
      </c>
      <c r="F1171" s="2" t="s">
        <v>79</v>
      </c>
      <c r="G1171" s="2" t="s">
        <v>22</v>
      </c>
      <c r="H1171" s="2" t="s">
        <v>145</v>
      </c>
      <c r="I1171" s="13">
        <v>9</v>
      </c>
      <c r="J1171" s="10">
        <v>3258.78</v>
      </c>
      <c r="K1171" s="10">
        <f t="shared" si="37"/>
        <v>29329.02</v>
      </c>
      <c r="L1171" s="2">
        <v>0.1</v>
      </c>
      <c r="M1171" s="2" t="s">
        <v>66</v>
      </c>
      <c r="N1171" s="2" t="s">
        <v>25</v>
      </c>
    </row>
    <row r="1172" spans="1:14" x14ac:dyDescent="0.2">
      <c r="A1172" s="13">
        <v>100923</v>
      </c>
      <c r="B1172" s="5">
        <v>45583</v>
      </c>
      <c r="C1172" s="5" t="str">
        <f t="shared" si="36"/>
        <v>Oct</v>
      </c>
      <c r="D1172" s="2" t="s">
        <v>620</v>
      </c>
      <c r="E1172" s="2" t="s">
        <v>140</v>
      </c>
      <c r="F1172" s="2" t="s">
        <v>49</v>
      </c>
      <c r="G1172" s="2" t="s">
        <v>33</v>
      </c>
      <c r="H1172" s="2" t="s">
        <v>158</v>
      </c>
      <c r="I1172" s="13">
        <v>10</v>
      </c>
      <c r="J1172" s="10">
        <v>371.01</v>
      </c>
      <c r="K1172" s="10">
        <f t="shared" si="37"/>
        <v>3710.1</v>
      </c>
      <c r="L1172" s="2">
        <v>0</v>
      </c>
      <c r="M1172" s="2" t="s">
        <v>24</v>
      </c>
      <c r="N1172" s="2" t="s">
        <v>52</v>
      </c>
    </row>
    <row r="1173" spans="1:14" x14ac:dyDescent="0.2">
      <c r="A1173" s="13">
        <v>101500</v>
      </c>
      <c r="B1173" s="5">
        <v>45531</v>
      </c>
      <c r="C1173" s="5" t="str">
        <f t="shared" si="36"/>
        <v>Aug</v>
      </c>
      <c r="D1173" s="2" t="s">
        <v>179</v>
      </c>
      <c r="E1173" s="2" t="s">
        <v>140</v>
      </c>
      <c r="F1173" s="2" t="s">
        <v>79</v>
      </c>
      <c r="G1173" s="2" t="s">
        <v>15</v>
      </c>
      <c r="H1173" s="2" t="s">
        <v>205</v>
      </c>
      <c r="I1173" s="13">
        <v>9</v>
      </c>
      <c r="J1173" s="10">
        <v>17704.400000000001</v>
      </c>
      <c r="K1173" s="10">
        <f t="shared" si="37"/>
        <v>159339.6</v>
      </c>
      <c r="L1173" s="2">
        <v>0.2</v>
      </c>
      <c r="M1173" s="2" t="s">
        <v>41</v>
      </c>
      <c r="N1173" s="2" t="s">
        <v>52</v>
      </c>
    </row>
    <row r="1174" spans="1:14" x14ac:dyDescent="0.2">
      <c r="A1174" s="13">
        <v>101607</v>
      </c>
      <c r="B1174" s="5">
        <v>45493</v>
      </c>
      <c r="C1174" s="5" t="str">
        <f t="shared" si="36"/>
        <v>Jul</v>
      </c>
      <c r="D1174" s="2" t="s">
        <v>609</v>
      </c>
      <c r="E1174" s="2" t="s">
        <v>31</v>
      </c>
      <c r="F1174" s="2" t="s">
        <v>54</v>
      </c>
      <c r="G1174" s="2" t="s">
        <v>33</v>
      </c>
      <c r="H1174" s="2" t="s">
        <v>158</v>
      </c>
      <c r="I1174" s="13">
        <v>2</v>
      </c>
      <c r="J1174" s="10">
        <v>236.97</v>
      </c>
      <c r="K1174" s="10">
        <f t="shared" si="37"/>
        <v>473.94</v>
      </c>
      <c r="L1174" s="2">
        <v>0.25</v>
      </c>
      <c r="M1174" s="2" t="s">
        <v>66</v>
      </c>
      <c r="N1174" s="2" t="s">
        <v>18</v>
      </c>
    </row>
    <row r="1175" spans="1:14" x14ac:dyDescent="0.2">
      <c r="A1175" s="13">
        <v>101433</v>
      </c>
      <c r="B1175" s="5">
        <v>45447</v>
      </c>
      <c r="C1175" s="5" t="str">
        <f t="shared" si="36"/>
        <v>Jun</v>
      </c>
      <c r="D1175" s="2" t="s">
        <v>294</v>
      </c>
      <c r="E1175" s="2" t="s">
        <v>37</v>
      </c>
      <c r="F1175" s="2" t="s">
        <v>69</v>
      </c>
      <c r="G1175" s="2" t="s">
        <v>106</v>
      </c>
      <c r="H1175" s="2" t="s">
        <v>137</v>
      </c>
      <c r="I1175" s="13">
        <v>11</v>
      </c>
      <c r="J1175" s="10">
        <v>3679.59</v>
      </c>
      <c r="K1175" s="10">
        <f t="shared" si="37"/>
        <v>40475.490000000005</v>
      </c>
      <c r="L1175" s="2">
        <v>0.25</v>
      </c>
      <c r="M1175" s="2" t="s">
        <v>41</v>
      </c>
      <c r="N1175" s="2" t="s">
        <v>121</v>
      </c>
    </row>
    <row r="1176" spans="1:14" x14ac:dyDescent="0.2">
      <c r="A1176" s="13">
        <v>101257</v>
      </c>
      <c r="B1176" s="5">
        <v>45298</v>
      </c>
      <c r="C1176" s="5" t="str">
        <f t="shared" si="36"/>
        <v>Jan</v>
      </c>
      <c r="D1176" s="2" t="s">
        <v>319</v>
      </c>
      <c r="E1176" s="2" t="s">
        <v>61</v>
      </c>
      <c r="F1176" s="2" t="s">
        <v>119</v>
      </c>
      <c r="G1176" s="2" t="s">
        <v>33</v>
      </c>
      <c r="H1176" s="2" t="s">
        <v>158</v>
      </c>
      <c r="I1176" s="13">
        <v>11</v>
      </c>
      <c r="J1176" s="10">
        <v>303.76</v>
      </c>
      <c r="K1176" s="10">
        <f t="shared" si="37"/>
        <v>3341.3599999999997</v>
      </c>
      <c r="L1176" s="2">
        <v>0</v>
      </c>
      <c r="M1176" s="2" t="s">
        <v>83</v>
      </c>
      <c r="N1176" s="2" t="s">
        <v>87</v>
      </c>
    </row>
    <row r="1177" spans="1:14" x14ac:dyDescent="0.2">
      <c r="A1177" s="13">
        <v>100816</v>
      </c>
      <c r="B1177" s="5">
        <v>45654</v>
      </c>
      <c r="C1177" s="5" t="str">
        <f t="shared" si="36"/>
        <v>Dec</v>
      </c>
      <c r="D1177" s="2" t="s">
        <v>831</v>
      </c>
      <c r="E1177" s="2" t="s">
        <v>61</v>
      </c>
      <c r="F1177" s="2" t="s">
        <v>14</v>
      </c>
      <c r="G1177" s="2" t="s">
        <v>50</v>
      </c>
      <c r="H1177" s="2" t="s">
        <v>207</v>
      </c>
      <c r="I1177" s="13">
        <v>7</v>
      </c>
      <c r="J1177" s="10">
        <v>8797.5</v>
      </c>
      <c r="K1177" s="10">
        <f t="shared" si="37"/>
        <v>61582.5</v>
      </c>
      <c r="L1177" s="2">
        <v>0</v>
      </c>
      <c r="M1177" s="2" t="s">
        <v>17</v>
      </c>
      <c r="N1177" s="2" t="s">
        <v>87</v>
      </c>
    </row>
    <row r="1178" spans="1:14" x14ac:dyDescent="0.2">
      <c r="A1178" s="13">
        <v>101380</v>
      </c>
      <c r="B1178" s="5">
        <v>45320</v>
      </c>
      <c r="C1178" s="5" t="str">
        <f t="shared" si="36"/>
        <v>Jan</v>
      </c>
      <c r="D1178" s="2" t="s">
        <v>748</v>
      </c>
      <c r="E1178" s="2" t="s">
        <v>27</v>
      </c>
      <c r="F1178" s="2" t="s">
        <v>133</v>
      </c>
      <c r="G1178" s="2" t="s">
        <v>22</v>
      </c>
      <c r="H1178" s="2" t="s">
        <v>145</v>
      </c>
      <c r="I1178" s="13">
        <v>-1</v>
      </c>
      <c r="J1178" s="10">
        <v>2344.9</v>
      </c>
      <c r="K1178" s="10">
        <f t="shared" si="37"/>
        <v>-2344.9</v>
      </c>
      <c r="L1178" s="2">
        <v>0</v>
      </c>
      <c r="M1178" s="2" t="s">
        <v>83</v>
      </c>
      <c r="N1178" s="2" t="s">
        <v>87</v>
      </c>
    </row>
    <row r="1179" spans="1:14" x14ac:dyDescent="0.2">
      <c r="A1179" s="13">
        <v>101305</v>
      </c>
      <c r="B1179" s="5">
        <v>45545</v>
      </c>
      <c r="C1179" s="5" t="str">
        <f t="shared" si="36"/>
        <v>Sep</v>
      </c>
      <c r="D1179" s="2" t="s">
        <v>871</v>
      </c>
      <c r="E1179" s="2" t="s">
        <v>61</v>
      </c>
      <c r="F1179" s="2" t="s">
        <v>14</v>
      </c>
      <c r="G1179" s="2" t="s">
        <v>33</v>
      </c>
      <c r="H1179" s="2" t="s">
        <v>81</v>
      </c>
      <c r="I1179" s="13">
        <v>6</v>
      </c>
      <c r="J1179" s="10">
        <v>280.79000000000002</v>
      </c>
      <c r="K1179" s="10">
        <f t="shared" si="37"/>
        <v>1684.7400000000002</v>
      </c>
      <c r="L1179" s="2">
        <v>0</v>
      </c>
      <c r="M1179" s="2" t="s">
        <v>24</v>
      </c>
      <c r="N1179" s="2" t="s">
        <v>35</v>
      </c>
    </row>
    <row r="1180" spans="1:14" x14ac:dyDescent="0.2">
      <c r="A1180" s="13">
        <v>100680</v>
      </c>
      <c r="B1180" s="5">
        <v>45596</v>
      </c>
      <c r="C1180" s="5" t="str">
        <f t="shared" si="36"/>
        <v>Oct</v>
      </c>
      <c r="D1180" s="2" t="s">
        <v>543</v>
      </c>
      <c r="E1180" s="2" t="s">
        <v>61</v>
      </c>
      <c r="F1180" s="2" t="s">
        <v>14</v>
      </c>
      <c r="G1180" s="2" t="s">
        <v>45</v>
      </c>
      <c r="H1180" s="2" t="s">
        <v>97</v>
      </c>
      <c r="I1180" s="13">
        <v>3</v>
      </c>
      <c r="J1180" s="10">
        <v>19476.63</v>
      </c>
      <c r="K1180" s="10">
        <f t="shared" si="37"/>
        <v>58429.89</v>
      </c>
      <c r="L1180" s="2">
        <v>0</v>
      </c>
      <c r="M1180" s="2" t="s">
        <v>17</v>
      </c>
      <c r="N1180" s="2" t="s">
        <v>18</v>
      </c>
    </row>
    <row r="1181" spans="1:14" x14ac:dyDescent="0.2">
      <c r="A1181" s="13">
        <v>101094</v>
      </c>
      <c r="B1181" s="5">
        <v>45391</v>
      </c>
      <c r="C1181" s="5" t="str">
        <f t="shared" si="36"/>
        <v>Apr</v>
      </c>
      <c r="D1181" s="2" t="s">
        <v>873</v>
      </c>
      <c r="E1181" s="2" t="s">
        <v>61</v>
      </c>
      <c r="F1181" s="2" t="s">
        <v>119</v>
      </c>
      <c r="G1181" s="2" t="s">
        <v>15</v>
      </c>
      <c r="H1181" s="2" t="s">
        <v>152</v>
      </c>
      <c r="I1181" s="13">
        <v>5</v>
      </c>
      <c r="J1181" s="10">
        <v>9706.34</v>
      </c>
      <c r="K1181" s="10">
        <f t="shared" si="37"/>
        <v>48531.7</v>
      </c>
      <c r="L1181" s="2">
        <v>0</v>
      </c>
      <c r="M1181" s="2" t="s">
        <v>41</v>
      </c>
      <c r="N1181" s="2" t="s">
        <v>25</v>
      </c>
    </row>
    <row r="1182" spans="1:14" x14ac:dyDescent="0.2">
      <c r="A1182" s="13">
        <v>100081</v>
      </c>
      <c r="B1182" s="5">
        <v>45605</v>
      </c>
      <c r="C1182" s="5" t="str">
        <f t="shared" si="36"/>
        <v>Nov</v>
      </c>
      <c r="D1182" s="2" t="s">
        <v>874</v>
      </c>
      <c r="E1182" s="2" t="s">
        <v>31</v>
      </c>
      <c r="F1182" s="2" t="s">
        <v>32</v>
      </c>
      <c r="G1182" s="2" t="s">
        <v>22</v>
      </c>
      <c r="H1182" s="2" t="s">
        <v>23</v>
      </c>
      <c r="I1182" s="13">
        <v>9</v>
      </c>
      <c r="J1182" s="10">
        <v>1794.92</v>
      </c>
      <c r="K1182" s="10">
        <f t="shared" si="37"/>
        <v>16154.28</v>
      </c>
      <c r="L1182" s="2">
        <v>0</v>
      </c>
      <c r="M1182" s="2" t="s">
        <v>29</v>
      </c>
      <c r="N1182" s="2" t="s">
        <v>42</v>
      </c>
    </row>
    <row r="1183" spans="1:14" x14ac:dyDescent="0.2">
      <c r="A1183" s="13">
        <v>101780</v>
      </c>
      <c r="B1183" s="5">
        <v>45572</v>
      </c>
      <c r="C1183" s="5" t="str">
        <f t="shared" si="36"/>
        <v>Oct</v>
      </c>
      <c r="D1183" s="2" t="s">
        <v>100</v>
      </c>
      <c r="E1183" s="2" t="s">
        <v>37</v>
      </c>
      <c r="F1183" s="2" t="s">
        <v>38</v>
      </c>
      <c r="G1183" s="2" t="s">
        <v>45</v>
      </c>
      <c r="H1183" s="2" t="s">
        <v>153</v>
      </c>
      <c r="I1183" s="13">
        <v>3</v>
      </c>
      <c r="J1183" s="10">
        <v>10737.02</v>
      </c>
      <c r="K1183" s="10">
        <f t="shared" si="37"/>
        <v>32211.06</v>
      </c>
      <c r="L1183" s="2">
        <v>0</v>
      </c>
      <c r="M1183" s="2" t="s">
        <v>66</v>
      </c>
      <c r="N1183" s="2" t="s">
        <v>143</v>
      </c>
    </row>
    <row r="1184" spans="1:14" x14ac:dyDescent="0.2">
      <c r="A1184" s="13">
        <v>101738</v>
      </c>
      <c r="B1184" s="5">
        <v>45325</v>
      </c>
      <c r="C1184" s="5" t="str">
        <f t="shared" si="36"/>
        <v>Feb</v>
      </c>
      <c r="D1184" s="2" t="s">
        <v>123</v>
      </c>
      <c r="E1184" s="2" t="s">
        <v>61</v>
      </c>
      <c r="F1184" s="2" t="s">
        <v>119</v>
      </c>
      <c r="G1184" s="2" t="s">
        <v>22</v>
      </c>
      <c r="H1184" s="2" t="s">
        <v>23</v>
      </c>
      <c r="I1184" s="13">
        <v>11</v>
      </c>
      <c r="J1184" s="10">
        <v>3462.14</v>
      </c>
      <c r="K1184" s="10">
        <f t="shared" si="37"/>
        <v>38083.54</v>
      </c>
      <c r="L1184" s="2">
        <v>0</v>
      </c>
      <c r="M1184" s="2" t="s">
        <v>17</v>
      </c>
      <c r="N1184" s="2" t="s">
        <v>87</v>
      </c>
    </row>
    <row r="1185" spans="1:14" x14ac:dyDescent="0.2">
      <c r="A1185" s="13">
        <v>101550</v>
      </c>
      <c r="B1185" s="5">
        <v>45451</v>
      </c>
      <c r="C1185" s="5" t="str">
        <f t="shared" si="36"/>
        <v>Jun</v>
      </c>
      <c r="D1185" s="2" t="s">
        <v>217</v>
      </c>
      <c r="E1185" s="2" t="s">
        <v>61</v>
      </c>
      <c r="F1185" s="2" t="s">
        <v>14</v>
      </c>
      <c r="G1185" s="2" t="s">
        <v>64</v>
      </c>
      <c r="H1185" s="2" t="s">
        <v>292</v>
      </c>
      <c r="I1185" s="13">
        <v>3</v>
      </c>
      <c r="J1185" s="10">
        <v>373.76</v>
      </c>
      <c r="K1185" s="10">
        <f t="shared" si="37"/>
        <v>1121.28</v>
      </c>
      <c r="L1185" s="2">
        <v>0.2</v>
      </c>
      <c r="M1185" s="2" t="s">
        <v>41</v>
      </c>
      <c r="N1185" s="2" t="s">
        <v>18</v>
      </c>
    </row>
    <row r="1186" spans="1:14" x14ac:dyDescent="0.2">
      <c r="A1186" s="13">
        <v>100753</v>
      </c>
      <c r="B1186" s="5">
        <v>45644</v>
      </c>
      <c r="C1186" s="5" t="str">
        <f t="shared" si="36"/>
        <v>Dec</v>
      </c>
      <c r="D1186" s="2" t="s">
        <v>809</v>
      </c>
      <c r="E1186" s="2" t="s">
        <v>31</v>
      </c>
      <c r="F1186" s="2" t="s">
        <v>32</v>
      </c>
      <c r="G1186" s="2" t="s">
        <v>64</v>
      </c>
      <c r="H1186" s="2" t="s">
        <v>165</v>
      </c>
      <c r="I1186" s="13">
        <v>7</v>
      </c>
      <c r="J1186" s="10">
        <v>899.53</v>
      </c>
      <c r="K1186" s="10">
        <f t="shared" si="37"/>
        <v>6296.71</v>
      </c>
      <c r="L1186" s="2">
        <v>0</v>
      </c>
      <c r="M1186" s="2" t="s">
        <v>66</v>
      </c>
      <c r="N1186" s="2" t="s">
        <v>25</v>
      </c>
    </row>
    <row r="1187" spans="1:14" x14ac:dyDescent="0.2">
      <c r="A1187" s="13">
        <v>101333</v>
      </c>
      <c r="B1187" s="5">
        <v>45635</v>
      </c>
      <c r="C1187" s="5" t="str">
        <f t="shared" si="36"/>
        <v>Dec</v>
      </c>
      <c r="D1187" s="2" t="s">
        <v>245</v>
      </c>
      <c r="E1187" s="2" t="s">
        <v>31</v>
      </c>
      <c r="F1187" s="2" t="s">
        <v>54</v>
      </c>
      <c r="G1187" s="2" t="s">
        <v>64</v>
      </c>
      <c r="H1187" s="2" t="s">
        <v>292</v>
      </c>
      <c r="I1187" s="13">
        <v>11</v>
      </c>
      <c r="J1187" s="10">
        <v>669.58</v>
      </c>
      <c r="K1187" s="10">
        <f t="shared" si="37"/>
        <v>7365.38</v>
      </c>
      <c r="L1187" s="2">
        <v>0.05</v>
      </c>
      <c r="M1187" s="2" t="s">
        <v>24</v>
      </c>
      <c r="N1187" s="2" t="s">
        <v>35</v>
      </c>
    </row>
    <row r="1188" spans="1:14" x14ac:dyDescent="0.2">
      <c r="A1188" s="13">
        <v>101055</v>
      </c>
      <c r="B1188" s="5">
        <v>45569</v>
      </c>
      <c r="C1188" s="5" t="str">
        <f t="shared" si="36"/>
        <v>Oct</v>
      </c>
      <c r="D1188" s="2" t="s">
        <v>867</v>
      </c>
      <c r="E1188" s="2" t="s">
        <v>140</v>
      </c>
      <c r="F1188" s="2" t="s">
        <v>79</v>
      </c>
      <c r="G1188" s="2" t="s">
        <v>106</v>
      </c>
      <c r="H1188" s="2" t="s">
        <v>103</v>
      </c>
      <c r="I1188" s="13">
        <v>1</v>
      </c>
      <c r="J1188" s="10">
        <v>3023.24</v>
      </c>
      <c r="K1188" s="10">
        <f t="shared" si="37"/>
        <v>3023.24</v>
      </c>
      <c r="L1188" s="2">
        <v>0</v>
      </c>
      <c r="M1188" s="2" t="s">
        <v>24</v>
      </c>
      <c r="N1188" s="2" t="s">
        <v>121</v>
      </c>
    </row>
    <row r="1189" spans="1:14" x14ac:dyDescent="0.2">
      <c r="A1189" s="13">
        <v>100243</v>
      </c>
      <c r="B1189" s="5">
        <v>45636</v>
      </c>
      <c r="C1189" s="5" t="str">
        <f t="shared" si="36"/>
        <v>Dec</v>
      </c>
      <c r="D1189" s="2" t="s">
        <v>157</v>
      </c>
      <c r="E1189" s="2" t="s">
        <v>27</v>
      </c>
      <c r="F1189" s="2" t="s">
        <v>133</v>
      </c>
      <c r="G1189" s="2" t="s">
        <v>64</v>
      </c>
      <c r="H1189" s="2" t="s">
        <v>242</v>
      </c>
      <c r="I1189" s="13">
        <v>10</v>
      </c>
      <c r="J1189" s="10">
        <v>124.63</v>
      </c>
      <c r="K1189" s="10">
        <f t="shared" si="37"/>
        <v>1246.3</v>
      </c>
      <c r="L1189" s="2">
        <v>0.2</v>
      </c>
      <c r="M1189" s="2" t="s">
        <v>17</v>
      </c>
      <c r="N1189" s="2" t="s">
        <v>42</v>
      </c>
    </row>
    <row r="1190" spans="1:14" x14ac:dyDescent="0.2">
      <c r="A1190" s="13">
        <v>101355</v>
      </c>
      <c r="B1190" s="5">
        <v>45585</v>
      </c>
      <c r="C1190" s="5" t="str">
        <f t="shared" si="36"/>
        <v>Oct</v>
      </c>
      <c r="D1190" s="2" t="s">
        <v>877</v>
      </c>
      <c r="E1190" s="2" t="s">
        <v>31</v>
      </c>
      <c r="F1190" s="2" t="s">
        <v>54</v>
      </c>
      <c r="G1190" s="2" t="s">
        <v>106</v>
      </c>
      <c r="H1190" s="2" t="s">
        <v>156</v>
      </c>
      <c r="I1190" s="13">
        <v>-2</v>
      </c>
      <c r="J1190" s="10">
        <v>1723.11</v>
      </c>
      <c r="K1190" s="10">
        <f t="shared" si="37"/>
        <v>-3446.22</v>
      </c>
      <c r="L1190" s="2">
        <v>0</v>
      </c>
      <c r="M1190" s="2" t="s">
        <v>83</v>
      </c>
      <c r="N1190" s="2" t="s">
        <v>35</v>
      </c>
    </row>
    <row r="1191" spans="1:14" x14ac:dyDescent="0.2">
      <c r="A1191" s="13">
        <v>100642</v>
      </c>
      <c r="B1191" s="5">
        <v>45459</v>
      </c>
      <c r="C1191" s="5" t="str">
        <f t="shared" si="36"/>
        <v>Jun</v>
      </c>
      <c r="D1191" s="2" t="s">
        <v>878</v>
      </c>
      <c r="E1191" s="2" t="s">
        <v>31</v>
      </c>
      <c r="F1191" s="2" t="s">
        <v>32</v>
      </c>
      <c r="G1191" s="2" t="s">
        <v>50</v>
      </c>
      <c r="H1191" s="2" t="s">
        <v>51</v>
      </c>
      <c r="I1191" s="13">
        <v>10</v>
      </c>
      <c r="J1191" s="10">
        <v>8538.15</v>
      </c>
      <c r="K1191" s="10">
        <f t="shared" si="37"/>
        <v>85381.5</v>
      </c>
      <c r="L1191" s="2">
        <v>0</v>
      </c>
      <c r="M1191" s="2" t="s">
        <v>41</v>
      </c>
      <c r="N1191" s="2" t="s">
        <v>121</v>
      </c>
    </row>
    <row r="1192" spans="1:14" x14ac:dyDescent="0.2">
      <c r="A1192" s="13">
        <v>100697</v>
      </c>
      <c r="B1192" s="5">
        <v>45330</v>
      </c>
      <c r="C1192" s="5" t="str">
        <f t="shared" si="36"/>
        <v>Feb</v>
      </c>
      <c r="D1192" s="2" t="s">
        <v>820</v>
      </c>
      <c r="E1192" s="2" t="s">
        <v>27</v>
      </c>
      <c r="F1192" s="2" t="s">
        <v>21</v>
      </c>
      <c r="G1192" s="2" t="s">
        <v>33</v>
      </c>
      <c r="H1192" s="2" t="s">
        <v>158</v>
      </c>
      <c r="I1192" s="13">
        <v>7</v>
      </c>
      <c r="J1192" s="10">
        <v>0</v>
      </c>
      <c r="K1192" s="10">
        <f t="shared" si="37"/>
        <v>0</v>
      </c>
      <c r="L1192" s="2">
        <v>0.25</v>
      </c>
      <c r="M1192" s="2" t="s">
        <v>66</v>
      </c>
      <c r="N1192" s="2" t="s">
        <v>18</v>
      </c>
    </row>
    <row r="1193" spans="1:14" x14ac:dyDescent="0.2">
      <c r="A1193" s="13">
        <v>100210</v>
      </c>
      <c r="B1193" s="5">
        <v>45600</v>
      </c>
      <c r="C1193" s="5" t="str">
        <f t="shared" si="36"/>
        <v>Nov</v>
      </c>
      <c r="D1193" s="2" t="s">
        <v>711</v>
      </c>
      <c r="E1193" s="2" t="s">
        <v>140</v>
      </c>
      <c r="F1193" s="2" t="s">
        <v>79</v>
      </c>
      <c r="G1193" s="2" t="s">
        <v>64</v>
      </c>
      <c r="H1193" s="2" t="s">
        <v>242</v>
      </c>
      <c r="I1193" s="13"/>
      <c r="J1193" s="10">
        <v>625.38</v>
      </c>
      <c r="K1193" s="10">
        <f t="shared" si="37"/>
        <v>0</v>
      </c>
      <c r="L1193" s="2">
        <v>0</v>
      </c>
      <c r="M1193" s="2" t="s">
        <v>83</v>
      </c>
      <c r="N1193" s="2" t="s">
        <v>42</v>
      </c>
    </row>
    <row r="1194" spans="1:14" x14ac:dyDescent="0.2">
      <c r="A1194" s="13">
        <v>100771</v>
      </c>
      <c r="B1194" s="5">
        <v>45361</v>
      </c>
      <c r="C1194" s="5" t="str">
        <f t="shared" si="36"/>
        <v>Mar</v>
      </c>
      <c r="D1194" s="2" t="s">
        <v>150</v>
      </c>
      <c r="E1194" s="2" t="s">
        <v>140</v>
      </c>
      <c r="F1194" s="2" t="s">
        <v>79</v>
      </c>
      <c r="G1194" s="2" t="s">
        <v>33</v>
      </c>
      <c r="H1194" s="2" t="s">
        <v>34</v>
      </c>
      <c r="I1194" s="13">
        <v>2</v>
      </c>
      <c r="J1194" s="10">
        <v>373.67</v>
      </c>
      <c r="K1194" s="10">
        <f t="shared" si="37"/>
        <v>747.34</v>
      </c>
      <c r="L1194" s="2">
        <v>0.15</v>
      </c>
      <c r="M1194" s="2" t="s">
        <v>29</v>
      </c>
      <c r="N1194" s="2" t="s">
        <v>52</v>
      </c>
    </row>
    <row r="1195" spans="1:14" x14ac:dyDescent="0.2">
      <c r="A1195" s="13">
        <v>101774</v>
      </c>
      <c r="B1195" s="5">
        <v>45418</v>
      </c>
      <c r="C1195" s="5" t="str">
        <f t="shared" si="36"/>
        <v>May</v>
      </c>
      <c r="D1195" s="2" t="s">
        <v>585</v>
      </c>
      <c r="E1195" s="2" t="s">
        <v>31</v>
      </c>
      <c r="F1195" s="2" t="s">
        <v>54</v>
      </c>
      <c r="G1195" s="2" t="s">
        <v>50</v>
      </c>
      <c r="H1195" s="2" t="s">
        <v>62</v>
      </c>
      <c r="I1195" s="13">
        <v>3</v>
      </c>
      <c r="J1195" s="10">
        <v>5494.63</v>
      </c>
      <c r="K1195" s="10">
        <f t="shared" si="37"/>
        <v>16483.89</v>
      </c>
      <c r="L1195" s="2">
        <v>0.2</v>
      </c>
      <c r="M1195" s="2" t="s">
        <v>17</v>
      </c>
      <c r="N1195" s="2" t="s">
        <v>52</v>
      </c>
    </row>
    <row r="1196" spans="1:14" x14ac:dyDescent="0.2">
      <c r="A1196" s="13">
        <v>100436</v>
      </c>
      <c r="B1196" s="5">
        <v>45513</v>
      </c>
      <c r="C1196" s="5" t="str">
        <f t="shared" si="36"/>
        <v>Aug</v>
      </c>
      <c r="D1196" s="2" t="s">
        <v>951</v>
      </c>
      <c r="E1196" s="2" t="s">
        <v>31</v>
      </c>
      <c r="F1196" s="2" t="s">
        <v>54</v>
      </c>
      <c r="G1196" s="2" t="s">
        <v>33</v>
      </c>
      <c r="H1196" s="2" t="s">
        <v>158</v>
      </c>
      <c r="I1196" s="13">
        <v>11</v>
      </c>
      <c r="J1196" s="10">
        <v>221.62</v>
      </c>
      <c r="K1196" s="10">
        <f t="shared" si="37"/>
        <v>2437.8200000000002</v>
      </c>
      <c r="L1196" s="2">
        <v>0.15</v>
      </c>
      <c r="M1196" s="2" t="s">
        <v>29</v>
      </c>
      <c r="N1196" s="2" t="s">
        <v>18</v>
      </c>
    </row>
    <row r="1197" spans="1:14" x14ac:dyDescent="0.2">
      <c r="A1197" s="13">
        <v>101064</v>
      </c>
      <c r="B1197" s="5">
        <v>45432</v>
      </c>
      <c r="C1197" s="5" t="str">
        <f t="shared" si="36"/>
        <v>May</v>
      </c>
      <c r="D1197" s="2" t="s">
        <v>669</v>
      </c>
      <c r="E1197" s="2" t="s">
        <v>37</v>
      </c>
      <c r="F1197" s="2" t="s">
        <v>38</v>
      </c>
      <c r="G1197" s="2" t="s">
        <v>22</v>
      </c>
      <c r="H1197" s="2" t="s">
        <v>232</v>
      </c>
      <c r="I1197" s="13">
        <v>5</v>
      </c>
      <c r="J1197" s="10">
        <v>1189.9000000000001</v>
      </c>
      <c r="K1197" s="10">
        <f t="shared" si="37"/>
        <v>5949.5</v>
      </c>
      <c r="L1197" s="2">
        <v>0</v>
      </c>
      <c r="M1197" s="2" t="s">
        <v>17</v>
      </c>
      <c r="N1197" s="2" t="s">
        <v>121</v>
      </c>
    </row>
    <row r="1198" spans="1:14" x14ac:dyDescent="0.2">
      <c r="A1198" s="13">
        <v>100975</v>
      </c>
      <c r="B1198" s="5">
        <v>45475</v>
      </c>
      <c r="C1198" s="5" t="str">
        <f t="shared" si="36"/>
        <v>Jul</v>
      </c>
      <c r="D1198" s="2" t="s">
        <v>326</v>
      </c>
      <c r="E1198" s="2" t="s">
        <v>27</v>
      </c>
      <c r="F1198" s="2" t="s">
        <v>133</v>
      </c>
      <c r="G1198" s="2" t="s">
        <v>64</v>
      </c>
      <c r="H1198" s="2" t="s">
        <v>242</v>
      </c>
      <c r="I1198" s="13">
        <v>1</v>
      </c>
      <c r="J1198" s="10">
        <v>97.68</v>
      </c>
      <c r="K1198" s="10">
        <f t="shared" si="37"/>
        <v>97.68</v>
      </c>
      <c r="L1198" s="2">
        <v>0.05</v>
      </c>
      <c r="M1198" s="2" t="s">
        <v>66</v>
      </c>
      <c r="N1198" s="2" t="s">
        <v>143</v>
      </c>
    </row>
    <row r="1199" spans="1:14" x14ac:dyDescent="0.2">
      <c r="A1199" s="13">
        <v>100552</v>
      </c>
      <c r="B1199" s="5">
        <v>45375</v>
      </c>
      <c r="C1199" s="5" t="str">
        <f t="shared" si="36"/>
        <v>Mar</v>
      </c>
      <c r="D1199" s="2" t="s">
        <v>771</v>
      </c>
      <c r="E1199" s="2" t="s">
        <v>61</v>
      </c>
      <c r="F1199" s="2" t="s">
        <v>119</v>
      </c>
      <c r="G1199" s="2" t="s">
        <v>45</v>
      </c>
      <c r="H1199" s="2" t="s">
        <v>46</v>
      </c>
      <c r="I1199" s="13">
        <v>1</v>
      </c>
      <c r="J1199" s="10">
        <v>33235.440000000002</v>
      </c>
      <c r="K1199" s="10">
        <f t="shared" si="37"/>
        <v>33235.440000000002</v>
      </c>
      <c r="L1199" s="2">
        <v>0.05</v>
      </c>
      <c r="M1199" s="2" t="s">
        <v>83</v>
      </c>
      <c r="N1199" s="2" t="s">
        <v>143</v>
      </c>
    </row>
    <row r="1200" spans="1:14" x14ac:dyDescent="0.2">
      <c r="A1200" s="13">
        <v>101410</v>
      </c>
      <c r="B1200" s="5">
        <v>45350</v>
      </c>
      <c r="C1200" s="5" t="str">
        <f t="shared" si="36"/>
        <v>Feb</v>
      </c>
      <c r="D1200" s="2" t="s">
        <v>882</v>
      </c>
      <c r="E1200" s="2" t="s">
        <v>37</v>
      </c>
      <c r="F1200" s="2" t="s">
        <v>38</v>
      </c>
      <c r="G1200" s="2" t="s">
        <v>45</v>
      </c>
      <c r="H1200" s="2" t="s">
        <v>153</v>
      </c>
      <c r="I1200" s="13">
        <v>1</v>
      </c>
      <c r="J1200" s="10">
        <v>36401.86</v>
      </c>
      <c r="K1200" s="10">
        <f t="shared" si="37"/>
        <v>36401.86</v>
      </c>
      <c r="L1200" s="2">
        <v>0</v>
      </c>
      <c r="M1200" s="2" t="s">
        <v>66</v>
      </c>
      <c r="N1200" s="2" t="s">
        <v>42</v>
      </c>
    </row>
    <row r="1201" spans="1:14" x14ac:dyDescent="0.2">
      <c r="A1201" s="13">
        <v>101523</v>
      </c>
      <c r="B1201" s="5">
        <v>45375</v>
      </c>
      <c r="C1201" s="5" t="str">
        <f t="shared" si="36"/>
        <v>Mar</v>
      </c>
      <c r="D1201" s="2" t="s">
        <v>452</v>
      </c>
      <c r="E1201" s="2" t="s">
        <v>140</v>
      </c>
      <c r="F1201" s="2" t="s">
        <v>49</v>
      </c>
      <c r="G1201" s="2" t="s">
        <v>50</v>
      </c>
      <c r="H1201" s="2" t="s">
        <v>99</v>
      </c>
      <c r="I1201" s="13">
        <v>3</v>
      </c>
      <c r="J1201" s="10">
        <v>4888.34</v>
      </c>
      <c r="K1201" s="10">
        <f t="shared" si="37"/>
        <v>14665.02</v>
      </c>
      <c r="L1201" s="2">
        <v>0.2</v>
      </c>
      <c r="M1201" s="2" t="s">
        <v>29</v>
      </c>
      <c r="N1201" s="2" t="s">
        <v>25</v>
      </c>
    </row>
    <row r="1202" spans="1:14" x14ac:dyDescent="0.2">
      <c r="A1202" s="13">
        <v>101014</v>
      </c>
      <c r="B1202" s="5">
        <v>45585</v>
      </c>
      <c r="C1202" s="5" t="str">
        <f t="shared" si="36"/>
        <v>Oct</v>
      </c>
      <c r="D1202" s="2" t="s">
        <v>502</v>
      </c>
      <c r="E1202" s="2" t="s">
        <v>27</v>
      </c>
      <c r="F1202" s="2" t="s">
        <v>133</v>
      </c>
      <c r="G1202" s="2" t="s">
        <v>33</v>
      </c>
      <c r="H1202" s="2" t="s">
        <v>158</v>
      </c>
      <c r="I1202" s="13">
        <v>12</v>
      </c>
      <c r="J1202" s="10">
        <v>111.98</v>
      </c>
      <c r="K1202" s="10">
        <f t="shared" si="37"/>
        <v>1343.76</v>
      </c>
      <c r="L1202" s="2">
        <v>0.2</v>
      </c>
      <c r="M1202" s="2" t="s">
        <v>66</v>
      </c>
      <c r="N1202" s="2" t="s">
        <v>35</v>
      </c>
    </row>
    <row r="1203" spans="1:14" x14ac:dyDescent="0.2">
      <c r="A1203" s="13">
        <v>101906</v>
      </c>
      <c r="B1203" s="5">
        <v>45329</v>
      </c>
      <c r="C1203" s="5" t="str">
        <f t="shared" si="36"/>
        <v>Feb</v>
      </c>
      <c r="D1203" s="2" t="s">
        <v>654</v>
      </c>
      <c r="E1203" s="2" t="s">
        <v>37</v>
      </c>
      <c r="F1203" s="2" t="s">
        <v>69</v>
      </c>
      <c r="G1203" s="2" t="s">
        <v>106</v>
      </c>
      <c r="H1203" s="2" t="s">
        <v>103</v>
      </c>
      <c r="I1203" s="13">
        <v>9</v>
      </c>
      <c r="J1203" s="10">
        <v>4231.1099999999997</v>
      </c>
      <c r="K1203" s="10">
        <f t="shared" si="37"/>
        <v>38079.99</v>
      </c>
      <c r="L1203" s="2">
        <v>0.2</v>
      </c>
      <c r="M1203" s="2" t="s">
        <v>17</v>
      </c>
      <c r="N1203" s="2" t="s">
        <v>143</v>
      </c>
    </row>
    <row r="1204" spans="1:14" x14ac:dyDescent="0.2">
      <c r="A1204" s="13">
        <v>100467</v>
      </c>
      <c r="B1204" s="5">
        <v>45521</v>
      </c>
      <c r="C1204" s="5" t="str">
        <f t="shared" si="36"/>
        <v>Aug</v>
      </c>
      <c r="D1204" s="2" t="s">
        <v>293</v>
      </c>
      <c r="E1204" s="2" t="s">
        <v>37</v>
      </c>
      <c r="F1204" s="2" t="s">
        <v>69</v>
      </c>
      <c r="G1204" s="2" t="s">
        <v>22</v>
      </c>
      <c r="H1204" s="2" t="s">
        <v>23</v>
      </c>
      <c r="I1204" s="13">
        <v>7</v>
      </c>
      <c r="J1204" s="10">
        <v>2567.88</v>
      </c>
      <c r="K1204" s="10">
        <f t="shared" si="37"/>
        <v>17975.16</v>
      </c>
      <c r="L1204" s="2">
        <v>0.2</v>
      </c>
      <c r="M1204" s="2" t="s">
        <v>17</v>
      </c>
      <c r="N1204" s="2" t="s">
        <v>25</v>
      </c>
    </row>
    <row r="1205" spans="1:14" x14ac:dyDescent="0.2">
      <c r="A1205" s="13">
        <v>101491</v>
      </c>
      <c r="B1205" s="5">
        <v>45572</v>
      </c>
      <c r="C1205" s="5" t="str">
        <f t="shared" si="36"/>
        <v>Oct</v>
      </c>
      <c r="D1205" s="2" t="s">
        <v>884</v>
      </c>
      <c r="E1205" s="2" t="s">
        <v>140</v>
      </c>
      <c r="F1205" s="2" t="s">
        <v>49</v>
      </c>
      <c r="G1205" s="2" t="s">
        <v>106</v>
      </c>
      <c r="H1205" s="2" t="s">
        <v>137</v>
      </c>
      <c r="I1205" s="13">
        <v>2</v>
      </c>
      <c r="J1205" s="10">
        <v>3030.09</v>
      </c>
      <c r="K1205" s="10">
        <f t="shared" si="37"/>
        <v>6060.18</v>
      </c>
      <c r="L1205" s="2">
        <v>0</v>
      </c>
      <c r="M1205" s="2" t="s">
        <v>66</v>
      </c>
      <c r="N1205" s="2" t="s">
        <v>25</v>
      </c>
    </row>
    <row r="1206" spans="1:14" x14ac:dyDescent="0.2">
      <c r="A1206" s="13">
        <v>101320</v>
      </c>
      <c r="B1206" s="5">
        <v>45409</v>
      </c>
      <c r="C1206" s="5" t="str">
        <f t="shared" si="36"/>
        <v>Apr</v>
      </c>
      <c r="D1206" s="2" t="s">
        <v>533</v>
      </c>
      <c r="E1206" s="2" t="s">
        <v>140</v>
      </c>
      <c r="F1206" s="2" t="s">
        <v>79</v>
      </c>
      <c r="G1206" s="2" t="s">
        <v>64</v>
      </c>
      <c r="H1206" s="2" t="s">
        <v>292</v>
      </c>
      <c r="I1206" s="13">
        <v>9</v>
      </c>
      <c r="J1206" s="10">
        <v>226</v>
      </c>
      <c r="K1206" s="10">
        <f t="shared" si="37"/>
        <v>2034</v>
      </c>
      <c r="L1206" s="2">
        <v>0.1</v>
      </c>
      <c r="M1206" s="2" t="s">
        <v>17</v>
      </c>
      <c r="N1206" s="2" t="s">
        <v>35</v>
      </c>
    </row>
    <row r="1207" spans="1:14" x14ac:dyDescent="0.2">
      <c r="A1207" s="13">
        <v>100278</v>
      </c>
      <c r="B1207" s="5">
        <v>45362</v>
      </c>
      <c r="C1207" s="5" t="str">
        <f t="shared" si="36"/>
        <v>Mar</v>
      </c>
      <c r="D1207" s="2" t="s">
        <v>360</v>
      </c>
      <c r="E1207" s="2" t="s">
        <v>31</v>
      </c>
      <c r="F1207" s="2" t="s">
        <v>54</v>
      </c>
      <c r="G1207" s="2" t="s">
        <v>15</v>
      </c>
      <c r="H1207" s="2" t="s">
        <v>116</v>
      </c>
      <c r="I1207" s="13">
        <v>7</v>
      </c>
      <c r="J1207" s="10">
        <v>6104.17</v>
      </c>
      <c r="K1207" s="10">
        <f t="shared" si="37"/>
        <v>42729.19</v>
      </c>
      <c r="L1207" s="2">
        <v>0.25</v>
      </c>
      <c r="M1207" s="2" t="s">
        <v>24</v>
      </c>
      <c r="N1207" s="2" t="s">
        <v>121</v>
      </c>
    </row>
    <row r="1208" spans="1:14" x14ac:dyDescent="0.2">
      <c r="A1208" s="13">
        <v>101070</v>
      </c>
      <c r="B1208" s="5">
        <v>45624</v>
      </c>
      <c r="C1208" s="5" t="str">
        <f t="shared" si="36"/>
        <v>Nov</v>
      </c>
      <c r="D1208" s="2" t="s">
        <v>1069</v>
      </c>
      <c r="E1208" s="2" t="s">
        <v>140</v>
      </c>
      <c r="F1208" s="2" t="s">
        <v>49</v>
      </c>
      <c r="G1208" s="2" t="s">
        <v>50</v>
      </c>
      <c r="H1208" s="2" t="s">
        <v>51</v>
      </c>
      <c r="I1208" s="13">
        <v>1</v>
      </c>
      <c r="J1208" s="10">
        <v>3100.86</v>
      </c>
      <c r="K1208" s="10">
        <f t="shared" si="37"/>
        <v>3100.86</v>
      </c>
      <c r="L1208" s="2">
        <v>0.1</v>
      </c>
      <c r="M1208" s="2" t="s">
        <v>24</v>
      </c>
      <c r="N1208" s="2" t="s">
        <v>143</v>
      </c>
    </row>
    <row r="1209" spans="1:14" x14ac:dyDescent="0.2">
      <c r="A1209" s="13">
        <v>101018</v>
      </c>
      <c r="B1209" s="5">
        <v>45461</v>
      </c>
      <c r="C1209" s="5" t="str">
        <f t="shared" si="36"/>
        <v>Jun</v>
      </c>
      <c r="D1209" s="2" t="s">
        <v>499</v>
      </c>
      <c r="E1209" s="2" t="s">
        <v>31</v>
      </c>
      <c r="F1209" s="2" t="s">
        <v>32</v>
      </c>
      <c r="G1209" s="2" t="s">
        <v>64</v>
      </c>
      <c r="H1209" s="2" t="s">
        <v>40</v>
      </c>
      <c r="I1209" s="13">
        <v>9</v>
      </c>
      <c r="J1209" s="10">
        <v>189.72</v>
      </c>
      <c r="K1209" s="10">
        <f t="shared" si="37"/>
        <v>1707.48</v>
      </c>
      <c r="L1209" s="2">
        <v>0.2</v>
      </c>
      <c r="M1209" s="2" t="s">
        <v>66</v>
      </c>
      <c r="N1209" s="2" t="s">
        <v>121</v>
      </c>
    </row>
    <row r="1210" spans="1:14" x14ac:dyDescent="0.2">
      <c r="A1210" s="13">
        <v>101356</v>
      </c>
      <c r="B1210" s="5">
        <v>45460</v>
      </c>
      <c r="C1210" s="5" t="str">
        <f t="shared" si="36"/>
        <v>Jun</v>
      </c>
      <c r="D1210" s="2" t="s">
        <v>331</v>
      </c>
      <c r="E1210" s="2" t="s">
        <v>27</v>
      </c>
      <c r="F1210" s="2" t="s">
        <v>21</v>
      </c>
      <c r="G1210" s="2" t="s">
        <v>15</v>
      </c>
      <c r="H1210" s="2" t="s">
        <v>152</v>
      </c>
      <c r="I1210" s="13">
        <v>11</v>
      </c>
      <c r="J1210" s="10">
        <v>23487.84</v>
      </c>
      <c r="K1210" s="10">
        <f t="shared" si="37"/>
        <v>258366.24</v>
      </c>
      <c r="L1210" s="2">
        <v>0</v>
      </c>
      <c r="M1210" s="2" t="s">
        <v>24</v>
      </c>
      <c r="N1210" s="2" t="s">
        <v>52</v>
      </c>
    </row>
    <row r="1211" spans="1:14" x14ac:dyDescent="0.2">
      <c r="A1211" s="13">
        <v>100723</v>
      </c>
      <c r="B1211" s="5">
        <v>45406</v>
      </c>
      <c r="C1211" s="5" t="str">
        <f t="shared" si="36"/>
        <v>Apr</v>
      </c>
      <c r="D1211" s="2" t="s">
        <v>390</v>
      </c>
      <c r="E1211" s="2" t="s">
        <v>31</v>
      </c>
      <c r="F1211" s="2" t="s">
        <v>54</v>
      </c>
      <c r="G1211" s="2" t="s">
        <v>22</v>
      </c>
      <c r="H1211" s="2" t="s">
        <v>23</v>
      </c>
      <c r="I1211" s="13">
        <v>12</v>
      </c>
      <c r="J1211" s="10">
        <v>3422.9</v>
      </c>
      <c r="K1211" s="10">
        <f t="shared" si="37"/>
        <v>41074.800000000003</v>
      </c>
      <c r="L1211" s="2">
        <v>0.1</v>
      </c>
      <c r="M1211" s="2" t="s">
        <v>41</v>
      </c>
      <c r="N1211" s="2" t="s">
        <v>52</v>
      </c>
    </row>
    <row r="1212" spans="1:14" x14ac:dyDescent="0.2">
      <c r="A1212" s="13">
        <v>101973</v>
      </c>
      <c r="B1212" s="5">
        <v>45610</v>
      </c>
      <c r="C1212" s="5" t="str">
        <f t="shared" si="36"/>
        <v>Nov</v>
      </c>
      <c r="D1212" s="2" t="s">
        <v>91</v>
      </c>
      <c r="E1212" s="2" t="s">
        <v>27</v>
      </c>
      <c r="F1212" s="2" t="s">
        <v>21</v>
      </c>
      <c r="G1212" s="2" t="s">
        <v>45</v>
      </c>
      <c r="H1212" s="2" t="s">
        <v>149</v>
      </c>
      <c r="I1212" s="13">
        <v>12</v>
      </c>
      <c r="J1212" s="10">
        <v>10579.15</v>
      </c>
      <c r="K1212" s="10">
        <f t="shared" si="37"/>
        <v>126949.79999999999</v>
      </c>
      <c r="L1212" s="2">
        <v>0</v>
      </c>
      <c r="M1212" s="2" t="s">
        <v>83</v>
      </c>
      <c r="N1212" s="2" t="s">
        <v>143</v>
      </c>
    </row>
    <row r="1213" spans="1:14" x14ac:dyDescent="0.2">
      <c r="A1213" s="13">
        <v>100787</v>
      </c>
      <c r="B1213" s="5">
        <v>45523</v>
      </c>
      <c r="C1213" s="5" t="str">
        <f t="shared" si="36"/>
        <v>Aug</v>
      </c>
      <c r="D1213" s="2" t="s">
        <v>808</v>
      </c>
      <c r="E1213" s="2" t="s">
        <v>61</v>
      </c>
      <c r="F1213" s="2" t="s">
        <v>119</v>
      </c>
      <c r="G1213" s="2" t="s">
        <v>106</v>
      </c>
      <c r="H1213" s="2" t="s">
        <v>156</v>
      </c>
      <c r="I1213" s="13">
        <v>6</v>
      </c>
      <c r="J1213" s="10">
        <v>3531.06</v>
      </c>
      <c r="K1213" s="10">
        <f t="shared" si="37"/>
        <v>21186.36</v>
      </c>
      <c r="L1213" s="2">
        <v>0.15</v>
      </c>
      <c r="M1213" s="2" t="s">
        <v>66</v>
      </c>
      <c r="N1213" s="2" t="s">
        <v>25</v>
      </c>
    </row>
    <row r="1214" spans="1:14" x14ac:dyDescent="0.2">
      <c r="A1214" s="13">
        <v>101563</v>
      </c>
      <c r="B1214" s="5">
        <v>45471</v>
      </c>
      <c r="C1214" s="5" t="str">
        <f t="shared" si="36"/>
        <v>Jun</v>
      </c>
      <c r="D1214" s="2" t="s">
        <v>887</v>
      </c>
      <c r="E1214" s="2" t="s">
        <v>31</v>
      </c>
      <c r="F1214" s="2" t="s">
        <v>54</v>
      </c>
      <c r="G1214" s="2" t="s">
        <v>64</v>
      </c>
      <c r="H1214" s="2" t="s">
        <v>165</v>
      </c>
      <c r="I1214" s="13">
        <v>5</v>
      </c>
      <c r="J1214" s="10">
        <v>0</v>
      </c>
      <c r="K1214" s="10">
        <f t="shared" si="37"/>
        <v>0</v>
      </c>
      <c r="L1214" s="2">
        <v>0.25</v>
      </c>
      <c r="M1214" s="2" t="s">
        <v>66</v>
      </c>
      <c r="N1214" s="2" t="s">
        <v>121</v>
      </c>
    </row>
    <row r="1215" spans="1:14" x14ac:dyDescent="0.2">
      <c r="A1215" s="13">
        <v>101777</v>
      </c>
      <c r="B1215" s="5">
        <v>45474</v>
      </c>
      <c r="C1215" s="5" t="str">
        <f t="shared" si="36"/>
        <v>Jul</v>
      </c>
      <c r="D1215" s="2" t="s">
        <v>615</v>
      </c>
      <c r="E1215" s="2" t="s">
        <v>31</v>
      </c>
      <c r="F1215" s="2" t="s">
        <v>54</v>
      </c>
      <c r="G1215" s="2" t="s">
        <v>33</v>
      </c>
      <c r="H1215" s="2" t="s">
        <v>93</v>
      </c>
      <c r="I1215" s="13">
        <v>8</v>
      </c>
      <c r="J1215" s="10">
        <v>49.57</v>
      </c>
      <c r="K1215" s="10">
        <f t="shared" si="37"/>
        <v>396.56</v>
      </c>
      <c r="L1215" s="2">
        <v>0</v>
      </c>
      <c r="M1215" s="2" t="s">
        <v>41</v>
      </c>
      <c r="N1215" s="2" t="s">
        <v>25</v>
      </c>
    </row>
    <row r="1216" spans="1:14" x14ac:dyDescent="0.2">
      <c r="A1216" s="13">
        <v>101450</v>
      </c>
      <c r="B1216" s="5">
        <v>45543</v>
      </c>
      <c r="C1216" s="5" t="str">
        <f t="shared" si="36"/>
        <v>Sep</v>
      </c>
      <c r="D1216" s="2" t="s">
        <v>670</v>
      </c>
      <c r="E1216" s="2" t="s">
        <v>140</v>
      </c>
      <c r="F1216" s="2" t="s">
        <v>79</v>
      </c>
      <c r="G1216" s="2" t="s">
        <v>64</v>
      </c>
      <c r="H1216" s="2" t="s">
        <v>242</v>
      </c>
      <c r="I1216" s="13">
        <v>1</v>
      </c>
      <c r="J1216" s="10">
        <v>523.96</v>
      </c>
      <c r="K1216" s="10">
        <f t="shared" si="37"/>
        <v>523.96</v>
      </c>
      <c r="L1216" s="2">
        <v>0.15</v>
      </c>
      <c r="M1216" s="2" t="s">
        <v>24</v>
      </c>
      <c r="N1216" s="2" t="s">
        <v>18</v>
      </c>
    </row>
    <row r="1217" spans="1:14" x14ac:dyDescent="0.2">
      <c r="A1217" s="13">
        <v>101317</v>
      </c>
      <c r="B1217" s="5">
        <v>45354</v>
      </c>
      <c r="C1217" s="5" t="str">
        <f t="shared" si="36"/>
        <v>Mar</v>
      </c>
      <c r="D1217" s="2" t="s">
        <v>72</v>
      </c>
      <c r="E1217" s="2" t="s">
        <v>27</v>
      </c>
      <c r="F1217" s="2" t="s">
        <v>21</v>
      </c>
      <c r="G1217" s="2" t="s">
        <v>45</v>
      </c>
      <c r="H1217" s="2" t="s">
        <v>111</v>
      </c>
      <c r="I1217" s="13">
        <v>6</v>
      </c>
      <c r="J1217" s="10">
        <v>25275.11</v>
      </c>
      <c r="K1217" s="10">
        <f t="shared" si="37"/>
        <v>151650.66</v>
      </c>
      <c r="L1217" s="2">
        <v>0.2</v>
      </c>
      <c r="M1217" s="2" t="s">
        <v>17</v>
      </c>
      <c r="N1217" s="2" t="s">
        <v>121</v>
      </c>
    </row>
    <row r="1218" spans="1:14" x14ac:dyDescent="0.2">
      <c r="A1218" s="13">
        <v>100907</v>
      </c>
      <c r="B1218" s="5">
        <v>45630</v>
      </c>
      <c r="C1218" s="5" t="str">
        <f t="shared" ref="C1218:C1281" si="38">TEXT(B1218,"mmm")</f>
        <v>Dec</v>
      </c>
      <c r="D1218" s="2" t="s">
        <v>877</v>
      </c>
      <c r="E1218" s="2" t="s">
        <v>31</v>
      </c>
      <c r="F1218" s="2" t="s">
        <v>32</v>
      </c>
      <c r="G1218" s="2" t="s">
        <v>45</v>
      </c>
      <c r="H1218" s="2" t="s">
        <v>46</v>
      </c>
      <c r="I1218" s="13">
        <v>1</v>
      </c>
      <c r="J1218" s="10">
        <v>26264.97</v>
      </c>
      <c r="K1218" s="10">
        <f t="shared" ref="K1218:K1281" si="39">I1218*J1218</f>
        <v>26264.97</v>
      </c>
      <c r="L1218" s="2">
        <v>0</v>
      </c>
      <c r="M1218" s="2" t="s">
        <v>17</v>
      </c>
      <c r="N1218" s="2" t="s">
        <v>25</v>
      </c>
    </row>
    <row r="1219" spans="1:14" x14ac:dyDescent="0.2">
      <c r="A1219" s="13">
        <v>100564</v>
      </c>
      <c r="B1219" s="5">
        <v>45517</v>
      </c>
      <c r="C1219" s="5" t="str">
        <f t="shared" si="38"/>
        <v>Aug</v>
      </c>
      <c r="D1219" s="2" t="s">
        <v>421</v>
      </c>
      <c r="E1219" s="2" t="s">
        <v>37</v>
      </c>
      <c r="F1219" s="2" t="s">
        <v>69</v>
      </c>
      <c r="G1219" s="2" t="s">
        <v>33</v>
      </c>
      <c r="H1219" s="2" t="s">
        <v>34</v>
      </c>
      <c r="I1219" s="13">
        <v>1</v>
      </c>
      <c r="J1219" s="10">
        <v>339.37</v>
      </c>
      <c r="K1219" s="10">
        <f t="shared" si="39"/>
        <v>339.37</v>
      </c>
      <c r="L1219" s="2">
        <v>0</v>
      </c>
      <c r="M1219" s="2" t="s">
        <v>41</v>
      </c>
      <c r="N1219" s="2" t="s">
        <v>121</v>
      </c>
    </row>
    <row r="1220" spans="1:14" x14ac:dyDescent="0.2">
      <c r="A1220" s="13">
        <v>100389</v>
      </c>
      <c r="B1220" s="5">
        <v>45537</v>
      </c>
      <c r="C1220" s="5" t="str">
        <f t="shared" si="38"/>
        <v>Sep</v>
      </c>
      <c r="D1220" s="2" t="s">
        <v>1069</v>
      </c>
      <c r="E1220" s="2" t="s">
        <v>27</v>
      </c>
      <c r="F1220" s="2" t="s">
        <v>133</v>
      </c>
      <c r="G1220" s="2" t="s">
        <v>106</v>
      </c>
      <c r="H1220" s="2" t="s">
        <v>103</v>
      </c>
      <c r="I1220" s="13">
        <v>3</v>
      </c>
      <c r="J1220" s="10">
        <v>1601.76</v>
      </c>
      <c r="K1220" s="10">
        <f t="shared" si="39"/>
        <v>4805.28</v>
      </c>
      <c r="L1220" s="2">
        <v>0.05</v>
      </c>
      <c r="M1220" s="2" t="s">
        <v>29</v>
      </c>
      <c r="N1220" s="2" t="s">
        <v>35</v>
      </c>
    </row>
    <row r="1221" spans="1:14" x14ac:dyDescent="0.2">
      <c r="A1221" s="13">
        <v>100023</v>
      </c>
      <c r="B1221" s="5">
        <v>45585</v>
      </c>
      <c r="C1221" s="5" t="str">
        <f t="shared" si="38"/>
        <v>Oct</v>
      </c>
      <c r="D1221" s="2" t="s">
        <v>294</v>
      </c>
      <c r="E1221" s="2" t="s">
        <v>31</v>
      </c>
      <c r="F1221" s="2" t="s">
        <v>54</v>
      </c>
      <c r="G1221" s="2" t="s">
        <v>64</v>
      </c>
      <c r="H1221" s="2" t="s">
        <v>242</v>
      </c>
      <c r="I1221" s="13">
        <v>2</v>
      </c>
      <c r="J1221" s="10">
        <v>175.44</v>
      </c>
      <c r="K1221" s="10">
        <f t="shared" si="39"/>
        <v>350.88</v>
      </c>
      <c r="L1221" s="2">
        <v>0.25</v>
      </c>
      <c r="M1221" s="2" t="s">
        <v>66</v>
      </c>
      <c r="N1221" s="2" t="s">
        <v>18</v>
      </c>
    </row>
    <row r="1222" spans="1:14" x14ac:dyDescent="0.2">
      <c r="A1222" s="13">
        <v>101735</v>
      </c>
      <c r="B1222" s="5">
        <v>45407</v>
      </c>
      <c r="C1222" s="5" t="str">
        <f t="shared" si="38"/>
        <v>Apr</v>
      </c>
      <c r="D1222" s="2" t="s">
        <v>889</v>
      </c>
      <c r="E1222" s="2" t="s">
        <v>27</v>
      </c>
      <c r="F1222" s="2" t="s">
        <v>21</v>
      </c>
      <c r="G1222" s="2" t="s">
        <v>22</v>
      </c>
      <c r="H1222" s="2" t="s">
        <v>232</v>
      </c>
      <c r="I1222" s="13">
        <v>5</v>
      </c>
      <c r="J1222" s="10">
        <v>2334.5300000000002</v>
      </c>
      <c r="K1222" s="10">
        <f t="shared" si="39"/>
        <v>11672.650000000001</v>
      </c>
      <c r="L1222" s="2">
        <v>0</v>
      </c>
      <c r="M1222" s="2" t="s">
        <v>24</v>
      </c>
      <c r="N1222" s="2" t="s">
        <v>121</v>
      </c>
    </row>
    <row r="1223" spans="1:14" x14ac:dyDescent="0.2">
      <c r="A1223" s="13">
        <v>100125</v>
      </c>
      <c r="B1223" s="5">
        <v>45354</v>
      </c>
      <c r="C1223" s="5" t="str">
        <f t="shared" si="38"/>
        <v>Mar</v>
      </c>
      <c r="D1223" s="2" t="s">
        <v>272</v>
      </c>
      <c r="E1223" s="2" t="s">
        <v>27</v>
      </c>
      <c r="F1223" s="2" t="s">
        <v>133</v>
      </c>
      <c r="G1223" s="2" t="s">
        <v>15</v>
      </c>
      <c r="H1223" s="2" t="s">
        <v>16</v>
      </c>
      <c r="I1223" s="13">
        <v>2</v>
      </c>
      <c r="J1223" s="10">
        <v>19077.919999999998</v>
      </c>
      <c r="K1223" s="10">
        <f t="shared" si="39"/>
        <v>38155.839999999997</v>
      </c>
      <c r="L1223" s="2">
        <v>0.15</v>
      </c>
      <c r="M1223" s="2" t="s">
        <v>17</v>
      </c>
      <c r="N1223" s="2" t="s">
        <v>52</v>
      </c>
    </row>
    <row r="1224" spans="1:14" x14ac:dyDescent="0.2">
      <c r="A1224" s="13">
        <v>101260</v>
      </c>
      <c r="B1224" s="5">
        <v>45576</v>
      </c>
      <c r="C1224" s="5" t="str">
        <f t="shared" si="38"/>
        <v>Oct</v>
      </c>
      <c r="D1224" s="2" t="s">
        <v>474</v>
      </c>
      <c r="E1224" s="2" t="s">
        <v>61</v>
      </c>
      <c r="F1224" s="2" t="s">
        <v>14</v>
      </c>
      <c r="G1224" s="2" t="s">
        <v>45</v>
      </c>
      <c r="H1224" s="2" t="s">
        <v>153</v>
      </c>
      <c r="I1224" s="13">
        <v>6</v>
      </c>
      <c r="J1224" s="10">
        <v>0</v>
      </c>
      <c r="K1224" s="10">
        <f t="shared" si="39"/>
        <v>0</v>
      </c>
      <c r="L1224" s="2">
        <v>0.15</v>
      </c>
      <c r="M1224" s="2" t="s">
        <v>24</v>
      </c>
      <c r="N1224" s="2" t="s">
        <v>52</v>
      </c>
    </row>
    <row r="1225" spans="1:14" x14ac:dyDescent="0.2">
      <c r="A1225" s="13">
        <v>100774</v>
      </c>
      <c r="B1225" s="5">
        <v>45643</v>
      </c>
      <c r="C1225" s="5" t="str">
        <f t="shared" si="38"/>
        <v>Dec</v>
      </c>
      <c r="D1225" s="2" t="s">
        <v>865</v>
      </c>
      <c r="E1225" s="2" t="s">
        <v>61</v>
      </c>
      <c r="F1225" s="2" t="s">
        <v>119</v>
      </c>
      <c r="G1225" s="2" t="s">
        <v>50</v>
      </c>
      <c r="H1225" s="2" t="s">
        <v>56</v>
      </c>
      <c r="I1225" s="13">
        <v>9</v>
      </c>
      <c r="J1225" s="10">
        <v>10609.54</v>
      </c>
      <c r="K1225" s="10">
        <f t="shared" si="39"/>
        <v>95485.860000000015</v>
      </c>
      <c r="L1225" s="2">
        <v>0.15</v>
      </c>
      <c r="M1225" s="2" t="s">
        <v>66</v>
      </c>
      <c r="N1225" s="2" t="s">
        <v>25</v>
      </c>
    </row>
    <row r="1226" spans="1:14" x14ac:dyDescent="0.2">
      <c r="A1226" s="13">
        <v>100881</v>
      </c>
      <c r="B1226" s="5">
        <v>45489</v>
      </c>
      <c r="C1226" s="5" t="str">
        <f t="shared" si="38"/>
        <v>Jul</v>
      </c>
      <c r="D1226" s="2" t="s">
        <v>1069</v>
      </c>
      <c r="E1226" s="2" t="s">
        <v>37</v>
      </c>
      <c r="F1226" s="2" t="s">
        <v>69</v>
      </c>
      <c r="G1226" s="2" t="s">
        <v>106</v>
      </c>
      <c r="H1226" s="2" t="s">
        <v>135</v>
      </c>
      <c r="I1226" s="13">
        <v>7</v>
      </c>
      <c r="J1226" s="10">
        <v>1702.01</v>
      </c>
      <c r="K1226" s="10">
        <f t="shared" si="39"/>
        <v>11914.07</v>
      </c>
      <c r="L1226" s="2">
        <v>0.1</v>
      </c>
      <c r="M1226" s="2" t="s">
        <v>24</v>
      </c>
      <c r="N1226" s="2" t="s">
        <v>121</v>
      </c>
    </row>
    <row r="1227" spans="1:14" x14ac:dyDescent="0.2">
      <c r="A1227" s="13">
        <v>101145</v>
      </c>
      <c r="B1227" s="5">
        <v>45603</v>
      </c>
      <c r="C1227" s="5" t="str">
        <f t="shared" si="38"/>
        <v>Nov</v>
      </c>
      <c r="D1227" s="2" t="s">
        <v>891</v>
      </c>
      <c r="E1227" s="2" t="s">
        <v>140</v>
      </c>
      <c r="F1227" s="2" t="s">
        <v>49</v>
      </c>
      <c r="G1227" s="2" t="s">
        <v>106</v>
      </c>
      <c r="H1227" s="2" t="s">
        <v>103</v>
      </c>
      <c r="I1227" s="13">
        <v>1</v>
      </c>
      <c r="J1227" s="10">
        <v>3758.07</v>
      </c>
      <c r="K1227" s="10">
        <f t="shared" si="39"/>
        <v>3758.07</v>
      </c>
      <c r="L1227" s="2">
        <v>0.1</v>
      </c>
      <c r="M1227" s="2" t="s">
        <v>24</v>
      </c>
      <c r="N1227" s="2" t="s">
        <v>25</v>
      </c>
    </row>
    <row r="1228" spans="1:14" x14ac:dyDescent="0.2">
      <c r="A1228" s="13">
        <v>101167</v>
      </c>
      <c r="B1228" s="5">
        <v>45299</v>
      </c>
      <c r="C1228" s="5" t="str">
        <f t="shared" si="38"/>
        <v>Jan</v>
      </c>
      <c r="D1228" s="2" t="s">
        <v>742</v>
      </c>
      <c r="E1228" s="2" t="s">
        <v>140</v>
      </c>
      <c r="F1228" s="2" t="s">
        <v>49</v>
      </c>
      <c r="G1228" s="2" t="s">
        <v>33</v>
      </c>
      <c r="H1228" s="2" t="s">
        <v>81</v>
      </c>
      <c r="I1228" s="13">
        <v>4</v>
      </c>
      <c r="J1228" s="10">
        <v>365.02</v>
      </c>
      <c r="K1228" s="10">
        <f t="shared" si="39"/>
        <v>1460.08</v>
      </c>
      <c r="L1228" s="2">
        <v>0.05</v>
      </c>
      <c r="M1228" s="2" t="s">
        <v>83</v>
      </c>
      <c r="N1228" s="2" t="s">
        <v>35</v>
      </c>
    </row>
    <row r="1229" spans="1:14" x14ac:dyDescent="0.2">
      <c r="A1229" s="13">
        <v>100051</v>
      </c>
      <c r="B1229" s="5">
        <v>45371</v>
      </c>
      <c r="C1229" s="5" t="str">
        <f t="shared" si="38"/>
        <v>Mar</v>
      </c>
      <c r="D1229" s="2" t="s">
        <v>892</v>
      </c>
      <c r="E1229" s="2" t="s">
        <v>61</v>
      </c>
      <c r="F1229" s="2" t="s">
        <v>14</v>
      </c>
      <c r="G1229" s="2" t="s">
        <v>33</v>
      </c>
      <c r="H1229" s="2" t="s">
        <v>93</v>
      </c>
      <c r="I1229" s="13">
        <v>12</v>
      </c>
      <c r="J1229" s="10">
        <v>380.92</v>
      </c>
      <c r="K1229" s="10">
        <f t="shared" si="39"/>
        <v>4571.04</v>
      </c>
      <c r="L1229" s="2">
        <v>0</v>
      </c>
      <c r="M1229" s="2" t="s">
        <v>41</v>
      </c>
      <c r="N1229" s="2" t="s">
        <v>35</v>
      </c>
    </row>
    <row r="1230" spans="1:14" x14ac:dyDescent="0.2">
      <c r="A1230" s="13">
        <v>101657</v>
      </c>
      <c r="B1230" s="5">
        <v>45559</v>
      </c>
      <c r="C1230" s="5" t="str">
        <f t="shared" si="38"/>
        <v>Sep</v>
      </c>
      <c r="D1230" s="2" t="s">
        <v>749</v>
      </c>
      <c r="E1230" s="2" t="s">
        <v>31</v>
      </c>
      <c r="F1230" s="2" t="s">
        <v>54</v>
      </c>
      <c r="G1230" s="2" t="s">
        <v>50</v>
      </c>
      <c r="H1230" s="2" t="s">
        <v>51</v>
      </c>
      <c r="I1230" s="13">
        <v>5</v>
      </c>
      <c r="J1230" s="10">
        <v>5234.75</v>
      </c>
      <c r="K1230" s="10">
        <f t="shared" si="39"/>
        <v>26173.75</v>
      </c>
      <c r="L1230" s="2">
        <v>0</v>
      </c>
      <c r="M1230" s="2" t="s">
        <v>66</v>
      </c>
      <c r="N1230" s="2" t="s">
        <v>25</v>
      </c>
    </row>
    <row r="1231" spans="1:14" x14ac:dyDescent="0.2">
      <c r="A1231" s="13">
        <v>101767</v>
      </c>
      <c r="B1231" s="5">
        <v>45347</v>
      </c>
      <c r="C1231" s="5" t="str">
        <f t="shared" si="38"/>
        <v>Feb</v>
      </c>
      <c r="D1231" s="2" t="s">
        <v>1069</v>
      </c>
      <c r="E1231" s="2" t="s">
        <v>31</v>
      </c>
      <c r="F1231" s="2" t="s">
        <v>32</v>
      </c>
      <c r="G1231" s="2" t="s">
        <v>15</v>
      </c>
      <c r="H1231" s="2" t="s">
        <v>116</v>
      </c>
      <c r="I1231" s="13">
        <v>12</v>
      </c>
      <c r="J1231" s="10">
        <v>6336.95</v>
      </c>
      <c r="K1231" s="10">
        <f t="shared" si="39"/>
        <v>76043.399999999994</v>
      </c>
      <c r="L1231" s="2">
        <v>0.2</v>
      </c>
      <c r="M1231" s="2" t="s">
        <v>41</v>
      </c>
      <c r="N1231" s="2" t="s">
        <v>143</v>
      </c>
    </row>
    <row r="1232" spans="1:14" x14ac:dyDescent="0.2">
      <c r="A1232" s="13">
        <v>101106</v>
      </c>
      <c r="B1232" s="5">
        <v>45570</v>
      </c>
      <c r="C1232" s="5" t="str">
        <f t="shared" si="38"/>
        <v>Oct</v>
      </c>
      <c r="D1232" s="2" t="s">
        <v>377</v>
      </c>
      <c r="E1232" s="2" t="s">
        <v>27</v>
      </c>
      <c r="F1232" s="2" t="s">
        <v>133</v>
      </c>
      <c r="G1232" s="2" t="s">
        <v>106</v>
      </c>
      <c r="H1232" s="2" t="s">
        <v>137</v>
      </c>
      <c r="I1232" s="13">
        <v>6</v>
      </c>
      <c r="J1232" s="10">
        <v>1695.3</v>
      </c>
      <c r="K1232" s="10">
        <f t="shared" si="39"/>
        <v>10171.799999999999</v>
      </c>
      <c r="L1232" s="2">
        <v>0.25</v>
      </c>
      <c r="M1232" s="2" t="s">
        <v>66</v>
      </c>
      <c r="N1232" s="2" t="s">
        <v>52</v>
      </c>
    </row>
    <row r="1233" spans="1:14" x14ac:dyDescent="0.2">
      <c r="A1233" s="13">
        <v>100704</v>
      </c>
      <c r="B1233" s="5">
        <v>45508</v>
      </c>
      <c r="C1233" s="5" t="str">
        <f t="shared" si="38"/>
        <v>Aug</v>
      </c>
      <c r="D1233" s="2" t="s">
        <v>543</v>
      </c>
      <c r="E1233" s="2" t="s">
        <v>140</v>
      </c>
      <c r="F1233" s="2" t="s">
        <v>49</v>
      </c>
      <c r="G1233" s="2" t="s">
        <v>50</v>
      </c>
      <c r="H1233" s="2" t="s">
        <v>51</v>
      </c>
      <c r="I1233" s="13">
        <v>5</v>
      </c>
      <c r="J1233" s="10">
        <v>8979.93</v>
      </c>
      <c r="K1233" s="10">
        <f t="shared" si="39"/>
        <v>44899.65</v>
      </c>
      <c r="L1233" s="2">
        <v>0.15</v>
      </c>
      <c r="M1233" s="2" t="s">
        <v>17</v>
      </c>
      <c r="N1233" s="2" t="s">
        <v>42</v>
      </c>
    </row>
    <row r="1234" spans="1:14" x14ac:dyDescent="0.2">
      <c r="A1234" s="13">
        <v>100483</v>
      </c>
      <c r="B1234" s="5">
        <v>45492</v>
      </c>
      <c r="C1234" s="5" t="str">
        <f t="shared" si="38"/>
        <v>Jul</v>
      </c>
      <c r="D1234" s="2" t="s">
        <v>474</v>
      </c>
      <c r="E1234" s="2" t="s">
        <v>37</v>
      </c>
      <c r="F1234" s="2" t="s">
        <v>69</v>
      </c>
      <c r="G1234" s="2" t="s">
        <v>33</v>
      </c>
      <c r="H1234" s="2" t="s">
        <v>158</v>
      </c>
      <c r="I1234" s="13">
        <v>3</v>
      </c>
      <c r="J1234" s="10">
        <v>362.57</v>
      </c>
      <c r="K1234" s="10">
        <f t="shared" si="39"/>
        <v>1087.71</v>
      </c>
      <c r="L1234" s="2">
        <v>0.2</v>
      </c>
      <c r="M1234" s="2" t="s">
        <v>83</v>
      </c>
      <c r="N1234" s="2" t="s">
        <v>18</v>
      </c>
    </row>
    <row r="1235" spans="1:14" x14ac:dyDescent="0.2">
      <c r="A1235" s="13">
        <v>101146</v>
      </c>
      <c r="B1235" s="5">
        <v>45600</v>
      </c>
      <c r="C1235" s="5" t="str">
        <f t="shared" si="38"/>
        <v>Nov</v>
      </c>
      <c r="D1235" s="2" t="s">
        <v>201</v>
      </c>
      <c r="E1235" s="2" t="s">
        <v>27</v>
      </c>
      <c r="F1235" s="2" t="s">
        <v>133</v>
      </c>
      <c r="G1235" s="2" t="s">
        <v>50</v>
      </c>
      <c r="H1235" s="2" t="s">
        <v>51</v>
      </c>
      <c r="I1235" s="13">
        <v>12</v>
      </c>
      <c r="J1235" s="10">
        <v>11905.59</v>
      </c>
      <c r="K1235" s="10">
        <f t="shared" si="39"/>
        <v>142867.08000000002</v>
      </c>
      <c r="L1235" s="2">
        <v>0.05</v>
      </c>
      <c r="M1235" s="2" t="s">
        <v>83</v>
      </c>
      <c r="N1235" s="2" t="s">
        <v>143</v>
      </c>
    </row>
    <row r="1236" spans="1:14" x14ac:dyDescent="0.2">
      <c r="A1236" s="13">
        <v>101931</v>
      </c>
      <c r="B1236" s="5">
        <v>45586</v>
      </c>
      <c r="C1236" s="5" t="str">
        <f t="shared" si="38"/>
        <v>Oct</v>
      </c>
      <c r="D1236" s="2" t="s">
        <v>189</v>
      </c>
      <c r="E1236" s="2" t="s">
        <v>27</v>
      </c>
      <c r="F1236" s="2" t="s">
        <v>21</v>
      </c>
      <c r="G1236" s="2" t="s">
        <v>22</v>
      </c>
      <c r="H1236" s="2" t="s">
        <v>232</v>
      </c>
      <c r="I1236" s="13">
        <v>8</v>
      </c>
      <c r="J1236" s="10">
        <v>1265.73</v>
      </c>
      <c r="K1236" s="10">
        <f t="shared" si="39"/>
        <v>10125.84</v>
      </c>
      <c r="L1236" s="2">
        <v>0.25</v>
      </c>
      <c r="M1236" s="2" t="s">
        <v>17</v>
      </c>
      <c r="N1236" s="2" t="s">
        <v>143</v>
      </c>
    </row>
    <row r="1237" spans="1:14" x14ac:dyDescent="0.2">
      <c r="A1237" s="13">
        <v>100067</v>
      </c>
      <c r="B1237" s="5">
        <v>45630</v>
      </c>
      <c r="C1237" s="5" t="str">
        <f t="shared" si="38"/>
        <v>Dec</v>
      </c>
      <c r="D1237" s="2" t="s">
        <v>26</v>
      </c>
      <c r="E1237" s="2" t="s">
        <v>27</v>
      </c>
      <c r="F1237" s="2" t="s">
        <v>21</v>
      </c>
      <c r="G1237" s="2" t="s">
        <v>22</v>
      </c>
      <c r="H1237" s="2" t="s">
        <v>75</v>
      </c>
      <c r="I1237" s="13">
        <v>12</v>
      </c>
      <c r="J1237" s="10">
        <v>2394.83</v>
      </c>
      <c r="K1237" s="10">
        <f t="shared" si="39"/>
        <v>28737.96</v>
      </c>
      <c r="L1237" s="2">
        <v>0</v>
      </c>
      <c r="M1237" s="2" t="s">
        <v>17</v>
      </c>
      <c r="N1237" s="2" t="s">
        <v>18</v>
      </c>
    </row>
    <row r="1238" spans="1:14" x14ac:dyDescent="0.2">
      <c r="A1238" s="13">
        <v>101740</v>
      </c>
      <c r="B1238" s="5">
        <v>45334</v>
      </c>
      <c r="C1238" s="5" t="str">
        <f t="shared" si="38"/>
        <v>Feb</v>
      </c>
      <c r="D1238" s="2" t="s">
        <v>352</v>
      </c>
      <c r="E1238" s="2" t="s">
        <v>27</v>
      </c>
      <c r="F1238" s="2" t="s">
        <v>21</v>
      </c>
      <c r="G1238" s="2" t="s">
        <v>106</v>
      </c>
      <c r="H1238" s="2" t="s">
        <v>103</v>
      </c>
      <c r="I1238" s="13">
        <v>4</v>
      </c>
      <c r="J1238" s="10">
        <v>3656.81</v>
      </c>
      <c r="K1238" s="10">
        <f t="shared" si="39"/>
        <v>14627.24</v>
      </c>
      <c r="L1238" s="2">
        <v>0</v>
      </c>
      <c r="M1238" s="2" t="s">
        <v>41</v>
      </c>
      <c r="N1238" s="2" t="s">
        <v>35</v>
      </c>
    </row>
    <row r="1239" spans="1:14" x14ac:dyDescent="0.2">
      <c r="A1239" s="13">
        <v>100734</v>
      </c>
      <c r="B1239" s="5">
        <v>45520</v>
      </c>
      <c r="C1239" s="5" t="str">
        <f t="shared" si="38"/>
        <v>Aug</v>
      </c>
      <c r="D1239" s="2" t="s">
        <v>326</v>
      </c>
      <c r="E1239" s="2" t="s">
        <v>61</v>
      </c>
      <c r="F1239" s="2" t="s">
        <v>119</v>
      </c>
      <c r="G1239" s="2" t="s">
        <v>64</v>
      </c>
      <c r="H1239" s="2" t="s">
        <v>242</v>
      </c>
      <c r="I1239" s="13">
        <v>5</v>
      </c>
      <c r="J1239" s="10">
        <v>142.19999999999999</v>
      </c>
      <c r="K1239" s="10">
        <f t="shared" si="39"/>
        <v>711</v>
      </c>
      <c r="L1239" s="2">
        <v>0.05</v>
      </c>
      <c r="M1239" s="2" t="s">
        <v>17</v>
      </c>
      <c r="N1239" s="2" t="s">
        <v>42</v>
      </c>
    </row>
    <row r="1240" spans="1:14" x14ac:dyDescent="0.2">
      <c r="A1240" s="13">
        <v>101804</v>
      </c>
      <c r="B1240" s="5">
        <v>45573</v>
      </c>
      <c r="C1240" s="5" t="str">
        <f t="shared" si="38"/>
        <v>Oct</v>
      </c>
      <c r="D1240" s="2" t="s">
        <v>291</v>
      </c>
      <c r="E1240" s="2" t="s">
        <v>37</v>
      </c>
      <c r="F1240" s="2" t="s">
        <v>69</v>
      </c>
      <c r="G1240" s="2" t="s">
        <v>64</v>
      </c>
      <c r="H1240" s="2" t="s">
        <v>114</v>
      </c>
      <c r="I1240" s="13">
        <v>11</v>
      </c>
      <c r="J1240" s="10">
        <v>264.69</v>
      </c>
      <c r="K1240" s="10">
        <f t="shared" si="39"/>
        <v>2911.59</v>
      </c>
      <c r="L1240" s="2">
        <v>0</v>
      </c>
      <c r="M1240" s="2" t="s">
        <v>66</v>
      </c>
      <c r="N1240" s="2" t="s">
        <v>121</v>
      </c>
    </row>
    <row r="1241" spans="1:14" x14ac:dyDescent="0.2">
      <c r="A1241" s="13">
        <v>100802</v>
      </c>
      <c r="B1241" s="5">
        <v>45509</v>
      </c>
      <c r="C1241" s="5" t="str">
        <f t="shared" si="38"/>
        <v>Aug</v>
      </c>
      <c r="D1241" s="2" t="s">
        <v>276</v>
      </c>
      <c r="E1241" s="2" t="s">
        <v>140</v>
      </c>
      <c r="F1241" s="2" t="s">
        <v>79</v>
      </c>
      <c r="G1241" s="2" t="s">
        <v>45</v>
      </c>
      <c r="H1241" s="2" t="s">
        <v>71</v>
      </c>
      <c r="I1241" s="13">
        <v>2</v>
      </c>
      <c r="J1241" s="10">
        <v>19017.29</v>
      </c>
      <c r="K1241" s="10">
        <f t="shared" si="39"/>
        <v>38034.58</v>
      </c>
      <c r="L1241" s="2">
        <v>0</v>
      </c>
      <c r="M1241" s="2" t="s">
        <v>66</v>
      </c>
      <c r="N1241" s="2" t="s">
        <v>42</v>
      </c>
    </row>
    <row r="1242" spans="1:14" x14ac:dyDescent="0.2">
      <c r="A1242" s="13">
        <v>101564</v>
      </c>
      <c r="B1242" s="5">
        <v>45495</v>
      </c>
      <c r="C1242" s="5" t="str">
        <f t="shared" si="38"/>
        <v>Jul</v>
      </c>
      <c r="D1242" s="2" t="s">
        <v>434</v>
      </c>
      <c r="E1242" s="2" t="s">
        <v>31</v>
      </c>
      <c r="F1242" s="2" t="s">
        <v>32</v>
      </c>
      <c r="G1242" s="2" t="s">
        <v>106</v>
      </c>
      <c r="H1242" s="2" t="s">
        <v>156</v>
      </c>
      <c r="I1242" s="13">
        <v>9</v>
      </c>
      <c r="J1242" s="10">
        <v>970.74</v>
      </c>
      <c r="K1242" s="10">
        <f t="shared" si="39"/>
        <v>8736.66</v>
      </c>
      <c r="L1242" s="2">
        <v>0.2</v>
      </c>
      <c r="M1242" s="2" t="s">
        <v>83</v>
      </c>
      <c r="N1242" s="2" t="s">
        <v>52</v>
      </c>
    </row>
    <row r="1243" spans="1:14" x14ac:dyDescent="0.2">
      <c r="A1243" s="13">
        <v>101485</v>
      </c>
      <c r="B1243" s="5">
        <v>45467</v>
      </c>
      <c r="C1243" s="5" t="str">
        <f t="shared" si="38"/>
        <v>Jun</v>
      </c>
      <c r="D1243" s="2" t="s">
        <v>893</v>
      </c>
      <c r="E1243" s="2" t="s">
        <v>37</v>
      </c>
      <c r="F1243" s="2" t="s">
        <v>38</v>
      </c>
      <c r="G1243" s="2" t="s">
        <v>33</v>
      </c>
      <c r="H1243" s="2" t="s">
        <v>81</v>
      </c>
      <c r="I1243" s="13">
        <v>-1</v>
      </c>
      <c r="J1243" s="10">
        <v>511.5</v>
      </c>
      <c r="K1243" s="10">
        <f t="shared" si="39"/>
        <v>-511.5</v>
      </c>
      <c r="L1243" s="2">
        <v>0</v>
      </c>
      <c r="M1243" s="2" t="s">
        <v>83</v>
      </c>
      <c r="N1243" s="2" t="s">
        <v>18</v>
      </c>
    </row>
    <row r="1244" spans="1:14" x14ac:dyDescent="0.2">
      <c r="A1244" s="13">
        <v>100908</v>
      </c>
      <c r="B1244" s="5">
        <v>45417</v>
      </c>
      <c r="C1244" s="5" t="str">
        <f t="shared" si="38"/>
        <v>May</v>
      </c>
      <c r="D1244" s="2" t="s">
        <v>696</v>
      </c>
      <c r="E1244" s="2" t="s">
        <v>37</v>
      </c>
      <c r="F1244" s="2" t="s">
        <v>38</v>
      </c>
      <c r="G1244" s="2" t="s">
        <v>50</v>
      </c>
      <c r="H1244" s="2" t="s">
        <v>51</v>
      </c>
      <c r="I1244" s="13">
        <v>10</v>
      </c>
      <c r="J1244" s="10">
        <v>4118.79</v>
      </c>
      <c r="K1244" s="10">
        <f t="shared" si="39"/>
        <v>41187.9</v>
      </c>
      <c r="L1244" s="2">
        <v>0.15</v>
      </c>
      <c r="M1244" s="2" t="s">
        <v>83</v>
      </c>
      <c r="N1244" s="2" t="s">
        <v>42</v>
      </c>
    </row>
    <row r="1245" spans="1:14" x14ac:dyDescent="0.2">
      <c r="A1245" s="13">
        <v>100032</v>
      </c>
      <c r="B1245" s="5">
        <v>45511</v>
      </c>
      <c r="C1245" s="5" t="str">
        <f t="shared" si="38"/>
        <v>Aug</v>
      </c>
      <c r="D1245" s="2" t="s">
        <v>894</v>
      </c>
      <c r="E1245" s="2" t="s">
        <v>31</v>
      </c>
      <c r="F1245" s="2" t="s">
        <v>54</v>
      </c>
      <c r="G1245" s="2" t="s">
        <v>33</v>
      </c>
      <c r="H1245" s="2" t="s">
        <v>93</v>
      </c>
      <c r="I1245" s="13">
        <v>12</v>
      </c>
      <c r="J1245" s="10">
        <v>481.97</v>
      </c>
      <c r="K1245" s="10">
        <f t="shared" si="39"/>
        <v>5783.64</v>
      </c>
      <c r="L1245" s="2">
        <v>0.15</v>
      </c>
      <c r="M1245" s="2" t="s">
        <v>83</v>
      </c>
      <c r="N1245" s="2" t="s">
        <v>42</v>
      </c>
    </row>
    <row r="1246" spans="1:14" x14ac:dyDescent="0.2">
      <c r="A1246" s="13">
        <v>100418</v>
      </c>
      <c r="B1246" s="5">
        <v>45408</v>
      </c>
      <c r="C1246" s="5" t="str">
        <f t="shared" si="38"/>
        <v>Apr</v>
      </c>
      <c r="D1246" s="2" t="s">
        <v>437</v>
      </c>
      <c r="E1246" s="2" t="s">
        <v>140</v>
      </c>
      <c r="F1246" s="2" t="s">
        <v>49</v>
      </c>
      <c r="G1246" s="2" t="s">
        <v>64</v>
      </c>
      <c r="H1246" s="2" t="s">
        <v>114</v>
      </c>
      <c r="I1246" s="13">
        <v>7</v>
      </c>
      <c r="J1246" s="10">
        <v>149.74</v>
      </c>
      <c r="K1246" s="10">
        <f t="shared" si="39"/>
        <v>1048.18</v>
      </c>
      <c r="L1246" s="2">
        <v>0.2</v>
      </c>
      <c r="M1246" s="2" t="s">
        <v>24</v>
      </c>
      <c r="N1246" s="2" t="s">
        <v>87</v>
      </c>
    </row>
    <row r="1247" spans="1:14" x14ac:dyDescent="0.2">
      <c r="A1247" s="13">
        <v>100882</v>
      </c>
      <c r="B1247" s="5">
        <v>45654</v>
      </c>
      <c r="C1247" s="5" t="str">
        <f t="shared" si="38"/>
        <v>Dec</v>
      </c>
      <c r="D1247" s="2" t="s">
        <v>795</v>
      </c>
      <c r="E1247" s="2" t="s">
        <v>31</v>
      </c>
      <c r="F1247" s="2" t="s">
        <v>32</v>
      </c>
      <c r="G1247" s="2" t="s">
        <v>50</v>
      </c>
      <c r="H1247" s="2" t="s">
        <v>62</v>
      </c>
      <c r="I1247" s="13">
        <v>5</v>
      </c>
      <c r="J1247" s="10">
        <v>2395.0500000000002</v>
      </c>
      <c r="K1247" s="10">
        <f t="shared" si="39"/>
        <v>11975.25</v>
      </c>
      <c r="L1247" s="2">
        <v>0.2</v>
      </c>
      <c r="M1247" s="2" t="s">
        <v>29</v>
      </c>
      <c r="N1247" s="2" t="s">
        <v>143</v>
      </c>
    </row>
    <row r="1248" spans="1:14" x14ac:dyDescent="0.2">
      <c r="A1248" s="13">
        <v>100633</v>
      </c>
      <c r="B1248" s="5">
        <v>45367</v>
      </c>
      <c r="C1248" s="5" t="str">
        <f t="shared" si="38"/>
        <v>Mar</v>
      </c>
      <c r="D1248" s="2" t="s">
        <v>855</v>
      </c>
      <c r="E1248" s="2" t="s">
        <v>31</v>
      </c>
      <c r="F1248" s="2" t="s">
        <v>32</v>
      </c>
      <c r="G1248" s="2" t="s">
        <v>64</v>
      </c>
      <c r="H1248" s="2" t="s">
        <v>242</v>
      </c>
      <c r="I1248" s="13">
        <v>11</v>
      </c>
      <c r="J1248" s="10">
        <v>854.8</v>
      </c>
      <c r="K1248" s="10">
        <f t="shared" si="39"/>
        <v>9402.7999999999993</v>
      </c>
      <c r="L1248" s="2">
        <v>0.25</v>
      </c>
      <c r="M1248" s="2" t="s">
        <v>83</v>
      </c>
      <c r="N1248" s="2" t="s">
        <v>143</v>
      </c>
    </row>
    <row r="1249" spans="1:14" x14ac:dyDescent="0.2">
      <c r="A1249" s="13">
        <v>101579</v>
      </c>
      <c r="B1249" s="5">
        <v>45490</v>
      </c>
      <c r="C1249" s="5" t="str">
        <f t="shared" si="38"/>
        <v>Jul</v>
      </c>
      <c r="D1249" s="2" t="s">
        <v>647</v>
      </c>
      <c r="E1249" s="2" t="s">
        <v>140</v>
      </c>
      <c r="F1249" s="2" t="s">
        <v>79</v>
      </c>
      <c r="G1249" s="2" t="s">
        <v>106</v>
      </c>
      <c r="H1249" s="2" t="s">
        <v>135</v>
      </c>
      <c r="I1249" s="13">
        <v>2</v>
      </c>
      <c r="J1249" s="10">
        <v>3084.92</v>
      </c>
      <c r="K1249" s="10">
        <f t="shared" si="39"/>
        <v>6169.84</v>
      </c>
      <c r="L1249" s="2">
        <v>0</v>
      </c>
      <c r="M1249" s="2" t="s">
        <v>41</v>
      </c>
      <c r="N1249" s="2" t="s">
        <v>42</v>
      </c>
    </row>
    <row r="1250" spans="1:14" x14ac:dyDescent="0.2">
      <c r="A1250" s="13">
        <v>101454</v>
      </c>
      <c r="B1250" s="5">
        <v>45347</v>
      </c>
      <c r="C1250" s="5" t="str">
        <f t="shared" si="38"/>
        <v>Feb</v>
      </c>
      <c r="D1250" s="2" t="s">
        <v>184</v>
      </c>
      <c r="E1250" s="2" t="s">
        <v>27</v>
      </c>
      <c r="F1250" s="2" t="s">
        <v>21</v>
      </c>
      <c r="G1250" s="2" t="s">
        <v>106</v>
      </c>
      <c r="H1250" s="2" t="s">
        <v>103</v>
      </c>
      <c r="I1250" s="13"/>
      <c r="J1250" s="10">
        <v>2744.15</v>
      </c>
      <c r="K1250" s="10">
        <f t="shared" si="39"/>
        <v>0</v>
      </c>
      <c r="L1250" s="2">
        <v>0</v>
      </c>
      <c r="M1250" s="2" t="s">
        <v>29</v>
      </c>
      <c r="N1250" s="2" t="s">
        <v>18</v>
      </c>
    </row>
    <row r="1251" spans="1:14" x14ac:dyDescent="0.2">
      <c r="A1251" s="13">
        <v>101625</v>
      </c>
      <c r="B1251" s="5">
        <v>45315</v>
      </c>
      <c r="C1251" s="5" t="str">
        <f t="shared" si="38"/>
        <v>Jan</v>
      </c>
      <c r="D1251" s="2" t="s">
        <v>652</v>
      </c>
      <c r="E1251" s="2" t="s">
        <v>27</v>
      </c>
      <c r="F1251" s="2" t="s">
        <v>21</v>
      </c>
      <c r="G1251" s="2" t="s">
        <v>22</v>
      </c>
      <c r="H1251" s="2" t="s">
        <v>145</v>
      </c>
      <c r="I1251" s="13">
        <v>3</v>
      </c>
      <c r="J1251" s="10">
        <v>2779.26</v>
      </c>
      <c r="K1251" s="10">
        <f t="shared" si="39"/>
        <v>8337.7800000000007</v>
      </c>
      <c r="L1251" s="2">
        <v>0</v>
      </c>
      <c r="M1251" s="2" t="s">
        <v>41</v>
      </c>
      <c r="N1251" s="2" t="s">
        <v>42</v>
      </c>
    </row>
    <row r="1252" spans="1:14" x14ac:dyDescent="0.2">
      <c r="A1252" s="13">
        <v>100078</v>
      </c>
      <c r="B1252" s="5">
        <v>45529</v>
      </c>
      <c r="C1252" s="5" t="str">
        <f t="shared" si="38"/>
        <v>Aug</v>
      </c>
      <c r="D1252" s="2" t="s">
        <v>344</v>
      </c>
      <c r="E1252" s="2" t="s">
        <v>37</v>
      </c>
      <c r="F1252" s="2" t="s">
        <v>69</v>
      </c>
      <c r="G1252" s="2" t="s">
        <v>50</v>
      </c>
      <c r="H1252" s="2" t="s">
        <v>51</v>
      </c>
      <c r="I1252" s="13">
        <v>5</v>
      </c>
      <c r="J1252" s="10">
        <v>2428.42</v>
      </c>
      <c r="K1252" s="10">
        <f t="shared" si="39"/>
        <v>12142.1</v>
      </c>
      <c r="L1252" s="2">
        <v>0</v>
      </c>
      <c r="M1252" s="2" t="s">
        <v>17</v>
      </c>
      <c r="N1252" s="2" t="s">
        <v>52</v>
      </c>
    </row>
    <row r="1253" spans="1:14" x14ac:dyDescent="0.2">
      <c r="A1253" s="13">
        <v>100492</v>
      </c>
      <c r="B1253" s="5">
        <v>45590</v>
      </c>
      <c r="C1253" s="5" t="str">
        <f t="shared" si="38"/>
        <v>Oct</v>
      </c>
      <c r="D1253" s="2" t="s">
        <v>815</v>
      </c>
      <c r="E1253" s="2" t="s">
        <v>27</v>
      </c>
      <c r="F1253" s="2" t="s">
        <v>21</v>
      </c>
      <c r="G1253" s="2" t="s">
        <v>33</v>
      </c>
      <c r="H1253" s="2" t="s">
        <v>81</v>
      </c>
      <c r="I1253" s="13">
        <v>7</v>
      </c>
      <c r="J1253" s="10">
        <v>313.76</v>
      </c>
      <c r="K1253" s="10">
        <f t="shared" si="39"/>
        <v>2196.3199999999997</v>
      </c>
      <c r="L1253" s="2">
        <v>0.05</v>
      </c>
      <c r="M1253" s="2" t="s">
        <v>66</v>
      </c>
      <c r="N1253" s="2" t="s">
        <v>121</v>
      </c>
    </row>
    <row r="1254" spans="1:14" x14ac:dyDescent="0.2">
      <c r="A1254" s="13">
        <v>101684</v>
      </c>
      <c r="B1254" s="5">
        <v>45516</v>
      </c>
      <c r="C1254" s="5" t="str">
        <f t="shared" si="38"/>
        <v>Aug</v>
      </c>
      <c r="D1254" s="2" t="s">
        <v>94</v>
      </c>
      <c r="E1254" s="2" t="s">
        <v>140</v>
      </c>
      <c r="F1254" s="2" t="s">
        <v>49</v>
      </c>
      <c r="G1254" s="2" t="s">
        <v>22</v>
      </c>
      <c r="H1254" s="2" t="s">
        <v>75</v>
      </c>
      <c r="I1254" s="13">
        <v>8</v>
      </c>
      <c r="J1254" s="10">
        <v>1923.81</v>
      </c>
      <c r="K1254" s="10">
        <f t="shared" si="39"/>
        <v>15390.48</v>
      </c>
      <c r="L1254" s="2">
        <v>0.15</v>
      </c>
      <c r="M1254" s="2" t="s">
        <v>66</v>
      </c>
      <c r="N1254" s="2" t="s">
        <v>18</v>
      </c>
    </row>
    <row r="1255" spans="1:14" x14ac:dyDescent="0.2">
      <c r="A1255" s="13">
        <v>101759</v>
      </c>
      <c r="B1255" s="5">
        <v>45637</v>
      </c>
      <c r="C1255" s="5" t="str">
        <f t="shared" si="38"/>
        <v>Dec</v>
      </c>
      <c r="D1255" s="2" t="s">
        <v>683</v>
      </c>
      <c r="E1255" s="2" t="s">
        <v>37</v>
      </c>
      <c r="F1255" s="2" t="s">
        <v>69</v>
      </c>
      <c r="G1255" s="2" t="s">
        <v>64</v>
      </c>
      <c r="H1255" s="2" t="s">
        <v>165</v>
      </c>
      <c r="I1255" s="13">
        <v>2</v>
      </c>
      <c r="J1255" s="10">
        <v>0</v>
      </c>
      <c r="K1255" s="10">
        <f t="shared" si="39"/>
        <v>0</v>
      </c>
      <c r="L1255" s="2">
        <v>0.25</v>
      </c>
      <c r="M1255" s="2" t="s">
        <v>29</v>
      </c>
      <c r="N1255" s="2" t="s">
        <v>42</v>
      </c>
    </row>
    <row r="1256" spans="1:14" x14ac:dyDescent="0.2">
      <c r="A1256" s="13">
        <v>100533</v>
      </c>
      <c r="B1256" s="5">
        <v>45554</v>
      </c>
      <c r="C1256" s="5" t="str">
        <f t="shared" si="38"/>
        <v>Sep</v>
      </c>
      <c r="D1256" s="2" t="s">
        <v>286</v>
      </c>
      <c r="E1256" s="2" t="s">
        <v>31</v>
      </c>
      <c r="F1256" s="2" t="s">
        <v>54</v>
      </c>
      <c r="G1256" s="2" t="s">
        <v>106</v>
      </c>
      <c r="H1256" s="2" t="s">
        <v>135</v>
      </c>
      <c r="I1256" s="13">
        <v>5</v>
      </c>
      <c r="J1256" s="10">
        <v>886.13</v>
      </c>
      <c r="K1256" s="10">
        <f t="shared" si="39"/>
        <v>4430.6499999999996</v>
      </c>
      <c r="L1256" s="2">
        <v>0.05</v>
      </c>
      <c r="M1256" s="2" t="s">
        <v>17</v>
      </c>
      <c r="N1256" s="2" t="s">
        <v>35</v>
      </c>
    </row>
    <row r="1257" spans="1:14" x14ac:dyDescent="0.2">
      <c r="A1257" s="13">
        <v>100066</v>
      </c>
      <c r="B1257" s="5">
        <v>45480</v>
      </c>
      <c r="C1257" s="5" t="str">
        <f t="shared" si="38"/>
        <v>Jul</v>
      </c>
      <c r="D1257" s="2" t="s">
        <v>490</v>
      </c>
      <c r="E1257" s="2" t="s">
        <v>31</v>
      </c>
      <c r="F1257" s="2" t="s">
        <v>54</v>
      </c>
      <c r="G1257" s="2" t="s">
        <v>33</v>
      </c>
      <c r="H1257" s="2" t="s">
        <v>81</v>
      </c>
      <c r="I1257" s="13">
        <v>5</v>
      </c>
      <c r="J1257" s="10">
        <v>67.569999999999993</v>
      </c>
      <c r="K1257" s="10">
        <f t="shared" si="39"/>
        <v>337.84999999999997</v>
      </c>
      <c r="L1257" s="2">
        <v>0</v>
      </c>
      <c r="M1257" s="2" t="s">
        <v>29</v>
      </c>
      <c r="N1257" s="2" t="s">
        <v>25</v>
      </c>
    </row>
    <row r="1258" spans="1:14" x14ac:dyDescent="0.2">
      <c r="A1258" s="13">
        <v>101709</v>
      </c>
      <c r="B1258" s="5">
        <v>45536</v>
      </c>
      <c r="C1258" s="5" t="str">
        <f t="shared" si="38"/>
        <v>Sep</v>
      </c>
      <c r="D1258" s="2" t="s">
        <v>386</v>
      </c>
      <c r="E1258" s="2" t="s">
        <v>27</v>
      </c>
      <c r="F1258" s="2" t="s">
        <v>21</v>
      </c>
      <c r="G1258" s="2" t="s">
        <v>106</v>
      </c>
      <c r="H1258" s="2" t="s">
        <v>156</v>
      </c>
      <c r="I1258" s="13">
        <v>7</v>
      </c>
      <c r="J1258" s="10">
        <v>3136.92</v>
      </c>
      <c r="K1258" s="10">
        <f t="shared" si="39"/>
        <v>21958.440000000002</v>
      </c>
      <c r="L1258" s="2">
        <v>0</v>
      </c>
      <c r="M1258" s="2" t="s">
        <v>24</v>
      </c>
      <c r="N1258" s="2" t="s">
        <v>25</v>
      </c>
    </row>
    <row r="1259" spans="1:14" x14ac:dyDescent="0.2">
      <c r="A1259" s="13">
        <v>100297</v>
      </c>
      <c r="B1259" s="5">
        <v>45456</v>
      </c>
      <c r="C1259" s="5" t="str">
        <f t="shared" si="38"/>
        <v>Jun</v>
      </c>
      <c r="D1259" s="2" t="s">
        <v>452</v>
      </c>
      <c r="E1259" s="2" t="s">
        <v>31</v>
      </c>
      <c r="F1259" s="2" t="s">
        <v>32</v>
      </c>
      <c r="G1259" s="2" t="s">
        <v>50</v>
      </c>
      <c r="H1259" s="2" t="s">
        <v>56</v>
      </c>
      <c r="I1259" s="13">
        <v>5</v>
      </c>
      <c r="J1259" s="10">
        <v>9660.8700000000008</v>
      </c>
      <c r="K1259" s="10">
        <f t="shared" si="39"/>
        <v>48304.350000000006</v>
      </c>
      <c r="L1259" s="2">
        <v>0.15</v>
      </c>
      <c r="M1259" s="2" t="s">
        <v>29</v>
      </c>
      <c r="N1259" s="2" t="s">
        <v>121</v>
      </c>
    </row>
    <row r="1260" spans="1:14" x14ac:dyDescent="0.2">
      <c r="A1260" s="13">
        <v>100592</v>
      </c>
      <c r="B1260" s="5">
        <v>45489</v>
      </c>
      <c r="C1260" s="5" t="str">
        <f t="shared" si="38"/>
        <v>Jul</v>
      </c>
      <c r="D1260" s="2" t="s">
        <v>851</v>
      </c>
      <c r="E1260" s="2" t="s">
        <v>140</v>
      </c>
      <c r="F1260" s="2" t="s">
        <v>49</v>
      </c>
      <c r="G1260" s="2" t="s">
        <v>45</v>
      </c>
      <c r="H1260" s="2" t="s">
        <v>97</v>
      </c>
      <c r="I1260" s="13">
        <v>12</v>
      </c>
      <c r="J1260" s="10">
        <v>22902.41</v>
      </c>
      <c r="K1260" s="10">
        <f t="shared" si="39"/>
        <v>274828.92</v>
      </c>
      <c r="L1260" s="2">
        <v>0</v>
      </c>
      <c r="M1260" s="2" t="s">
        <v>41</v>
      </c>
      <c r="N1260" s="2" t="s">
        <v>25</v>
      </c>
    </row>
    <row r="1261" spans="1:14" x14ac:dyDescent="0.2">
      <c r="A1261" s="13">
        <v>100768</v>
      </c>
      <c r="B1261" s="5">
        <v>45577</v>
      </c>
      <c r="C1261" s="5" t="str">
        <f t="shared" si="38"/>
        <v>Oct</v>
      </c>
      <c r="D1261" s="2" t="s">
        <v>72</v>
      </c>
      <c r="E1261" s="2" t="s">
        <v>37</v>
      </c>
      <c r="F1261" s="2" t="s">
        <v>69</v>
      </c>
      <c r="G1261" s="2" t="s">
        <v>45</v>
      </c>
      <c r="H1261" s="2" t="s">
        <v>71</v>
      </c>
      <c r="I1261" s="13">
        <v>10</v>
      </c>
      <c r="J1261" s="10">
        <v>35153.96</v>
      </c>
      <c r="K1261" s="10">
        <f t="shared" si="39"/>
        <v>351539.6</v>
      </c>
      <c r="L1261" s="2">
        <v>0</v>
      </c>
      <c r="M1261" s="2" t="s">
        <v>24</v>
      </c>
      <c r="N1261" s="2" t="s">
        <v>35</v>
      </c>
    </row>
    <row r="1262" spans="1:14" x14ac:dyDescent="0.2">
      <c r="A1262" s="13">
        <v>100725</v>
      </c>
      <c r="B1262" s="5">
        <v>45559</v>
      </c>
      <c r="C1262" s="5" t="str">
        <f t="shared" si="38"/>
        <v>Sep</v>
      </c>
      <c r="D1262" s="2" t="s">
        <v>462</v>
      </c>
      <c r="E1262" s="2" t="s">
        <v>31</v>
      </c>
      <c r="F1262" s="2" t="s">
        <v>54</v>
      </c>
      <c r="G1262" s="2" t="s">
        <v>64</v>
      </c>
      <c r="H1262" s="2" t="s">
        <v>165</v>
      </c>
      <c r="I1262" s="13">
        <v>2</v>
      </c>
      <c r="J1262" s="10">
        <v>278.69</v>
      </c>
      <c r="K1262" s="10">
        <f t="shared" si="39"/>
        <v>557.38</v>
      </c>
      <c r="L1262" s="2">
        <v>0</v>
      </c>
      <c r="M1262" s="2" t="s">
        <v>17</v>
      </c>
      <c r="N1262" s="2" t="s">
        <v>42</v>
      </c>
    </row>
    <row r="1263" spans="1:14" x14ac:dyDescent="0.2">
      <c r="A1263" s="13">
        <v>101938</v>
      </c>
      <c r="B1263" s="5">
        <v>45500</v>
      </c>
      <c r="C1263" s="5" t="str">
        <f t="shared" si="38"/>
        <v>Jul</v>
      </c>
      <c r="D1263" s="2" t="s">
        <v>490</v>
      </c>
      <c r="E1263" s="2" t="s">
        <v>140</v>
      </c>
      <c r="F1263" s="2" t="s">
        <v>79</v>
      </c>
      <c r="G1263" s="2" t="s">
        <v>64</v>
      </c>
      <c r="H1263" s="2" t="s">
        <v>165</v>
      </c>
      <c r="I1263" s="13">
        <v>6</v>
      </c>
      <c r="J1263" s="10">
        <v>538.63</v>
      </c>
      <c r="K1263" s="10">
        <f t="shared" si="39"/>
        <v>3231.7799999999997</v>
      </c>
      <c r="L1263" s="2">
        <v>0</v>
      </c>
      <c r="M1263" s="2" t="s">
        <v>66</v>
      </c>
      <c r="N1263" s="2" t="s">
        <v>121</v>
      </c>
    </row>
    <row r="1264" spans="1:14" x14ac:dyDescent="0.2">
      <c r="A1264" s="13">
        <v>100627</v>
      </c>
      <c r="B1264" s="5">
        <v>45347</v>
      </c>
      <c r="C1264" s="5" t="str">
        <f t="shared" si="38"/>
        <v>Feb</v>
      </c>
      <c r="D1264" s="2" t="s">
        <v>1069</v>
      </c>
      <c r="E1264" s="2" t="s">
        <v>61</v>
      </c>
      <c r="F1264" s="2" t="s">
        <v>119</v>
      </c>
      <c r="G1264" s="2" t="s">
        <v>45</v>
      </c>
      <c r="H1264" s="2" t="s">
        <v>97</v>
      </c>
      <c r="I1264" s="13">
        <v>6</v>
      </c>
      <c r="J1264" s="10">
        <v>34031.54</v>
      </c>
      <c r="K1264" s="10">
        <f t="shared" si="39"/>
        <v>204189.24</v>
      </c>
      <c r="L1264" s="2">
        <v>0</v>
      </c>
      <c r="M1264" s="2" t="s">
        <v>24</v>
      </c>
      <c r="N1264" s="2" t="s">
        <v>121</v>
      </c>
    </row>
    <row r="1265" spans="1:14" x14ac:dyDescent="0.2">
      <c r="A1265" s="13">
        <v>101967</v>
      </c>
      <c r="B1265" s="5">
        <v>45430</v>
      </c>
      <c r="C1265" s="5" t="str">
        <f t="shared" si="38"/>
        <v>May</v>
      </c>
      <c r="D1265" s="2" t="s">
        <v>898</v>
      </c>
      <c r="E1265" s="2" t="s">
        <v>37</v>
      </c>
      <c r="F1265" s="2" t="s">
        <v>38</v>
      </c>
      <c r="G1265" s="2" t="s">
        <v>15</v>
      </c>
      <c r="H1265" s="2" t="s">
        <v>116</v>
      </c>
      <c r="I1265" s="13">
        <v>11</v>
      </c>
      <c r="J1265" s="10">
        <v>16199.95</v>
      </c>
      <c r="K1265" s="10">
        <f t="shared" si="39"/>
        <v>178199.45</v>
      </c>
      <c r="L1265" s="2">
        <v>0.05</v>
      </c>
      <c r="M1265" s="2" t="s">
        <v>66</v>
      </c>
      <c r="N1265" s="2" t="s">
        <v>52</v>
      </c>
    </row>
    <row r="1266" spans="1:14" x14ac:dyDescent="0.2">
      <c r="A1266" s="13">
        <v>101213</v>
      </c>
      <c r="B1266" s="5">
        <v>45577</v>
      </c>
      <c r="C1266" s="5" t="str">
        <f t="shared" si="38"/>
        <v>Oct</v>
      </c>
      <c r="D1266" s="2" t="s">
        <v>740</v>
      </c>
      <c r="E1266" s="2" t="s">
        <v>140</v>
      </c>
      <c r="F1266" s="2" t="s">
        <v>49</v>
      </c>
      <c r="G1266" s="2" t="s">
        <v>106</v>
      </c>
      <c r="H1266" s="2" t="s">
        <v>137</v>
      </c>
      <c r="I1266" s="13">
        <v>1</v>
      </c>
      <c r="J1266" s="10">
        <v>724.33</v>
      </c>
      <c r="K1266" s="10">
        <f t="shared" si="39"/>
        <v>724.33</v>
      </c>
      <c r="L1266" s="2">
        <v>0.1</v>
      </c>
      <c r="M1266" s="2" t="s">
        <v>41</v>
      </c>
      <c r="N1266" s="2" t="s">
        <v>42</v>
      </c>
    </row>
    <row r="1267" spans="1:14" x14ac:dyDescent="0.2">
      <c r="A1267" s="13">
        <v>101750</v>
      </c>
      <c r="B1267" s="5">
        <v>45545</v>
      </c>
      <c r="C1267" s="5" t="str">
        <f t="shared" si="38"/>
        <v>Sep</v>
      </c>
      <c r="D1267" s="2" t="s">
        <v>403</v>
      </c>
      <c r="E1267" s="2" t="s">
        <v>31</v>
      </c>
      <c r="F1267" s="2" t="s">
        <v>54</v>
      </c>
      <c r="G1267" s="2" t="s">
        <v>15</v>
      </c>
      <c r="H1267" s="2" t="s">
        <v>116</v>
      </c>
      <c r="I1267" s="13">
        <v>1</v>
      </c>
      <c r="J1267" s="10">
        <v>19200.25</v>
      </c>
      <c r="K1267" s="10">
        <f t="shared" si="39"/>
        <v>19200.25</v>
      </c>
      <c r="L1267" s="2">
        <v>0.2</v>
      </c>
      <c r="M1267" s="2" t="s">
        <v>17</v>
      </c>
      <c r="N1267" s="2" t="s">
        <v>35</v>
      </c>
    </row>
    <row r="1268" spans="1:14" x14ac:dyDescent="0.2">
      <c r="A1268" s="13">
        <v>100252</v>
      </c>
      <c r="B1268" s="5">
        <v>45458</v>
      </c>
      <c r="C1268" s="5" t="str">
        <f t="shared" si="38"/>
        <v>Jun</v>
      </c>
      <c r="D1268" s="2" t="s">
        <v>900</v>
      </c>
      <c r="E1268" s="2" t="s">
        <v>61</v>
      </c>
      <c r="F1268" s="2" t="s">
        <v>119</v>
      </c>
      <c r="G1268" s="2" t="s">
        <v>106</v>
      </c>
      <c r="H1268" s="2" t="s">
        <v>156</v>
      </c>
      <c r="I1268" s="13">
        <v>1</v>
      </c>
      <c r="J1268" s="10">
        <v>695.68</v>
      </c>
      <c r="K1268" s="10">
        <f t="shared" si="39"/>
        <v>695.68</v>
      </c>
      <c r="L1268" s="2">
        <v>0</v>
      </c>
      <c r="M1268" s="2" t="s">
        <v>29</v>
      </c>
      <c r="N1268" s="2" t="s">
        <v>121</v>
      </c>
    </row>
    <row r="1269" spans="1:14" x14ac:dyDescent="0.2">
      <c r="A1269" s="13">
        <v>101839</v>
      </c>
      <c r="B1269" s="5">
        <v>45566</v>
      </c>
      <c r="C1269" s="5" t="str">
        <f t="shared" si="38"/>
        <v>Oct</v>
      </c>
      <c r="D1269" s="2" t="s">
        <v>665</v>
      </c>
      <c r="E1269" s="2" t="s">
        <v>31</v>
      </c>
      <c r="F1269" s="2" t="s">
        <v>54</v>
      </c>
      <c r="G1269" s="2" t="s">
        <v>64</v>
      </c>
      <c r="H1269" s="2" t="s">
        <v>114</v>
      </c>
      <c r="I1269" s="13">
        <v>6</v>
      </c>
      <c r="J1269" s="10">
        <v>229.42</v>
      </c>
      <c r="K1269" s="10">
        <f t="shared" si="39"/>
        <v>1376.52</v>
      </c>
      <c r="L1269" s="2">
        <v>0.2</v>
      </c>
      <c r="M1269" s="2" t="s">
        <v>29</v>
      </c>
      <c r="N1269" s="2" t="s">
        <v>18</v>
      </c>
    </row>
    <row r="1270" spans="1:14" x14ac:dyDescent="0.2">
      <c r="A1270" s="13">
        <v>101328</v>
      </c>
      <c r="B1270" s="5">
        <v>45595</v>
      </c>
      <c r="C1270" s="5" t="str">
        <f t="shared" si="38"/>
        <v>Oct</v>
      </c>
      <c r="D1270" s="2" t="s">
        <v>162</v>
      </c>
      <c r="E1270" s="2" t="s">
        <v>140</v>
      </c>
      <c r="F1270" s="2" t="s">
        <v>79</v>
      </c>
      <c r="G1270" s="2" t="s">
        <v>64</v>
      </c>
      <c r="H1270" s="2" t="s">
        <v>292</v>
      </c>
      <c r="I1270" s="13">
        <v>10</v>
      </c>
      <c r="J1270" s="10">
        <v>737.78</v>
      </c>
      <c r="K1270" s="10">
        <f t="shared" si="39"/>
        <v>7377.7999999999993</v>
      </c>
      <c r="L1270" s="2">
        <v>0.2</v>
      </c>
      <c r="M1270" s="2" t="s">
        <v>24</v>
      </c>
      <c r="N1270" s="2" t="s">
        <v>143</v>
      </c>
    </row>
    <row r="1271" spans="1:14" x14ac:dyDescent="0.2">
      <c r="A1271" s="13">
        <v>101923</v>
      </c>
      <c r="B1271" s="5">
        <v>45646</v>
      </c>
      <c r="C1271" s="5" t="str">
        <f t="shared" si="38"/>
        <v>Dec</v>
      </c>
      <c r="D1271" s="2" t="s">
        <v>290</v>
      </c>
      <c r="E1271" s="2" t="s">
        <v>31</v>
      </c>
      <c r="F1271" s="2" t="s">
        <v>32</v>
      </c>
      <c r="G1271" s="2" t="s">
        <v>106</v>
      </c>
      <c r="H1271" s="2" t="s">
        <v>135</v>
      </c>
      <c r="I1271" s="13">
        <v>4</v>
      </c>
      <c r="J1271" s="10">
        <v>891.19</v>
      </c>
      <c r="K1271" s="10">
        <f t="shared" si="39"/>
        <v>3564.76</v>
      </c>
      <c r="L1271" s="2">
        <v>0</v>
      </c>
      <c r="M1271" s="2" t="s">
        <v>17</v>
      </c>
      <c r="N1271" s="2" t="s">
        <v>87</v>
      </c>
    </row>
    <row r="1272" spans="1:14" x14ac:dyDescent="0.2">
      <c r="A1272" s="13">
        <v>100983</v>
      </c>
      <c r="B1272" s="5">
        <v>45564</v>
      </c>
      <c r="C1272" s="5" t="str">
        <f t="shared" si="38"/>
        <v>Sep</v>
      </c>
      <c r="D1272" s="2" t="s">
        <v>901</v>
      </c>
      <c r="E1272" s="2" t="s">
        <v>31</v>
      </c>
      <c r="F1272" s="2" t="s">
        <v>32</v>
      </c>
      <c r="G1272" s="2" t="s">
        <v>45</v>
      </c>
      <c r="H1272" s="2" t="s">
        <v>97</v>
      </c>
      <c r="I1272" s="13">
        <v>4</v>
      </c>
      <c r="J1272" s="10">
        <v>33558.5</v>
      </c>
      <c r="K1272" s="10">
        <f t="shared" si="39"/>
        <v>134234</v>
      </c>
      <c r="L1272" s="2">
        <v>0</v>
      </c>
      <c r="M1272" s="2" t="s">
        <v>24</v>
      </c>
      <c r="N1272" s="2" t="s">
        <v>143</v>
      </c>
    </row>
    <row r="1273" spans="1:14" x14ac:dyDescent="0.2">
      <c r="A1273" s="13">
        <v>101792</v>
      </c>
      <c r="B1273" s="5">
        <v>45655</v>
      </c>
      <c r="C1273" s="5" t="str">
        <f t="shared" si="38"/>
        <v>Dec</v>
      </c>
      <c r="D1273" s="2" t="s">
        <v>902</v>
      </c>
      <c r="E1273" s="2" t="s">
        <v>27</v>
      </c>
      <c r="F1273" s="2" t="s">
        <v>133</v>
      </c>
      <c r="G1273" s="2" t="s">
        <v>15</v>
      </c>
      <c r="H1273" s="2" t="s">
        <v>59</v>
      </c>
      <c r="I1273" s="13">
        <v>6</v>
      </c>
      <c r="J1273" s="10">
        <v>12397.62</v>
      </c>
      <c r="K1273" s="10">
        <f t="shared" si="39"/>
        <v>74385.72</v>
      </c>
      <c r="L1273" s="2">
        <v>0</v>
      </c>
      <c r="M1273" s="2" t="s">
        <v>29</v>
      </c>
      <c r="N1273" s="2" t="s">
        <v>121</v>
      </c>
    </row>
    <row r="1274" spans="1:14" x14ac:dyDescent="0.2">
      <c r="A1274" s="13">
        <v>100707</v>
      </c>
      <c r="B1274" s="5">
        <v>45370</v>
      </c>
      <c r="C1274" s="5" t="str">
        <f t="shared" si="38"/>
        <v>Mar</v>
      </c>
      <c r="D1274" s="2" t="s">
        <v>91</v>
      </c>
      <c r="E1274" s="2" t="s">
        <v>37</v>
      </c>
      <c r="F1274" s="2" t="s">
        <v>69</v>
      </c>
      <c r="G1274" s="2" t="s">
        <v>64</v>
      </c>
      <c r="H1274" s="2" t="s">
        <v>292</v>
      </c>
      <c r="I1274" s="13">
        <v>4</v>
      </c>
      <c r="J1274" s="10">
        <v>231.92</v>
      </c>
      <c r="K1274" s="10">
        <f t="shared" si="39"/>
        <v>927.68</v>
      </c>
      <c r="L1274" s="2">
        <v>0</v>
      </c>
      <c r="M1274" s="2" t="s">
        <v>29</v>
      </c>
      <c r="N1274" s="2" t="s">
        <v>143</v>
      </c>
    </row>
    <row r="1275" spans="1:14" x14ac:dyDescent="0.2">
      <c r="A1275" s="13">
        <v>100488</v>
      </c>
      <c r="B1275" s="5">
        <v>45512</v>
      </c>
      <c r="C1275" s="5" t="str">
        <f t="shared" si="38"/>
        <v>Aug</v>
      </c>
      <c r="D1275" s="2" t="s">
        <v>234</v>
      </c>
      <c r="E1275" s="2" t="s">
        <v>27</v>
      </c>
      <c r="F1275" s="2" t="s">
        <v>21</v>
      </c>
      <c r="G1275" s="2" t="s">
        <v>45</v>
      </c>
      <c r="H1275" s="2" t="s">
        <v>149</v>
      </c>
      <c r="I1275" s="13">
        <v>5</v>
      </c>
      <c r="J1275" s="10">
        <v>26522.53</v>
      </c>
      <c r="K1275" s="10">
        <f t="shared" si="39"/>
        <v>132612.65</v>
      </c>
      <c r="L1275" s="2">
        <v>0.2</v>
      </c>
      <c r="M1275" s="2" t="s">
        <v>29</v>
      </c>
      <c r="N1275" s="2" t="s">
        <v>52</v>
      </c>
    </row>
    <row r="1276" spans="1:14" x14ac:dyDescent="0.2">
      <c r="A1276" s="13">
        <v>100274</v>
      </c>
      <c r="B1276" s="5">
        <v>45627</v>
      </c>
      <c r="C1276" s="5" t="str">
        <f t="shared" si="38"/>
        <v>Dec</v>
      </c>
      <c r="D1276" s="2" t="s">
        <v>333</v>
      </c>
      <c r="E1276" s="2" t="s">
        <v>31</v>
      </c>
      <c r="F1276" s="2" t="s">
        <v>54</v>
      </c>
      <c r="G1276" s="2" t="s">
        <v>22</v>
      </c>
      <c r="H1276" s="2" t="s">
        <v>145</v>
      </c>
      <c r="I1276" s="13">
        <v>8</v>
      </c>
      <c r="J1276" s="10">
        <v>3097.86</v>
      </c>
      <c r="K1276" s="10">
        <f t="shared" si="39"/>
        <v>24782.880000000001</v>
      </c>
      <c r="L1276" s="2">
        <v>0</v>
      </c>
      <c r="M1276" s="2" t="s">
        <v>83</v>
      </c>
      <c r="N1276" s="2" t="s">
        <v>18</v>
      </c>
    </row>
    <row r="1277" spans="1:14" x14ac:dyDescent="0.2">
      <c r="A1277" s="13">
        <v>101521</v>
      </c>
      <c r="B1277" s="5">
        <v>45558</v>
      </c>
      <c r="C1277" s="5" t="str">
        <f t="shared" si="38"/>
        <v>Sep</v>
      </c>
      <c r="D1277" s="2" t="s">
        <v>334</v>
      </c>
      <c r="E1277" s="2" t="s">
        <v>27</v>
      </c>
      <c r="F1277" s="2" t="s">
        <v>21</v>
      </c>
      <c r="G1277" s="2" t="s">
        <v>106</v>
      </c>
      <c r="H1277" s="2" t="s">
        <v>137</v>
      </c>
      <c r="I1277" s="13">
        <v>2</v>
      </c>
      <c r="J1277" s="10">
        <v>3825.85</v>
      </c>
      <c r="K1277" s="10">
        <f t="shared" si="39"/>
        <v>7651.7</v>
      </c>
      <c r="L1277" s="2">
        <v>0</v>
      </c>
      <c r="M1277" s="2" t="s">
        <v>17</v>
      </c>
      <c r="N1277" s="2" t="s">
        <v>143</v>
      </c>
    </row>
    <row r="1278" spans="1:14" x14ac:dyDescent="0.2">
      <c r="A1278" s="13">
        <v>101688</v>
      </c>
      <c r="B1278" s="5">
        <v>45380</v>
      </c>
      <c r="C1278" s="5" t="str">
        <f t="shared" si="38"/>
        <v>Mar</v>
      </c>
      <c r="D1278" s="2" t="s">
        <v>150</v>
      </c>
      <c r="E1278" s="2" t="s">
        <v>140</v>
      </c>
      <c r="F1278" s="2" t="s">
        <v>79</v>
      </c>
      <c r="G1278" s="2" t="s">
        <v>45</v>
      </c>
      <c r="H1278" s="2" t="s">
        <v>111</v>
      </c>
      <c r="I1278" s="13">
        <v>6</v>
      </c>
      <c r="J1278" s="10">
        <v>2433.17</v>
      </c>
      <c r="K1278" s="10">
        <f t="shared" si="39"/>
        <v>14599.02</v>
      </c>
      <c r="L1278" s="2">
        <v>0.15</v>
      </c>
      <c r="M1278" s="2" t="s">
        <v>24</v>
      </c>
      <c r="N1278" s="2" t="s">
        <v>35</v>
      </c>
    </row>
    <row r="1279" spans="1:14" x14ac:dyDescent="0.2">
      <c r="A1279" s="13">
        <v>100964</v>
      </c>
      <c r="B1279" s="5">
        <v>45599</v>
      </c>
      <c r="C1279" s="5" t="str">
        <f t="shared" si="38"/>
        <v>Nov</v>
      </c>
      <c r="D1279" s="2" t="s">
        <v>125</v>
      </c>
      <c r="E1279" s="2" t="s">
        <v>31</v>
      </c>
      <c r="F1279" s="2" t="s">
        <v>32</v>
      </c>
      <c r="G1279" s="2" t="s">
        <v>33</v>
      </c>
      <c r="H1279" s="2" t="s">
        <v>93</v>
      </c>
      <c r="I1279" s="13"/>
      <c r="J1279" s="10">
        <v>353.96</v>
      </c>
      <c r="K1279" s="10">
        <f t="shared" si="39"/>
        <v>0</v>
      </c>
      <c r="L1279" s="2">
        <v>0.15</v>
      </c>
      <c r="M1279" s="2" t="s">
        <v>29</v>
      </c>
      <c r="N1279" s="2" t="s">
        <v>18</v>
      </c>
    </row>
    <row r="1280" spans="1:14" x14ac:dyDescent="0.2">
      <c r="A1280" s="13">
        <v>100878</v>
      </c>
      <c r="B1280" s="5">
        <v>45298</v>
      </c>
      <c r="C1280" s="5" t="str">
        <f t="shared" si="38"/>
        <v>Jan</v>
      </c>
      <c r="D1280" s="2" t="s">
        <v>906</v>
      </c>
      <c r="E1280" s="2" t="s">
        <v>27</v>
      </c>
      <c r="F1280" s="2" t="s">
        <v>21</v>
      </c>
      <c r="G1280" s="2" t="s">
        <v>22</v>
      </c>
      <c r="H1280" s="2" t="s">
        <v>145</v>
      </c>
      <c r="I1280" s="13">
        <v>6</v>
      </c>
      <c r="J1280" s="10">
        <v>1115.51</v>
      </c>
      <c r="K1280" s="10">
        <f t="shared" si="39"/>
        <v>6693.0599999999995</v>
      </c>
      <c r="L1280" s="2">
        <v>0</v>
      </c>
      <c r="M1280" s="2" t="s">
        <v>29</v>
      </c>
      <c r="N1280" s="2" t="s">
        <v>87</v>
      </c>
    </row>
    <row r="1281" spans="1:14" x14ac:dyDescent="0.2">
      <c r="A1281" s="13">
        <v>101498</v>
      </c>
      <c r="B1281" s="5">
        <v>45508</v>
      </c>
      <c r="C1281" s="5" t="str">
        <f t="shared" si="38"/>
        <v>Aug</v>
      </c>
      <c r="D1281" s="2" t="s">
        <v>353</v>
      </c>
      <c r="E1281" s="2" t="s">
        <v>37</v>
      </c>
      <c r="F1281" s="2" t="s">
        <v>69</v>
      </c>
      <c r="G1281" s="2" t="s">
        <v>33</v>
      </c>
      <c r="H1281" s="2" t="s">
        <v>158</v>
      </c>
      <c r="I1281" s="13">
        <v>5</v>
      </c>
      <c r="J1281" s="10">
        <v>140.65</v>
      </c>
      <c r="K1281" s="10">
        <f t="shared" si="39"/>
        <v>703.25</v>
      </c>
      <c r="L1281" s="2">
        <v>0.15</v>
      </c>
      <c r="M1281" s="2" t="s">
        <v>17</v>
      </c>
      <c r="N1281" s="2" t="s">
        <v>35</v>
      </c>
    </row>
    <row r="1282" spans="1:14" x14ac:dyDescent="0.2">
      <c r="A1282" s="13">
        <v>101832</v>
      </c>
      <c r="B1282" s="5">
        <v>45579</v>
      </c>
      <c r="C1282" s="5" t="str">
        <f t="shared" ref="C1282:C1345" si="40">TEXT(B1282,"mmm")</f>
        <v>Oct</v>
      </c>
      <c r="D1282" s="2" t="s">
        <v>908</v>
      </c>
      <c r="E1282" s="2" t="s">
        <v>37</v>
      </c>
      <c r="F1282" s="2" t="s">
        <v>69</v>
      </c>
      <c r="G1282" s="2" t="s">
        <v>45</v>
      </c>
      <c r="H1282" s="2" t="s">
        <v>97</v>
      </c>
      <c r="I1282" s="13">
        <v>2</v>
      </c>
      <c r="J1282" s="10">
        <v>39456.17</v>
      </c>
      <c r="K1282" s="10">
        <f t="shared" ref="K1282:K1345" si="41">I1282*J1282</f>
        <v>78912.34</v>
      </c>
      <c r="L1282" s="2">
        <v>0.1</v>
      </c>
      <c r="M1282" s="2" t="s">
        <v>83</v>
      </c>
      <c r="N1282" s="2" t="s">
        <v>143</v>
      </c>
    </row>
    <row r="1283" spans="1:14" x14ac:dyDescent="0.2">
      <c r="A1283" s="13">
        <v>100412</v>
      </c>
      <c r="B1283" s="5">
        <v>45509</v>
      </c>
      <c r="C1283" s="5" t="str">
        <f t="shared" si="40"/>
        <v>Aug</v>
      </c>
      <c r="D1283" s="2" t="s">
        <v>596</v>
      </c>
      <c r="E1283" s="2" t="s">
        <v>37</v>
      </c>
      <c r="F1283" s="2" t="s">
        <v>69</v>
      </c>
      <c r="G1283" s="2" t="s">
        <v>33</v>
      </c>
      <c r="H1283" s="2" t="s">
        <v>34</v>
      </c>
      <c r="I1283" s="13">
        <v>8</v>
      </c>
      <c r="J1283" s="10">
        <v>409.32</v>
      </c>
      <c r="K1283" s="10">
        <f t="shared" si="41"/>
        <v>3274.56</v>
      </c>
      <c r="L1283" s="2">
        <v>0.05</v>
      </c>
      <c r="M1283" s="2" t="s">
        <v>29</v>
      </c>
      <c r="N1283" s="2" t="s">
        <v>25</v>
      </c>
    </row>
    <row r="1284" spans="1:14" x14ac:dyDescent="0.2">
      <c r="A1284" s="13">
        <v>100668</v>
      </c>
      <c r="B1284" s="5">
        <v>45570</v>
      </c>
      <c r="C1284" s="5" t="str">
        <f t="shared" si="40"/>
        <v>Oct</v>
      </c>
      <c r="D1284" s="2" t="s">
        <v>100</v>
      </c>
      <c r="E1284" s="2" t="s">
        <v>31</v>
      </c>
      <c r="F1284" s="2" t="s">
        <v>54</v>
      </c>
      <c r="G1284" s="2" t="s">
        <v>45</v>
      </c>
      <c r="H1284" s="2" t="s">
        <v>149</v>
      </c>
      <c r="I1284" s="13">
        <v>11</v>
      </c>
      <c r="J1284" s="10">
        <v>33317.379999999997</v>
      </c>
      <c r="K1284" s="10">
        <f t="shared" si="41"/>
        <v>366491.18</v>
      </c>
      <c r="L1284" s="2">
        <v>0.2</v>
      </c>
      <c r="M1284" s="2" t="s">
        <v>83</v>
      </c>
      <c r="N1284" s="2" t="s">
        <v>52</v>
      </c>
    </row>
    <row r="1285" spans="1:14" x14ac:dyDescent="0.2">
      <c r="A1285" s="13">
        <v>101263</v>
      </c>
      <c r="B1285" s="5">
        <v>45379</v>
      </c>
      <c r="C1285" s="5" t="str">
        <f t="shared" si="40"/>
        <v>Mar</v>
      </c>
      <c r="D1285" s="2" t="s">
        <v>286</v>
      </c>
      <c r="E1285" s="2" t="s">
        <v>140</v>
      </c>
      <c r="F1285" s="2" t="s">
        <v>49</v>
      </c>
      <c r="G1285" s="2" t="s">
        <v>50</v>
      </c>
      <c r="H1285" s="2" t="s">
        <v>207</v>
      </c>
      <c r="I1285" s="13"/>
      <c r="J1285" s="10">
        <v>4637.62</v>
      </c>
      <c r="K1285" s="10">
        <f t="shared" si="41"/>
        <v>0</v>
      </c>
      <c r="L1285" s="2">
        <v>0.15</v>
      </c>
      <c r="M1285" s="2" t="s">
        <v>83</v>
      </c>
      <c r="N1285" s="2" t="s">
        <v>121</v>
      </c>
    </row>
    <row r="1286" spans="1:14" x14ac:dyDescent="0.2">
      <c r="A1286" s="13">
        <v>100150</v>
      </c>
      <c r="B1286" s="5">
        <v>45322</v>
      </c>
      <c r="C1286" s="5" t="str">
        <f t="shared" si="40"/>
        <v>Jan</v>
      </c>
      <c r="D1286" s="2" t="s">
        <v>400</v>
      </c>
      <c r="E1286" s="2" t="s">
        <v>31</v>
      </c>
      <c r="F1286" s="2" t="s">
        <v>54</v>
      </c>
      <c r="G1286" s="2" t="s">
        <v>22</v>
      </c>
      <c r="H1286" s="2" t="s">
        <v>232</v>
      </c>
      <c r="I1286" s="13">
        <v>11</v>
      </c>
      <c r="J1286" s="10">
        <v>3425.17</v>
      </c>
      <c r="K1286" s="10">
        <f t="shared" si="41"/>
        <v>37676.870000000003</v>
      </c>
      <c r="L1286" s="2">
        <v>0</v>
      </c>
      <c r="M1286" s="2" t="s">
        <v>17</v>
      </c>
      <c r="N1286" s="2" t="s">
        <v>25</v>
      </c>
    </row>
    <row r="1287" spans="1:14" x14ac:dyDescent="0.2">
      <c r="A1287" s="13">
        <v>100645</v>
      </c>
      <c r="B1287" s="5">
        <v>45566</v>
      </c>
      <c r="C1287" s="5" t="str">
        <f t="shared" si="40"/>
        <v>Oct</v>
      </c>
      <c r="D1287" s="2" t="s">
        <v>795</v>
      </c>
      <c r="E1287" s="2" t="s">
        <v>61</v>
      </c>
      <c r="F1287" s="2" t="s">
        <v>14</v>
      </c>
      <c r="G1287" s="2" t="s">
        <v>64</v>
      </c>
      <c r="H1287" s="2" t="s">
        <v>40</v>
      </c>
      <c r="I1287" s="13">
        <v>11</v>
      </c>
      <c r="J1287" s="10">
        <v>373.01</v>
      </c>
      <c r="K1287" s="10">
        <f t="shared" si="41"/>
        <v>4103.1099999999997</v>
      </c>
      <c r="L1287" s="2">
        <v>0.15</v>
      </c>
      <c r="M1287" s="2" t="s">
        <v>83</v>
      </c>
      <c r="N1287" s="2" t="s">
        <v>42</v>
      </c>
    </row>
    <row r="1288" spans="1:14" x14ac:dyDescent="0.2">
      <c r="A1288" s="13">
        <v>101623</v>
      </c>
      <c r="B1288" s="5">
        <v>45634</v>
      </c>
      <c r="C1288" s="5" t="str">
        <f t="shared" si="40"/>
        <v>Dec</v>
      </c>
      <c r="D1288" s="2" t="s">
        <v>452</v>
      </c>
      <c r="E1288" s="2" t="s">
        <v>140</v>
      </c>
      <c r="F1288" s="2" t="s">
        <v>49</v>
      </c>
      <c r="G1288" s="2" t="s">
        <v>45</v>
      </c>
      <c r="H1288" s="2" t="s">
        <v>149</v>
      </c>
      <c r="I1288" s="13">
        <v>5</v>
      </c>
      <c r="J1288" s="10">
        <v>28438.67</v>
      </c>
      <c r="K1288" s="10">
        <f t="shared" si="41"/>
        <v>142193.34999999998</v>
      </c>
      <c r="L1288" s="2">
        <v>0.2</v>
      </c>
      <c r="M1288" s="2" t="s">
        <v>66</v>
      </c>
      <c r="N1288" s="2" t="s">
        <v>87</v>
      </c>
    </row>
    <row r="1289" spans="1:14" x14ac:dyDescent="0.2">
      <c r="A1289" s="13">
        <v>100219</v>
      </c>
      <c r="B1289" s="5">
        <v>45554</v>
      </c>
      <c r="C1289" s="5" t="str">
        <f t="shared" si="40"/>
        <v>Sep</v>
      </c>
      <c r="D1289" s="2" t="s">
        <v>572</v>
      </c>
      <c r="E1289" s="2" t="s">
        <v>31</v>
      </c>
      <c r="F1289" s="2" t="s">
        <v>32</v>
      </c>
      <c r="G1289" s="2" t="s">
        <v>22</v>
      </c>
      <c r="H1289" s="2" t="s">
        <v>232</v>
      </c>
      <c r="I1289" s="13">
        <v>4</v>
      </c>
      <c r="J1289" s="10">
        <v>661.36</v>
      </c>
      <c r="K1289" s="10">
        <f t="shared" si="41"/>
        <v>2645.44</v>
      </c>
      <c r="L1289" s="2">
        <v>0</v>
      </c>
      <c r="M1289" s="2" t="s">
        <v>24</v>
      </c>
      <c r="N1289" s="2" t="s">
        <v>35</v>
      </c>
    </row>
    <row r="1290" spans="1:14" x14ac:dyDescent="0.2">
      <c r="A1290" s="13">
        <v>100240</v>
      </c>
      <c r="B1290" s="5">
        <v>45628</v>
      </c>
      <c r="C1290" s="5" t="str">
        <f t="shared" si="40"/>
        <v>Dec</v>
      </c>
      <c r="D1290" s="2" t="s">
        <v>320</v>
      </c>
      <c r="E1290" s="2" t="s">
        <v>61</v>
      </c>
      <c r="F1290" s="2" t="s">
        <v>119</v>
      </c>
      <c r="G1290" s="2" t="s">
        <v>106</v>
      </c>
      <c r="H1290" s="2" t="s">
        <v>135</v>
      </c>
      <c r="I1290" s="13"/>
      <c r="J1290" s="10">
        <v>2695.2</v>
      </c>
      <c r="K1290" s="10">
        <f t="shared" si="41"/>
        <v>0</v>
      </c>
      <c r="L1290" s="2">
        <v>0</v>
      </c>
      <c r="M1290" s="2" t="s">
        <v>41</v>
      </c>
      <c r="N1290" s="2" t="s">
        <v>87</v>
      </c>
    </row>
    <row r="1291" spans="1:14" x14ac:dyDescent="0.2">
      <c r="A1291" s="13">
        <v>101217</v>
      </c>
      <c r="B1291" s="5">
        <v>45412</v>
      </c>
      <c r="C1291" s="5" t="str">
        <f t="shared" si="40"/>
        <v>Apr</v>
      </c>
      <c r="D1291" s="2" t="s">
        <v>764</v>
      </c>
      <c r="E1291" s="2" t="s">
        <v>140</v>
      </c>
      <c r="F1291" s="2" t="s">
        <v>49</v>
      </c>
      <c r="G1291" s="2" t="s">
        <v>50</v>
      </c>
      <c r="H1291" s="2" t="s">
        <v>99</v>
      </c>
      <c r="I1291" s="13">
        <v>5</v>
      </c>
      <c r="J1291" s="10">
        <v>8069.95</v>
      </c>
      <c r="K1291" s="10">
        <f t="shared" si="41"/>
        <v>40349.75</v>
      </c>
      <c r="L1291" s="2">
        <v>0.2</v>
      </c>
      <c r="M1291" s="2" t="s">
        <v>83</v>
      </c>
      <c r="N1291" s="2" t="s">
        <v>42</v>
      </c>
    </row>
    <row r="1292" spans="1:14" x14ac:dyDescent="0.2">
      <c r="A1292" s="13">
        <v>100793</v>
      </c>
      <c r="B1292" s="5">
        <v>45327</v>
      </c>
      <c r="C1292" s="5" t="str">
        <f t="shared" si="40"/>
        <v>Feb</v>
      </c>
      <c r="D1292" s="2" t="s">
        <v>725</v>
      </c>
      <c r="E1292" s="2" t="s">
        <v>31</v>
      </c>
      <c r="F1292" s="2" t="s">
        <v>54</v>
      </c>
      <c r="G1292" s="2" t="s">
        <v>22</v>
      </c>
      <c r="H1292" s="2" t="s">
        <v>141</v>
      </c>
      <c r="I1292" s="13">
        <v>3</v>
      </c>
      <c r="J1292" s="10">
        <v>2142.33</v>
      </c>
      <c r="K1292" s="10">
        <f t="shared" si="41"/>
        <v>6426.99</v>
      </c>
      <c r="L1292" s="2">
        <v>0</v>
      </c>
      <c r="M1292" s="2" t="s">
        <v>41</v>
      </c>
      <c r="N1292" s="2" t="s">
        <v>121</v>
      </c>
    </row>
    <row r="1293" spans="1:14" x14ac:dyDescent="0.2">
      <c r="A1293" s="13">
        <v>100192</v>
      </c>
      <c r="B1293" s="5">
        <v>45320</v>
      </c>
      <c r="C1293" s="5" t="str">
        <f t="shared" si="40"/>
        <v>Jan</v>
      </c>
      <c r="D1293" s="2" t="s">
        <v>900</v>
      </c>
      <c r="E1293" s="2" t="s">
        <v>27</v>
      </c>
      <c r="F1293" s="2" t="s">
        <v>133</v>
      </c>
      <c r="G1293" s="2" t="s">
        <v>45</v>
      </c>
      <c r="H1293" s="2" t="s">
        <v>149</v>
      </c>
      <c r="I1293" s="13">
        <v>9</v>
      </c>
      <c r="J1293" s="10">
        <v>3317.13</v>
      </c>
      <c r="K1293" s="10">
        <f t="shared" si="41"/>
        <v>29854.170000000002</v>
      </c>
      <c r="L1293" s="2">
        <v>0.15</v>
      </c>
      <c r="M1293" s="2" t="s">
        <v>17</v>
      </c>
      <c r="N1293" s="2" t="s">
        <v>87</v>
      </c>
    </row>
    <row r="1294" spans="1:14" x14ac:dyDescent="0.2">
      <c r="A1294" s="13">
        <v>100334</v>
      </c>
      <c r="B1294" s="5">
        <v>45646</v>
      </c>
      <c r="C1294" s="5" t="str">
        <f t="shared" si="40"/>
        <v>Dec</v>
      </c>
      <c r="D1294" s="2" t="s">
        <v>188</v>
      </c>
      <c r="E1294" s="2" t="s">
        <v>37</v>
      </c>
      <c r="F1294" s="2" t="s">
        <v>69</v>
      </c>
      <c r="G1294" s="2" t="s">
        <v>22</v>
      </c>
      <c r="H1294" s="2" t="s">
        <v>145</v>
      </c>
      <c r="I1294" s="13">
        <v>7</v>
      </c>
      <c r="J1294" s="10">
        <v>2971.73</v>
      </c>
      <c r="K1294" s="10">
        <f t="shared" si="41"/>
        <v>20802.11</v>
      </c>
      <c r="L1294" s="2">
        <v>0.25</v>
      </c>
      <c r="M1294" s="2" t="s">
        <v>41</v>
      </c>
      <c r="N1294" s="2" t="s">
        <v>35</v>
      </c>
    </row>
    <row r="1295" spans="1:14" x14ac:dyDescent="0.2">
      <c r="A1295" s="13">
        <v>101335</v>
      </c>
      <c r="B1295" s="5">
        <v>45320</v>
      </c>
      <c r="C1295" s="5" t="str">
        <f t="shared" si="40"/>
        <v>Jan</v>
      </c>
      <c r="D1295" s="2" t="s">
        <v>134</v>
      </c>
      <c r="E1295" s="2" t="s">
        <v>27</v>
      </c>
      <c r="F1295" s="2" t="s">
        <v>21</v>
      </c>
      <c r="G1295" s="2" t="s">
        <v>64</v>
      </c>
      <c r="H1295" s="2" t="s">
        <v>242</v>
      </c>
      <c r="I1295" s="13">
        <v>4</v>
      </c>
      <c r="J1295" s="10">
        <v>294.31</v>
      </c>
      <c r="K1295" s="10">
        <f t="shared" si="41"/>
        <v>1177.24</v>
      </c>
      <c r="L1295" s="2">
        <v>0.05</v>
      </c>
      <c r="M1295" s="2" t="s">
        <v>29</v>
      </c>
      <c r="N1295" s="2" t="s">
        <v>42</v>
      </c>
    </row>
    <row r="1296" spans="1:14" x14ac:dyDescent="0.2">
      <c r="A1296" s="13">
        <v>101559</v>
      </c>
      <c r="B1296" s="5">
        <v>45637</v>
      </c>
      <c r="C1296" s="5" t="str">
        <f t="shared" si="40"/>
        <v>Dec</v>
      </c>
      <c r="D1296" s="2" t="s">
        <v>911</v>
      </c>
      <c r="E1296" s="2" t="s">
        <v>31</v>
      </c>
      <c r="F1296" s="2" t="s">
        <v>54</v>
      </c>
      <c r="G1296" s="2" t="s">
        <v>50</v>
      </c>
      <c r="H1296" s="2" t="s">
        <v>51</v>
      </c>
      <c r="I1296" s="13">
        <v>5</v>
      </c>
      <c r="J1296" s="10">
        <v>4539.67</v>
      </c>
      <c r="K1296" s="10">
        <f t="shared" si="41"/>
        <v>22698.35</v>
      </c>
      <c r="L1296" s="2">
        <v>0.25</v>
      </c>
      <c r="M1296" s="2" t="s">
        <v>83</v>
      </c>
      <c r="N1296" s="2" t="s">
        <v>35</v>
      </c>
    </row>
    <row r="1297" spans="1:14" x14ac:dyDescent="0.2">
      <c r="A1297" s="13">
        <v>100963</v>
      </c>
      <c r="B1297" s="5">
        <v>45512</v>
      </c>
      <c r="C1297" s="5" t="str">
        <f t="shared" si="40"/>
        <v>Aug</v>
      </c>
      <c r="D1297" s="2" t="s">
        <v>63</v>
      </c>
      <c r="E1297" s="2" t="s">
        <v>31</v>
      </c>
      <c r="F1297" s="2" t="s">
        <v>32</v>
      </c>
      <c r="G1297" s="2" t="s">
        <v>33</v>
      </c>
      <c r="H1297" s="2" t="s">
        <v>34</v>
      </c>
      <c r="I1297" s="13">
        <v>6</v>
      </c>
      <c r="J1297" s="10">
        <v>0</v>
      </c>
      <c r="K1297" s="10">
        <f t="shared" si="41"/>
        <v>0</v>
      </c>
      <c r="L1297" s="2">
        <v>0.05</v>
      </c>
      <c r="M1297" s="2" t="s">
        <v>24</v>
      </c>
      <c r="N1297" s="2" t="s">
        <v>121</v>
      </c>
    </row>
    <row r="1298" spans="1:14" x14ac:dyDescent="0.2">
      <c r="A1298" s="13">
        <v>101334</v>
      </c>
      <c r="B1298" s="5">
        <v>45395</v>
      </c>
      <c r="C1298" s="5" t="str">
        <f t="shared" si="40"/>
        <v>Apr</v>
      </c>
      <c r="D1298" s="2" t="s">
        <v>644</v>
      </c>
      <c r="E1298" s="2" t="s">
        <v>31</v>
      </c>
      <c r="F1298" s="2" t="s">
        <v>54</v>
      </c>
      <c r="G1298" s="2" t="s">
        <v>45</v>
      </c>
      <c r="H1298" s="2" t="s">
        <v>97</v>
      </c>
      <c r="I1298" s="13">
        <v>4</v>
      </c>
      <c r="J1298" s="10">
        <v>26077.54</v>
      </c>
      <c r="K1298" s="10">
        <f t="shared" si="41"/>
        <v>104310.16</v>
      </c>
      <c r="L1298" s="2">
        <v>0.25</v>
      </c>
      <c r="M1298" s="2" t="s">
        <v>66</v>
      </c>
      <c r="N1298" s="2" t="s">
        <v>25</v>
      </c>
    </row>
    <row r="1299" spans="1:14" x14ac:dyDescent="0.2">
      <c r="A1299" s="13">
        <v>101971</v>
      </c>
      <c r="B1299" s="5">
        <v>45525</v>
      </c>
      <c r="C1299" s="5" t="str">
        <f t="shared" si="40"/>
        <v>Aug</v>
      </c>
      <c r="D1299" s="2" t="s">
        <v>666</v>
      </c>
      <c r="E1299" s="2" t="s">
        <v>61</v>
      </c>
      <c r="F1299" s="2" t="s">
        <v>14</v>
      </c>
      <c r="G1299" s="2" t="s">
        <v>64</v>
      </c>
      <c r="H1299" s="2" t="s">
        <v>242</v>
      </c>
      <c r="I1299" s="13">
        <v>1</v>
      </c>
      <c r="J1299" s="10">
        <v>861.23</v>
      </c>
      <c r="K1299" s="10">
        <f t="shared" si="41"/>
        <v>861.23</v>
      </c>
      <c r="L1299" s="2">
        <v>0</v>
      </c>
      <c r="M1299" s="2" t="s">
        <v>24</v>
      </c>
      <c r="N1299" s="2" t="s">
        <v>18</v>
      </c>
    </row>
    <row r="1300" spans="1:14" x14ac:dyDescent="0.2">
      <c r="A1300" s="13">
        <v>101687</v>
      </c>
      <c r="B1300" s="5">
        <v>45644</v>
      </c>
      <c r="C1300" s="5" t="str">
        <f t="shared" si="40"/>
        <v>Dec</v>
      </c>
      <c r="D1300" s="2" t="s">
        <v>711</v>
      </c>
      <c r="E1300" s="2" t="s">
        <v>140</v>
      </c>
      <c r="F1300" s="2" t="s">
        <v>49</v>
      </c>
      <c r="G1300" s="2" t="s">
        <v>50</v>
      </c>
      <c r="H1300" s="2" t="s">
        <v>56</v>
      </c>
      <c r="I1300" s="13">
        <v>10</v>
      </c>
      <c r="J1300" s="10">
        <v>4288.72</v>
      </c>
      <c r="K1300" s="10">
        <f t="shared" si="41"/>
        <v>42887.200000000004</v>
      </c>
      <c r="L1300" s="2">
        <v>0</v>
      </c>
      <c r="M1300" s="2" t="s">
        <v>17</v>
      </c>
      <c r="N1300" s="2" t="s">
        <v>42</v>
      </c>
    </row>
    <row r="1301" spans="1:14" x14ac:dyDescent="0.2">
      <c r="A1301" s="13">
        <v>101635</v>
      </c>
      <c r="B1301" s="5">
        <v>45487</v>
      </c>
      <c r="C1301" s="5" t="str">
        <f t="shared" si="40"/>
        <v>Jul</v>
      </c>
      <c r="D1301" s="2" t="s">
        <v>653</v>
      </c>
      <c r="E1301" s="2" t="s">
        <v>27</v>
      </c>
      <c r="F1301" s="2" t="s">
        <v>21</v>
      </c>
      <c r="G1301" s="2" t="s">
        <v>15</v>
      </c>
      <c r="H1301" s="2" t="s">
        <v>152</v>
      </c>
      <c r="I1301" s="13">
        <v>10</v>
      </c>
      <c r="J1301" s="10">
        <v>12151.01</v>
      </c>
      <c r="K1301" s="10">
        <f t="shared" si="41"/>
        <v>121510.1</v>
      </c>
      <c r="L1301" s="2">
        <v>0.05</v>
      </c>
      <c r="M1301" s="2" t="s">
        <v>41</v>
      </c>
      <c r="N1301" s="2" t="s">
        <v>87</v>
      </c>
    </row>
    <row r="1302" spans="1:14" x14ac:dyDescent="0.2">
      <c r="A1302" s="13">
        <v>100583</v>
      </c>
      <c r="B1302" s="5">
        <v>45432</v>
      </c>
      <c r="C1302" s="5" t="str">
        <f t="shared" si="40"/>
        <v>May</v>
      </c>
      <c r="D1302" s="2" t="s">
        <v>601</v>
      </c>
      <c r="E1302" s="2" t="s">
        <v>61</v>
      </c>
      <c r="F1302" s="2" t="s">
        <v>14</v>
      </c>
      <c r="G1302" s="2" t="s">
        <v>50</v>
      </c>
      <c r="H1302" s="2" t="s">
        <v>56</v>
      </c>
      <c r="I1302" s="13">
        <v>2</v>
      </c>
      <c r="J1302" s="10">
        <v>6209.12</v>
      </c>
      <c r="K1302" s="10">
        <f t="shared" si="41"/>
        <v>12418.24</v>
      </c>
      <c r="L1302" s="2">
        <v>0</v>
      </c>
      <c r="M1302" s="2" t="s">
        <v>29</v>
      </c>
      <c r="N1302" s="2" t="s">
        <v>35</v>
      </c>
    </row>
    <row r="1303" spans="1:14" x14ac:dyDescent="0.2">
      <c r="A1303" s="13">
        <v>101929</v>
      </c>
      <c r="B1303" s="5">
        <v>45525</v>
      </c>
      <c r="C1303" s="5" t="str">
        <f t="shared" si="40"/>
        <v>Aug</v>
      </c>
      <c r="D1303" s="2" t="s">
        <v>506</v>
      </c>
      <c r="E1303" s="2" t="s">
        <v>37</v>
      </c>
      <c r="F1303" s="2" t="s">
        <v>69</v>
      </c>
      <c r="G1303" s="2" t="s">
        <v>15</v>
      </c>
      <c r="H1303" s="2" t="s">
        <v>116</v>
      </c>
      <c r="I1303" s="13">
        <v>9</v>
      </c>
      <c r="J1303" s="10">
        <v>13794.39</v>
      </c>
      <c r="K1303" s="10">
        <f t="shared" si="41"/>
        <v>124149.51</v>
      </c>
      <c r="L1303" s="2">
        <v>0</v>
      </c>
      <c r="M1303" s="2" t="s">
        <v>41</v>
      </c>
      <c r="N1303" s="2" t="s">
        <v>35</v>
      </c>
    </row>
    <row r="1304" spans="1:14" x14ac:dyDescent="0.2">
      <c r="A1304" s="13">
        <v>101449</v>
      </c>
      <c r="B1304" s="5">
        <v>45518</v>
      </c>
      <c r="C1304" s="5" t="str">
        <f t="shared" si="40"/>
        <v>Aug</v>
      </c>
      <c r="D1304" s="2" t="s">
        <v>628</v>
      </c>
      <c r="E1304" s="2" t="s">
        <v>27</v>
      </c>
      <c r="F1304" s="2" t="s">
        <v>21</v>
      </c>
      <c r="G1304" s="2" t="s">
        <v>15</v>
      </c>
      <c r="H1304" s="2" t="s">
        <v>205</v>
      </c>
      <c r="I1304" s="13">
        <v>8</v>
      </c>
      <c r="J1304" s="10">
        <v>20593.8</v>
      </c>
      <c r="K1304" s="10">
        <f t="shared" si="41"/>
        <v>164750.39999999999</v>
      </c>
      <c r="L1304" s="2">
        <v>0</v>
      </c>
      <c r="M1304" s="2" t="s">
        <v>41</v>
      </c>
      <c r="N1304" s="2" t="s">
        <v>121</v>
      </c>
    </row>
    <row r="1305" spans="1:14" x14ac:dyDescent="0.2">
      <c r="A1305" s="13">
        <v>100840</v>
      </c>
      <c r="B1305" s="5">
        <v>45488</v>
      </c>
      <c r="C1305" s="5" t="str">
        <f t="shared" si="40"/>
        <v>Jul</v>
      </c>
      <c r="D1305" s="2" t="s">
        <v>241</v>
      </c>
      <c r="E1305" s="2" t="s">
        <v>61</v>
      </c>
      <c r="F1305" s="2" t="s">
        <v>14</v>
      </c>
      <c r="G1305" s="2" t="s">
        <v>22</v>
      </c>
      <c r="H1305" s="2" t="s">
        <v>141</v>
      </c>
      <c r="I1305" s="13">
        <v>5</v>
      </c>
      <c r="J1305" s="10">
        <v>1187.72</v>
      </c>
      <c r="K1305" s="10">
        <f t="shared" si="41"/>
        <v>5938.6</v>
      </c>
      <c r="L1305" s="2">
        <v>0.05</v>
      </c>
      <c r="M1305" s="2" t="s">
        <v>66</v>
      </c>
      <c r="N1305" s="2" t="s">
        <v>87</v>
      </c>
    </row>
    <row r="1306" spans="1:14" x14ac:dyDescent="0.2">
      <c r="A1306" s="13">
        <v>100628</v>
      </c>
      <c r="B1306" s="5">
        <v>45496</v>
      </c>
      <c r="C1306" s="5" t="str">
        <f t="shared" si="40"/>
        <v>Jul</v>
      </c>
      <c r="D1306" s="2" t="s">
        <v>914</v>
      </c>
      <c r="E1306" s="2" t="s">
        <v>61</v>
      </c>
      <c r="F1306" s="2" t="s">
        <v>119</v>
      </c>
      <c r="G1306" s="2" t="s">
        <v>15</v>
      </c>
      <c r="H1306" s="2" t="s">
        <v>116</v>
      </c>
      <c r="I1306" s="13">
        <v>2</v>
      </c>
      <c r="J1306" s="10">
        <v>23849.18</v>
      </c>
      <c r="K1306" s="10">
        <f t="shared" si="41"/>
        <v>47698.36</v>
      </c>
      <c r="L1306" s="2">
        <v>0</v>
      </c>
      <c r="M1306" s="2" t="s">
        <v>17</v>
      </c>
      <c r="N1306" s="2" t="s">
        <v>18</v>
      </c>
    </row>
    <row r="1307" spans="1:14" x14ac:dyDescent="0.2">
      <c r="A1307" s="13">
        <v>100324</v>
      </c>
      <c r="B1307" s="5">
        <v>45519</v>
      </c>
      <c r="C1307" s="5" t="str">
        <f t="shared" si="40"/>
        <v>Aug</v>
      </c>
      <c r="D1307" s="2" t="s">
        <v>290</v>
      </c>
      <c r="E1307" s="2" t="s">
        <v>31</v>
      </c>
      <c r="F1307" s="2" t="s">
        <v>32</v>
      </c>
      <c r="G1307" s="2" t="s">
        <v>106</v>
      </c>
      <c r="H1307" s="2" t="s">
        <v>135</v>
      </c>
      <c r="I1307" s="13">
        <v>12</v>
      </c>
      <c r="J1307" s="10">
        <v>1817.14</v>
      </c>
      <c r="K1307" s="10">
        <f t="shared" si="41"/>
        <v>21805.68</v>
      </c>
      <c r="L1307" s="2">
        <v>0.05</v>
      </c>
      <c r="M1307" s="2" t="s">
        <v>66</v>
      </c>
      <c r="N1307" s="2" t="s">
        <v>18</v>
      </c>
    </row>
    <row r="1308" spans="1:14" x14ac:dyDescent="0.2">
      <c r="A1308" s="13">
        <v>101661</v>
      </c>
      <c r="B1308" s="5">
        <v>45342</v>
      </c>
      <c r="C1308" s="5" t="str">
        <f t="shared" si="40"/>
        <v>Feb</v>
      </c>
      <c r="D1308" s="2" t="s">
        <v>914</v>
      </c>
      <c r="E1308" s="2" t="s">
        <v>27</v>
      </c>
      <c r="F1308" s="2" t="s">
        <v>133</v>
      </c>
      <c r="G1308" s="2" t="s">
        <v>45</v>
      </c>
      <c r="H1308" s="2" t="s">
        <v>97</v>
      </c>
      <c r="I1308" s="13">
        <v>6</v>
      </c>
      <c r="J1308" s="10">
        <v>41099.24</v>
      </c>
      <c r="K1308" s="10">
        <f t="shared" si="41"/>
        <v>246595.44</v>
      </c>
      <c r="L1308" s="2">
        <v>0.15</v>
      </c>
      <c r="M1308" s="2" t="s">
        <v>29</v>
      </c>
      <c r="N1308" s="2" t="s">
        <v>87</v>
      </c>
    </row>
    <row r="1309" spans="1:14" x14ac:dyDescent="0.2">
      <c r="A1309" s="13">
        <v>101161</v>
      </c>
      <c r="B1309" s="5">
        <v>45655</v>
      </c>
      <c r="C1309" s="5" t="str">
        <f t="shared" si="40"/>
        <v>Dec</v>
      </c>
      <c r="D1309" s="2" t="s">
        <v>877</v>
      </c>
      <c r="E1309" s="2" t="s">
        <v>61</v>
      </c>
      <c r="F1309" s="2" t="s">
        <v>14</v>
      </c>
      <c r="G1309" s="2" t="s">
        <v>106</v>
      </c>
      <c r="H1309" s="2" t="s">
        <v>156</v>
      </c>
      <c r="I1309" s="13">
        <v>4</v>
      </c>
      <c r="J1309" s="10">
        <v>1992.1</v>
      </c>
      <c r="K1309" s="10">
        <f t="shared" si="41"/>
        <v>7968.4</v>
      </c>
      <c r="L1309" s="2">
        <v>0.15</v>
      </c>
      <c r="M1309" s="2" t="s">
        <v>41</v>
      </c>
      <c r="N1309" s="2" t="s">
        <v>25</v>
      </c>
    </row>
    <row r="1310" spans="1:14" x14ac:dyDescent="0.2">
      <c r="A1310" s="13">
        <v>100779</v>
      </c>
      <c r="B1310" s="5">
        <v>45495</v>
      </c>
      <c r="C1310" s="5" t="str">
        <f t="shared" si="40"/>
        <v>Jul</v>
      </c>
      <c r="D1310" s="2" t="s">
        <v>794</v>
      </c>
      <c r="E1310" s="2" t="s">
        <v>31</v>
      </c>
      <c r="F1310" s="2" t="s">
        <v>54</v>
      </c>
      <c r="G1310" s="2" t="s">
        <v>15</v>
      </c>
      <c r="H1310" s="2" t="s">
        <v>205</v>
      </c>
      <c r="I1310" s="13">
        <v>2</v>
      </c>
      <c r="J1310" s="10">
        <v>2603.0100000000002</v>
      </c>
      <c r="K1310" s="10">
        <f t="shared" si="41"/>
        <v>5206.0200000000004</v>
      </c>
      <c r="L1310" s="2">
        <v>0.25</v>
      </c>
      <c r="M1310" s="2" t="s">
        <v>24</v>
      </c>
      <c r="N1310" s="2" t="s">
        <v>121</v>
      </c>
    </row>
    <row r="1311" spans="1:14" x14ac:dyDescent="0.2">
      <c r="A1311" s="13">
        <v>101077</v>
      </c>
      <c r="B1311" s="5">
        <v>45423</v>
      </c>
      <c r="C1311" s="5" t="str">
        <f t="shared" si="40"/>
        <v>May</v>
      </c>
      <c r="D1311" s="2" t="s">
        <v>916</v>
      </c>
      <c r="E1311" s="2" t="s">
        <v>27</v>
      </c>
      <c r="F1311" s="2" t="s">
        <v>21</v>
      </c>
      <c r="G1311" s="2" t="s">
        <v>15</v>
      </c>
      <c r="H1311" s="2" t="s">
        <v>205</v>
      </c>
      <c r="I1311" s="13">
        <v>9</v>
      </c>
      <c r="J1311" s="10">
        <v>20647.41</v>
      </c>
      <c r="K1311" s="10">
        <f t="shared" si="41"/>
        <v>185826.69</v>
      </c>
      <c r="L1311" s="2">
        <v>0</v>
      </c>
      <c r="M1311" s="2" t="s">
        <v>41</v>
      </c>
      <c r="N1311" s="2" t="s">
        <v>52</v>
      </c>
    </row>
    <row r="1312" spans="1:14" x14ac:dyDescent="0.2">
      <c r="A1312" s="13">
        <v>100940</v>
      </c>
      <c r="B1312" s="5">
        <v>45294</v>
      </c>
      <c r="C1312" s="5" t="str">
        <f t="shared" si="40"/>
        <v>Jan</v>
      </c>
      <c r="D1312" s="2" t="s">
        <v>317</v>
      </c>
      <c r="E1312" s="2" t="s">
        <v>37</v>
      </c>
      <c r="F1312" s="2" t="s">
        <v>38</v>
      </c>
      <c r="G1312" s="2" t="s">
        <v>22</v>
      </c>
      <c r="H1312" s="2" t="s">
        <v>145</v>
      </c>
      <c r="I1312" s="13">
        <v>6</v>
      </c>
      <c r="J1312" s="10">
        <v>2238.85</v>
      </c>
      <c r="K1312" s="10">
        <f t="shared" si="41"/>
        <v>13433.099999999999</v>
      </c>
      <c r="L1312" s="2">
        <v>0</v>
      </c>
      <c r="M1312" s="2" t="s">
        <v>24</v>
      </c>
      <c r="N1312" s="2" t="s">
        <v>52</v>
      </c>
    </row>
    <row r="1313" spans="1:14" x14ac:dyDescent="0.2">
      <c r="A1313" s="13">
        <v>100438</v>
      </c>
      <c r="B1313" s="5">
        <v>45575</v>
      </c>
      <c r="C1313" s="5" t="str">
        <f t="shared" si="40"/>
        <v>Oct</v>
      </c>
      <c r="D1313" s="2" t="s">
        <v>579</v>
      </c>
      <c r="E1313" s="2" t="s">
        <v>27</v>
      </c>
      <c r="F1313" s="2" t="s">
        <v>21</v>
      </c>
      <c r="G1313" s="2" t="s">
        <v>106</v>
      </c>
      <c r="H1313" s="2" t="s">
        <v>137</v>
      </c>
      <c r="I1313" s="13">
        <v>2</v>
      </c>
      <c r="J1313" s="10">
        <v>4048.78</v>
      </c>
      <c r="K1313" s="10">
        <f t="shared" si="41"/>
        <v>8097.56</v>
      </c>
      <c r="L1313" s="2">
        <v>0.05</v>
      </c>
      <c r="M1313" s="2" t="s">
        <v>17</v>
      </c>
      <c r="N1313" s="2" t="s">
        <v>121</v>
      </c>
    </row>
    <row r="1314" spans="1:14" x14ac:dyDescent="0.2">
      <c r="A1314" s="13">
        <v>100120</v>
      </c>
      <c r="B1314" s="5">
        <v>45477</v>
      </c>
      <c r="C1314" s="5" t="str">
        <f t="shared" si="40"/>
        <v>Jul</v>
      </c>
      <c r="D1314" s="2" t="s">
        <v>917</v>
      </c>
      <c r="E1314" s="2" t="s">
        <v>37</v>
      </c>
      <c r="F1314" s="2" t="s">
        <v>38</v>
      </c>
      <c r="G1314" s="2" t="s">
        <v>45</v>
      </c>
      <c r="H1314" s="2" t="s">
        <v>153</v>
      </c>
      <c r="I1314" s="13">
        <v>8</v>
      </c>
      <c r="J1314" s="10">
        <v>15067.23</v>
      </c>
      <c r="K1314" s="10">
        <f t="shared" si="41"/>
        <v>120537.84</v>
      </c>
      <c r="L1314" s="2">
        <v>0.25</v>
      </c>
      <c r="M1314" s="2" t="s">
        <v>17</v>
      </c>
      <c r="N1314" s="2" t="s">
        <v>42</v>
      </c>
    </row>
    <row r="1315" spans="1:14" x14ac:dyDescent="0.2">
      <c r="A1315" s="13">
        <v>101853</v>
      </c>
      <c r="B1315" s="5">
        <v>45622</v>
      </c>
      <c r="C1315" s="5" t="str">
        <f t="shared" si="40"/>
        <v>Nov</v>
      </c>
      <c r="D1315" s="2" t="s">
        <v>258</v>
      </c>
      <c r="E1315" s="2" t="s">
        <v>61</v>
      </c>
      <c r="F1315" s="2" t="s">
        <v>14</v>
      </c>
      <c r="G1315" s="2" t="s">
        <v>15</v>
      </c>
      <c r="H1315" s="2" t="s">
        <v>152</v>
      </c>
      <c r="I1315" s="13">
        <v>5</v>
      </c>
      <c r="J1315" s="10">
        <v>9401.66</v>
      </c>
      <c r="K1315" s="10">
        <f t="shared" si="41"/>
        <v>47008.3</v>
      </c>
      <c r="L1315" s="2">
        <v>0</v>
      </c>
      <c r="M1315" s="2" t="s">
        <v>29</v>
      </c>
      <c r="N1315" s="2" t="s">
        <v>52</v>
      </c>
    </row>
    <row r="1316" spans="1:14" x14ac:dyDescent="0.2">
      <c r="A1316" s="13">
        <v>101601</v>
      </c>
      <c r="B1316" s="5">
        <v>45334</v>
      </c>
      <c r="C1316" s="5" t="str">
        <f t="shared" si="40"/>
        <v>Feb</v>
      </c>
      <c r="D1316" s="2" t="s">
        <v>508</v>
      </c>
      <c r="E1316" s="2" t="s">
        <v>37</v>
      </c>
      <c r="F1316" s="2" t="s">
        <v>69</v>
      </c>
      <c r="G1316" s="2" t="s">
        <v>106</v>
      </c>
      <c r="H1316" s="2" t="s">
        <v>156</v>
      </c>
      <c r="I1316" s="13">
        <v>4</v>
      </c>
      <c r="J1316" s="10">
        <v>1489.39</v>
      </c>
      <c r="K1316" s="10">
        <f t="shared" si="41"/>
        <v>5957.56</v>
      </c>
      <c r="L1316" s="2">
        <v>0.25</v>
      </c>
      <c r="M1316" s="2" t="s">
        <v>29</v>
      </c>
      <c r="N1316" s="2" t="s">
        <v>52</v>
      </c>
    </row>
    <row r="1317" spans="1:14" x14ac:dyDescent="0.2">
      <c r="A1317" s="13">
        <v>101027</v>
      </c>
      <c r="B1317" s="5">
        <v>45573</v>
      </c>
      <c r="C1317" s="5" t="str">
        <f t="shared" si="40"/>
        <v>Oct</v>
      </c>
      <c r="D1317" s="2" t="s">
        <v>919</v>
      </c>
      <c r="E1317" s="2" t="s">
        <v>140</v>
      </c>
      <c r="F1317" s="2" t="s">
        <v>49</v>
      </c>
      <c r="G1317" s="2" t="s">
        <v>50</v>
      </c>
      <c r="H1317" s="2" t="s">
        <v>207</v>
      </c>
      <c r="I1317" s="13">
        <v>6</v>
      </c>
      <c r="J1317" s="10">
        <v>2694.78</v>
      </c>
      <c r="K1317" s="10">
        <f t="shared" si="41"/>
        <v>16168.68</v>
      </c>
      <c r="L1317" s="2">
        <v>0</v>
      </c>
      <c r="M1317" s="2" t="s">
        <v>24</v>
      </c>
      <c r="N1317" s="2" t="s">
        <v>52</v>
      </c>
    </row>
    <row r="1318" spans="1:14" x14ac:dyDescent="0.2">
      <c r="A1318" s="13">
        <v>101254</v>
      </c>
      <c r="B1318" s="5">
        <v>45323</v>
      </c>
      <c r="C1318" s="5" t="str">
        <f t="shared" si="40"/>
        <v>Feb</v>
      </c>
      <c r="D1318" s="2" t="s">
        <v>264</v>
      </c>
      <c r="E1318" s="2" t="s">
        <v>140</v>
      </c>
      <c r="F1318" s="2" t="s">
        <v>79</v>
      </c>
      <c r="G1318" s="2" t="s">
        <v>15</v>
      </c>
      <c r="H1318" s="2" t="s">
        <v>205</v>
      </c>
      <c r="I1318" s="13">
        <v>9</v>
      </c>
      <c r="J1318" s="10">
        <v>0</v>
      </c>
      <c r="K1318" s="10">
        <f t="shared" si="41"/>
        <v>0</v>
      </c>
      <c r="L1318" s="2">
        <v>0.1</v>
      </c>
      <c r="M1318" s="2" t="s">
        <v>83</v>
      </c>
      <c r="N1318" s="2" t="s">
        <v>143</v>
      </c>
    </row>
    <row r="1319" spans="1:14" x14ac:dyDescent="0.2">
      <c r="A1319" s="13">
        <v>101533</v>
      </c>
      <c r="B1319" s="5">
        <v>45374</v>
      </c>
      <c r="C1319" s="5" t="str">
        <f t="shared" si="40"/>
        <v>Mar</v>
      </c>
      <c r="D1319" s="2" t="s">
        <v>840</v>
      </c>
      <c r="E1319" s="2" t="s">
        <v>61</v>
      </c>
      <c r="F1319" s="2" t="s">
        <v>119</v>
      </c>
      <c r="G1319" s="2" t="s">
        <v>45</v>
      </c>
      <c r="H1319" s="2" t="s">
        <v>46</v>
      </c>
      <c r="I1319" s="13">
        <v>8</v>
      </c>
      <c r="J1319" s="10">
        <v>38975.919999999998</v>
      </c>
      <c r="K1319" s="10">
        <f t="shared" si="41"/>
        <v>311807.35999999999</v>
      </c>
      <c r="L1319" s="2">
        <v>0.2</v>
      </c>
      <c r="M1319" s="2" t="s">
        <v>83</v>
      </c>
      <c r="N1319" s="2" t="s">
        <v>121</v>
      </c>
    </row>
    <row r="1320" spans="1:14" x14ac:dyDescent="0.2">
      <c r="A1320" s="13">
        <v>100077</v>
      </c>
      <c r="B1320" s="5">
        <v>45370</v>
      </c>
      <c r="C1320" s="5" t="str">
        <f t="shared" si="40"/>
        <v>Mar</v>
      </c>
      <c r="D1320" s="2" t="s">
        <v>253</v>
      </c>
      <c r="E1320" s="2" t="s">
        <v>37</v>
      </c>
      <c r="F1320" s="2" t="s">
        <v>38</v>
      </c>
      <c r="G1320" s="2" t="s">
        <v>33</v>
      </c>
      <c r="H1320" s="2" t="s">
        <v>81</v>
      </c>
      <c r="I1320" s="13">
        <v>1</v>
      </c>
      <c r="J1320" s="10">
        <v>322.45999999999998</v>
      </c>
      <c r="K1320" s="10">
        <f t="shared" si="41"/>
        <v>322.45999999999998</v>
      </c>
      <c r="L1320" s="2">
        <v>0</v>
      </c>
      <c r="M1320" s="2" t="s">
        <v>17</v>
      </c>
      <c r="N1320" s="2" t="s">
        <v>35</v>
      </c>
    </row>
    <row r="1321" spans="1:14" x14ac:dyDescent="0.2">
      <c r="A1321" s="13">
        <v>101054</v>
      </c>
      <c r="B1321" s="5">
        <v>45421</v>
      </c>
      <c r="C1321" s="5" t="str">
        <f t="shared" si="40"/>
        <v>May</v>
      </c>
      <c r="D1321" s="2" t="s">
        <v>820</v>
      </c>
      <c r="E1321" s="2" t="s">
        <v>37</v>
      </c>
      <c r="F1321" s="2" t="s">
        <v>38</v>
      </c>
      <c r="G1321" s="2" t="s">
        <v>22</v>
      </c>
      <c r="H1321" s="2" t="s">
        <v>145</v>
      </c>
      <c r="I1321" s="13">
        <v>1</v>
      </c>
      <c r="J1321" s="10">
        <v>2197.6799999999998</v>
      </c>
      <c r="K1321" s="10">
        <f t="shared" si="41"/>
        <v>2197.6799999999998</v>
      </c>
      <c r="L1321" s="2">
        <v>0.1</v>
      </c>
      <c r="M1321" s="2" t="s">
        <v>24</v>
      </c>
      <c r="N1321" s="2" t="s">
        <v>143</v>
      </c>
    </row>
    <row r="1322" spans="1:14" x14ac:dyDescent="0.2">
      <c r="A1322" s="13">
        <v>100901</v>
      </c>
      <c r="B1322" s="5">
        <v>45441</v>
      </c>
      <c r="C1322" s="5" t="str">
        <f t="shared" si="40"/>
        <v>May</v>
      </c>
      <c r="D1322" s="2" t="s">
        <v>605</v>
      </c>
      <c r="E1322" s="2" t="s">
        <v>61</v>
      </c>
      <c r="F1322" s="2" t="s">
        <v>119</v>
      </c>
      <c r="G1322" s="2" t="s">
        <v>106</v>
      </c>
      <c r="H1322" s="2" t="s">
        <v>103</v>
      </c>
      <c r="I1322" s="13">
        <v>8</v>
      </c>
      <c r="J1322" s="10">
        <v>2688.49</v>
      </c>
      <c r="K1322" s="10">
        <f t="shared" si="41"/>
        <v>21507.919999999998</v>
      </c>
      <c r="L1322" s="2">
        <v>0</v>
      </c>
      <c r="M1322" s="2" t="s">
        <v>24</v>
      </c>
      <c r="N1322" s="2" t="s">
        <v>87</v>
      </c>
    </row>
    <row r="1323" spans="1:14" x14ac:dyDescent="0.2">
      <c r="A1323" s="13">
        <v>100372</v>
      </c>
      <c r="B1323" s="5">
        <v>45647</v>
      </c>
      <c r="C1323" s="5" t="str">
        <f t="shared" si="40"/>
        <v>Dec</v>
      </c>
      <c r="D1323" s="2" t="s">
        <v>494</v>
      </c>
      <c r="E1323" s="2" t="s">
        <v>37</v>
      </c>
      <c r="F1323" s="2" t="s">
        <v>38</v>
      </c>
      <c r="G1323" s="2" t="s">
        <v>50</v>
      </c>
      <c r="H1323" s="2" t="s">
        <v>207</v>
      </c>
      <c r="I1323" s="13">
        <v>1</v>
      </c>
      <c r="J1323" s="10">
        <v>7841.37</v>
      </c>
      <c r="K1323" s="10">
        <f t="shared" si="41"/>
        <v>7841.37</v>
      </c>
      <c r="L1323" s="2">
        <v>0</v>
      </c>
      <c r="M1323" s="2" t="s">
        <v>41</v>
      </c>
      <c r="N1323" s="2" t="s">
        <v>143</v>
      </c>
    </row>
    <row r="1324" spans="1:14" x14ac:dyDescent="0.2">
      <c r="A1324" s="13">
        <v>101883</v>
      </c>
      <c r="B1324" s="5">
        <v>45314</v>
      </c>
      <c r="C1324" s="5" t="str">
        <f t="shared" si="40"/>
        <v>Jan</v>
      </c>
      <c r="D1324" s="2" t="s">
        <v>421</v>
      </c>
      <c r="E1324" s="2" t="s">
        <v>61</v>
      </c>
      <c r="F1324" s="2" t="s">
        <v>14</v>
      </c>
      <c r="G1324" s="2" t="s">
        <v>106</v>
      </c>
      <c r="H1324" s="2" t="s">
        <v>137</v>
      </c>
      <c r="I1324" s="13">
        <v>4</v>
      </c>
      <c r="J1324" s="10">
        <v>2131.9899999999998</v>
      </c>
      <c r="K1324" s="10">
        <f t="shared" si="41"/>
        <v>8527.9599999999991</v>
      </c>
      <c r="L1324" s="2">
        <v>0</v>
      </c>
      <c r="M1324" s="2" t="s">
        <v>41</v>
      </c>
      <c r="N1324" s="2" t="s">
        <v>25</v>
      </c>
    </row>
    <row r="1325" spans="1:14" x14ac:dyDescent="0.2">
      <c r="A1325" s="13">
        <v>101456</v>
      </c>
      <c r="B1325" s="5">
        <v>45398</v>
      </c>
      <c r="C1325" s="5" t="str">
        <f t="shared" si="40"/>
        <v>Apr</v>
      </c>
      <c r="D1325" s="2" t="s">
        <v>691</v>
      </c>
      <c r="E1325" s="2" t="s">
        <v>27</v>
      </c>
      <c r="F1325" s="2" t="s">
        <v>21</v>
      </c>
      <c r="G1325" s="2" t="s">
        <v>33</v>
      </c>
      <c r="H1325" s="2" t="s">
        <v>158</v>
      </c>
      <c r="I1325" s="13">
        <v>1</v>
      </c>
      <c r="J1325" s="10">
        <v>343.93</v>
      </c>
      <c r="K1325" s="10">
        <f t="shared" si="41"/>
        <v>343.93</v>
      </c>
      <c r="L1325" s="2">
        <v>0.1</v>
      </c>
      <c r="M1325" s="2" t="s">
        <v>66</v>
      </c>
      <c r="N1325" s="2" t="s">
        <v>42</v>
      </c>
    </row>
    <row r="1326" spans="1:14" x14ac:dyDescent="0.2">
      <c r="A1326" s="13">
        <v>101998</v>
      </c>
      <c r="B1326" s="5">
        <v>45415</v>
      </c>
      <c r="C1326" s="5" t="str">
        <f t="shared" si="40"/>
        <v>May</v>
      </c>
      <c r="D1326" s="2" t="s">
        <v>381</v>
      </c>
      <c r="E1326" s="2" t="s">
        <v>140</v>
      </c>
      <c r="F1326" s="2" t="s">
        <v>79</v>
      </c>
      <c r="G1326" s="2" t="s">
        <v>64</v>
      </c>
      <c r="H1326" s="2" t="s">
        <v>242</v>
      </c>
      <c r="I1326" s="13">
        <v>7</v>
      </c>
      <c r="J1326" s="10">
        <v>444.49</v>
      </c>
      <c r="K1326" s="10">
        <f t="shared" si="41"/>
        <v>3111.4300000000003</v>
      </c>
      <c r="L1326" s="2">
        <v>0</v>
      </c>
      <c r="M1326" s="2" t="s">
        <v>17</v>
      </c>
      <c r="N1326" s="2" t="s">
        <v>42</v>
      </c>
    </row>
    <row r="1327" spans="1:14" x14ac:dyDescent="0.2">
      <c r="A1327" s="13">
        <v>100942</v>
      </c>
      <c r="B1327" s="5">
        <v>45638</v>
      </c>
      <c r="C1327" s="5" t="str">
        <f t="shared" si="40"/>
        <v>Dec</v>
      </c>
      <c r="D1327" s="2" t="s">
        <v>757</v>
      </c>
      <c r="E1327" s="2" t="s">
        <v>61</v>
      </c>
      <c r="F1327" s="2" t="s">
        <v>14</v>
      </c>
      <c r="G1327" s="2" t="s">
        <v>45</v>
      </c>
      <c r="H1327" s="2" t="s">
        <v>71</v>
      </c>
      <c r="I1327" s="13">
        <v>11</v>
      </c>
      <c r="J1327" s="10">
        <v>12050.14</v>
      </c>
      <c r="K1327" s="10">
        <f t="shared" si="41"/>
        <v>132551.53999999998</v>
      </c>
      <c r="L1327" s="2">
        <v>0</v>
      </c>
      <c r="M1327" s="2" t="s">
        <v>66</v>
      </c>
      <c r="N1327" s="2" t="s">
        <v>121</v>
      </c>
    </row>
    <row r="1328" spans="1:14" x14ac:dyDescent="0.2">
      <c r="A1328" s="13">
        <v>100578</v>
      </c>
      <c r="B1328" s="5">
        <v>45418</v>
      </c>
      <c r="C1328" s="5" t="str">
        <f t="shared" si="40"/>
        <v>May</v>
      </c>
      <c r="D1328" s="2" t="s">
        <v>794</v>
      </c>
      <c r="E1328" s="2" t="s">
        <v>61</v>
      </c>
      <c r="F1328" s="2" t="s">
        <v>119</v>
      </c>
      <c r="G1328" s="2" t="s">
        <v>15</v>
      </c>
      <c r="H1328" s="2" t="s">
        <v>16</v>
      </c>
      <c r="I1328" s="13">
        <v>3</v>
      </c>
      <c r="J1328" s="10">
        <v>10342.66</v>
      </c>
      <c r="K1328" s="10">
        <f t="shared" si="41"/>
        <v>31027.98</v>
      </c>
      <c r="L1328" s="2">
        <v>0.25</v>
      </c>
      <c r="M1328" s="2" t="s">
        <v>29</v>
      </c>
      <c r="N1328" s="2" t="s">
        <v>42</v>
      </c>
    </row>
    <row r="1329" spans="1:14" x14ac:dyDescent="0.2">
      <c r="A1329" s="13">
        <v>100820</v>
      </c>
      <c r="B1329" s="5">
        <v>45489</v>
      </c>
      <c r="C1329" s="5" t="str">
        <f t="shared" si="40"/>
        <v>Jul</v>
      </c>
      <c r="D1329" s="2" t="s">
        <v>922</v>
      </c>
      <c r="E1329" s="2" t="s">
        <v>27</v>
      </c>
      <c r="F1329" s="2" t="s">
        <v>133</v>
      </c>
      <c r="G1329" s="2" t="s">
        <v>33</v>
      </c>
      <c r="H1329" s="2" t="s">
        <v>158</v>
      </c>
      <c r="I1329" s="13">
        <v>3</v>
      </c>
      <c r="J1329" s="10">
        <v>371.94</v>
      </c>
      <c r="K1329" s="10">
        <f t="shared" si="41"/>
        <v>1115.82</v>
      </c>
      <c r="L1329" s="2">
        <v>0</v>
      </c>
      <c r="M1329" s="2" t="s">
        <v>41</v>
      </c>
      <c r="N1329" s="2" t="s">
        <v>25</v>
      </c>
    </row>
    <row r="1330" spans="1:14" x14ac:dyDescent="0.2">
      <c r="A1330" s="13">
        <v>101908</v>
      </c>
      <c r="B1330" s="5">
        <v>45509</v>
      </c>
      <c r="C1330" s="5" t="str">
        <f t="shared" si="40"/>
        <v>Aug</v>
      </c>
      <c r="D1330" s="2" t="s">
        <v>201</v>
      </c>
      <c r="E1330" s="2" t="s">
        <v>61</v>
      </c>
      <c r="F1330" s="2" t="s">
        <v>14</v>
      </c>
      <c r="G1330" s="2" t="s">
        <v>106</v>
      </c>
      <c r="H1330" s="2" t="s">
        <v>156</v>
      </c>
      <c r="I1330" s="13">
        <v>2</v>
      </c>
      <c r="J1330" s="10">
        <v>752.44</v>
      </c>
      <c r="K1330" s="10">
        <f t="shared" si="41"/>
        <v>1504.88</v>
      </c>
      <c r="L1330" s="2">
        <v>0</v>
      </c>
      <c r="M1330" s="2" t="s">
        <v>83</v>
      </c>
      <c r="N1330" s="2" t="s">
        <v>52</v>
      </c>
    </row>
    <row r="1331" spans="1:14" x14ac:dyDescent="0.2">
      <c r="A1331" s="13">
        <v>101505</v>
      </c>
      <c r="B1331" s="5">
        <v>45535</v>
      </c>
      <c r="C1331" s="5" t="str">
        <f t="shared" si="40"/>
        <v>Aug</v>
      </c>
      <c r="D1331" s="2" t="s">
        <v>501</v>
      </c>
      <c r="E1331" s="2" t="s">
        <v>27</v>
      </c>
      <c r="F1331" s="2" t="s">
        <v>133</v>
      </c>
      <c r="G1331" s="2" t="s">
        <v>33</v>
      </c>
      <c r="H1331" s="2" t="s">
        <v>34</v>
      </c>
      <c r="I1331" s="13">
        <v>8</v>
      </c>
      <c r="J1331" s="10">
        <v>161.72999999999999</v>
      </c>
      <c r="K1331" s="10">
        <f t="shared" si="41"/>
        <v>1293.8399999999999</v>
      </c>
      <c r="L1331" s="2">
        <v>0.15</v>
      </c>
      <c r="M1331" s="2" t="s">
        <v>17</v>
      </c>
      <c r="N1331" s="2" t="s">
        <v>52</v>
      </c>
    </row>
    <row r="1332" spans="1:14" x14ac:dyDescent="0.2">
      <c r="A1332" s="13">
        <v>101752</v>
      </c>
      <c r="B1332" s="5">
        <v>45336</v>
      </c>
      <c r="C1332" s="5" t="str">
        <f t="shared" si="40"/>
        <v>Feb</v>
      </c>
      <c r="D1332" s="2" t="s">
        <v>742</v>
      </c>
      <c r="E1332" s="2" t="s">
        <v>27</v>
      </c>
      <c r="F1332" s="2" t="s">
        <v>21</v>
      </c>
      <c r="G1332" s="2" t="s">
        <v>106</v>
      </c>
      <c r="H1332" s="2" t="s">
        <v>135</v>
      </c>
      <c r="I1332" s="13">
        <v>7</v>
      </c>
      <c r="J1332" s="10">
        <v>1625.49</v>
      </c>
      <c r="K1332" s="10">
        <f t="shared" si="41"/>
        <v>11378.43</v>
      </c>
      <c r="L1332" s="2">
        <v>0</v>
      </c>
      <c r="M1332" s="2" t="s">
        <v>24</v>
      </c>
      <c r="N1332" s="2" t="s">
        <v>143</v>
      </c>
    </row>
    <row r="1333" spans="1:14" x14ac:dyDescent="0.2">
      <c r="A1333" s="13">
        <v>101714</v>
      </c>
      <c r="B1333" s="5">
        <v>45540</v>
      </c>
      <c r="C1333" s="5" t="str">
        <f t="shared" si="40"/>
        <v>Sep</v>
      </c>
      <c r="D1333" s="2" t="s">
        <v>757</v>
      </c>
      <c r="E1333" s="2" t="s">
        <v>27</v>
      </c>
      <c r="F1333" s="2" t="s">
        <v>21</v>
      </c>
      <c r="G1333" s="2" t="s">
        <v>106</v>
      </c>
      <c r="H1333" s="2" t="s">
        <v>137</v>
      </c>
      <c r="I1333" s="13">
        <v>7</v>
      </c>
      <c r="J1333" s="10">
        <v>2080.17</v>
      </c>
      <c r="K1333" s="10">
        <f t="shared" si="41"/>
        <v>14561.19</v>
      </c>
      <c r="L1333" s="2">
        <v>0.05</v>
      </c>
      <c r="M1333" s="2" t="s">
        <v>17</v>
      </c>
      <c r="N1333" s="2" t="s">
        <v>121</v>
      </c>
    </row>
    <row r="1334" spans="1:14" x14ac:dyDescent="0.2">
      <c r="A1334" s="13">
        <v>100887</v>
      </c>
      <c r="B1334" s="5">
        <v>45644</v>
      </c>
      <c r="C1334" s="5" t="str">
        <f t="shared" si="40"/>
        <v>Dec</v>
      </c>
      <c r="D1334" s="2" t="s">
        <v>1069</v>
      </c>
      <c r="E1334" s="2" t="s">
        <v>37</v>
      </c>
      <c r="F1334" s="2" t="s">
        <v>69</v>
      </c>
      <c r="G1334" s="2" t="s">
        <v>22</v>
      </c>
      <c r="H1334" s="2" t="s">
        <v>232</v>
      </c>
      <c r="I1334" s="13">
        <v>5</v>
      </c>
      <c r="J1334" s="10">
        <v>0</v>
      </c>
      <c r="K1334" s="10">
        <f t="shared" si="41"/>
        <v>0</v>
      </c>
      <c r="L1334" s="2">
        <v>0</v>
      </c>
      <c r="M1334" s="2" t="s">
        <v>83</v>
      </c>
      <c r="N1334" s="2" t="s">
        <v>42</v>
      </c>
    </row>
    <row r="1335" spans="1:14" x14ac:dyDescent="0.2">
      <c r="A1335" s="13">
        <v>100969</v>
      </c>
      <c r="B1335" s="5">
        <v>45582</v>
      </c>
      <c r="C1335" s="5" t="str">
        <f t="shared" si="40"/>
        <v>Oct</v>
      </c>
      <c r="D1335" s="2" t="s">
        <v>310</v>
      </c>
      <c r="E1335" s="2" t="s">
        <v>37</v>
      </c>
      <c r="F1335" s="2" t="s">
        <v>38</v>
      </c>
      <c r="G1335" s="2" t="s">
        <v>50</v>
      </c>
      <c r="H1335" s="2" t="s">
        <v>51</v>
      </c>
      <c r="I1335" s="13">
        <v>2</v>
      </c>
      <c r="J1335" s="10">
        <v>9209.64</v>
      </c>
      <c r="K1335" s="10">
        <f t="shared" si="41"/>
        <v>18419.28</v>
      </c>
      <c r="L1335" s="2">
        <v>0</v>
      </c>
      <c r="M1335" s="2" t="s">
        <v>83</v>
      </c>
      <c r="N1335" s="2" t="s">
        <v>143</v>
      </c>
    </row>
    <row r="1336" spans="1:14" x14ac:dyDescent="0.2">
      <c r="A1336" s="13">
        <v>101823</v>
      </c>
      <c r="B1336" s="5">
        <v>45489</v>
      </c>
      <c r="C1336" s="5" t="str">
        <f t="shared" si="40"/>
        <v>Jul</v>
      </c>
      <c r="D1336" s="2" t="s">
        <v>835</v>
      </c>
      <c r="E1336" s="2" t="s">
        <v>27</v>
      </c>
      <c r="F1336" s="2" t="s">
        <v>21</v>
      </c>
      <c r="G1336" s="2" t="s">
        <v>22</v>
      </c>
      <c r="H1336" s="2" t="s">
        <v>145</v>
      </c>
      <c r="I1336" s="13">
        <v>8</v>
      </c>
      <c r="J1336" s="10">
        <v>570.94000000000005</v>
      </c>
      <c r="K1336" s="10">
        <f t="shared" si="41"/>
        <v>4567.5200000000004</v>
      </c>
      <c r="L1336" s="2">
        <v>0.2</v>
      </c>
      <c r="M1336" s="2" t="s">
        <v>17</v>
      </c>
      <c r="N1336" s="2" t="s">
        <v>18</v>
      </c>
    </row>
    <row r="1337" spans="1:14" x14ac:dyDescent="0.2">
      <c r="A1337" s="13">
        <v>100786</v>
      </c>
      <c r="B1337" s="5">
        <v>45326</v>
      </c>
      <c r="C1337" s="5" t="str">
        <f t="shared" si="40"/>
        <v>Feb</v>
      </c>
      <c r="D1337" s="2" t="s">
        <v>259</v>
      </c>
      <c r="E1337" s="2" t="s">
        <v>31</v>
      </c>
      <c r="F1337" s="2" t="s">
        <v>32</v>
      </c>
      <c r="G1337" s="2" t="s">
        <v>50</v>
      </c>
      <c r="H1337" s="2" t="s">
        <v>62</v>
      </c>
      <c r="I1337" s="13">
        <v>10</v>
      </c>
      <c r="J1337" s="10">
        <v>10352.31</v>
      </c>
      <c r="K1337" s="10">
        <f t="shared" si="41"/>
        <v>103523.09999999999</v>
      </c>
      <c r="L1337" s="2">
        <v>0</v>
      </c>
      <c r="M1337" s="2" t="s">
        <v>66</v>
      </c>
      <c r="N1337" s="2" t="s">
        <v>87</v>
      </c>
    </row>
    <row r="1338" spans="1:14" x14ac:dyDescent="0.2">
      <c r="A1338" s="13">
        <v>101643</v>
      </c>
      <c r="B1338" s="5">
        <v>45502</v>
      </c>
      <c r="C1338" s="5" t="str">
        <f t="shared" si="40"/>
        <v>Jul</v>
      </c>
      <c r="D1338" s="2" t="s">
        <v>803</v>
      </c>
      <c r="E1338" s="2" t="s">
        <v>31</v>
      </c>
      <c r="F1338" s="2" t="s">
        <v>54</v>
      </c>
      <c r="G1338" s="2" t="s">
        <v>45</v>
      </c>
      <c r="H1338" s="2" t="s">
        <v>71</v>
      </c>
      <c r="I1338" s="13">
        <v>5</v>
      </c>
      <c r="J1338" s="10">
        <v>43340.06</v>
      </c>
      <c r="K1338" s="10">
        <f t="shared" si="41"/>
        <v>216700.3</v>
      </c>
      <c r="L1338" s="2">
        <v>0</v>
      </c>
      <c r="M1338" s="2" t="s">
        <v>41</v>
      </c>
      <c r="N1338" s="2" t="s">
        <v>18</v>
      </c>
    </row>
    <row r="1339" spans="1:14" x14ac:dyDescent="0.2">
      <c r="A1339" s="13">
        <v>101627</v>
      </c>
      <c r="B1339" s="5">
        <v>45631</v>
      </c>
      <c r="C1339" s="5" t="str">
        <f t="shared" si="40"/>
        <v>Dec</v>
      </c>
      <c r="D1339" s="2" t="s">
        <v>806</v>
      </c>
      <c r="E1339" s="2" t="s">
        <v>31</v>
      </c>
      <c r="F1339" s="2" t="s">
        <v>54</v>
      </c>
      <c r="G1339" s="2" t="s">
        <v>22</v>
      </c>
      <c r="H1339" s="2" t="s">
        <v>145</v>
      </c>
      <c r="I1339" s="13">
        <v>3</v>
      </c>
      <c r="J1339" s="10">
        <v>2572.48</v>
      </c>
      <c r="K1339" s="10">
        <f t="shared" si="41"/>
        <v>7717.4400000000005</v>
      </c>
      <c r="L1339" s="2">
        <v>0.15</v>
      </c>
      <c r="M1339" s="2" t="s">
        <v>83</v>
      </c>
      <c r="N1339" s="2" t="s">
        <v>87</v>
      </c>
    </row>
    <row r="1340" spans="1:14" x14ac:dyDescent="0.2">
      <c r="A1340" s="13">
        <v>100302</v>
      </c>
      <c r="B1340" s="5">
        <v>45592</v>
      </c>
      <c r="C1340" s="5" t="str">
        <f t="shared" si="40"/>
        <v>Oct</v>
      </c>
      <c r="D1340" s="2" t="s">
        <v>420</v>
      </c>
      <c r="E1340" s="2" t="s">
        <v>27</v>
      </c>
      <c r="F1340" s="2" t="s">
        <v>133</v>
      </c>
      <c r="G1340" s="2" t="s">
        <v>64</v>
      </c>
      <c r="H1340" s="2" t="s">
        <v>165</v>
      </c>
      <c r="I1340" s="13">
        <v>-3</v>
      </c>
      <c r="J1340" s="10">
        <v>106.2</v>
      </c>
      <c r="K1340" s="10">
        <f t="shared" si="41"/>
        <v>-318.60000000000002</v>
      </c>
      <c r="L1340" s="2">
        <v>0.2</v>
      </c>
      <c r="M1340" s="2" t="s">
        <v>24</v>
      </c>
      <c r="N1340" s="2" t="s">
        <v>143</v>
      </c>
    </row>
    <row r="1341" spans="1:14" x14ac:dyDescent="0.2">
      <c r="A1341" s="13">
        <v>100690</v>
      </c>
      <c r="B1341" s="5">
        <v>45571</v>
      </c>
      <c r="C1341" s="5" t="str">
        <f t="shared" si="40"/>
        <v>Oct</v>
      </c>
      <c r="D1341" s="2" t="s">
        <v>337</v>
      </c>
      <c r="E1341" s="2" t="s">
        <v>31</v>
      </c>
      <c r="F1341" s="2" t="s">
        <v>32</v>
      </c>
      <c r="G1341" s="2" t="s">
        <v>15</v>
      </c>
      <c r="H1341" s="2" t="s">
        <v>205</v>
      </c>
      <c r="I1341" s="13"/>
      <c r="J1341" s="10">
        <v>7566.56</v>
      </c>
      <c r="K1341" s="10">
        <f t="shared" si="41"/>
        <v>0</v>
      </c>
      <c r="L1341" s="2">
        <v>0.1</v>
      </c>
      <c r="M1341" s="2" t="s">
        <v>29</v>
      </c>
      <c r="N1341" s="2" t="s">
        <v>35</v>
      </c>
    </row>
    <row r="1342" spans="1:14" x14ac:dyDescent="0.2">
      <c r="A1342" s="13">
        <v>100813</v>
      </c>
      <c r="B1342" s="5">
        <v>45631</v>
      </c>
      <c r="C1342" s="5" t="str">
        <f t="shared" si="40"/>
        <v>Dec</v>
      </c>
      <c r="D1342" s="2" t="s">
        <v>577</v>
      </c>
      <c r="E1342" s="2" t="s">
        <v>140</v>
      </c>
      <c r="F1342" s="2" t="s">
        <v>79</v>
      </c>
      <c r="G1342" s="2" t="s">
        <v>64</v>
      </c>
      <c r="H1342" s="2" t="s">
        <v>40</v>
      </c>
      <c r="I1342" s="13">
        <v>1</v>
      </c>
      <c r="J1342" s="10">
        <v>616.55999999999995</v>
      </c>
      <c r="K1342" s="10">
        <f t="shared" si="41"/>
        <v>616.55999999999995</v>
      </c>
      <c r="L1342" s="2">
        <v>0.05</v>
      </c>
      <c r="M1342" s="2" t="s">
        <v>29</v>
      </c>
      <c r="N1342" s="2" t="s">
        <v>87</v>
      </c>
    </row>
    <row r="1343" spans="1:14" x14ac:dyDescent="0.2">
      <c r="A1343" s="13">
        <v>101062</v>
      </c>
      <c r="B1343" s="5">
        <v>45318</v>
      </c>
      <c r="C1343" s="5" t="str">
        <f t="shared" si="40"/>
        <v>Jan</v>
      </c>
      <c r="D1343" s="2" t="s">
        <v>1069</v>
      </c>
      <c r="E1343" s="2" t="s">
        <v>27</v>
      </c>
      <c r="F1343" s="2" t="s">
        <v>133</v>
      </c>
      <c r="G1343" s="2" t="s">
        <v>106</v>
      </c>
      <c r="H1343" s="2" t="s">
        <v>156</v>
      </c>
      <c r="I1343" s="13">
        <v>5</v>
      </c>
      <c r="J1343" s="10">
        <v>1039.55</v>
      </c>
      <c r="K1343" s="10">
        <f t="shared" si="41"/>
        <v>5197.75</v>
      </c>
      <c r="L1343" s="2">
        <v>0</v>
      </c>
      <c r="M1343" s="2" t="s">
        <v>41</v>
      </c>
      <c r="N1343" s="2" t="s">
        <v>35</v>
      </c>
    </row>
    <row r="1344" spans="1:14" x14ac:dyDescent="0.2">
      <c r="A1344" s="13">
        <v>100237</v>
      </c>
      <c r="B1344" s="5">
        <v>45321</v>
      </c>
      <c r="C1344" s="5" t="str">
        <f t="shared" si="40"/>
        <v>Jan</v>
      </c>
      <c r="D1344" s="2" t="s">
        <v>387</v>
      </c>
      <c r="E1344" s="2" t="s">
        <v>37</v>
      </c>
      <c r="F1344" s="2" t="s">
        <v>69</v>
      </c>
      <c r="G1344" s="2" t="s">
        <v>106</v>
      </c>
      <c r="H1344" s="2" t="s">
        <v>137</v>
      </c>
      <c r="I1344" s="13">
        <v>7</v>
      </c>
      <c r="J1344" s="10">
        <v>2692.61</v>
      </c>
      <c r="K1344" s="10">
        <f t="shared" si="41"/>
        <v>18848.27</v>
      </c>
      <c r="L1344" s="2">
        <v>0</v>
      </c>
      <c r="M1344" s="2" t="s">
        <v>29</v>
      </c>
      <c r="N1344" s="2" t="s">
        <v>42</v>
      </c>
    </row>
    <row r="1345" spans="1:14" x14ac:dyDescent="0.2">
      <c r="A1345" s="13">
        <v>101116</v>
      </c>
      <c r="B1345" s="5">
        <v>45419</v>
      </c>
      <c r="C1345" s="5" t="str">
        <f t="shared" si="40"/>
        <v>May</v>
      </c>
      <c r="D1345" s="2" t="s">
        <v>927</v>
      </c>
      <c r="E1345" s="2" t="s">
        <v>140</v>
      </c>
      <c r="F1345" s="2" t="s">
        <v>49</v>
      </c>
      <c r="G1345" s="2" t="s">
        <v>106</v>
      </c>
      <c r="H1345" s="2" t="s">
        <v>156</v>
      </c>
      <c r="I1345" s="13">
        <v>7</v>
      </c>
      <c r="J1345" s="10">
        <v>2424.19</v>
      </c>
      <c r="K1345" s="10">
        <f t="shared" si="41"/>
        <v>16969.330000000002</v>
      </c>
      <c r="L1345" s="2">
        <v>0.05</v>
      </c>
      <c r="M1345" s="2" t="s">
        <v>41</v>
      </c>
      <c r="N1345" s="2" t="s">
        <v>42</v>
      </c>
    </row>
    <row r="1346" spans="1:14" x14ac:dyDescent="0.2">
      <c r="A1346" s="13">
        <v>101369</v>
      </c>
      <c r="B1346" s="5">
        <v>45452</v>
      </c>
      <c r="C1346" s="5" t="str">
        <f t="shared" ref="C1346:C1409" si="42">TEXT(B1346,"mmm")</f>
        <v>Jun</v>
      </c>
      <c r="D1346" s="2" t="s">
        <v>771</v>
      </c>
      <c r="E1346" s="2" t="s">
        <v>27</v>
      </c>
      <c r="F1346" s="2" t="s">
        <v>133</v>
      </c>
      <c r="G1346" s="2" t="s">
        <v>22</v>
      </c>
      <c r="H1346" s="2" t="s">
        <v>23</v>
      </c>
      <c r="I1346" s="13">
        <v>1</v>
      </c>
      <c r="J1346" s="10">
        <v>2440.37</v>
      </c>
      <c r="K1346" s="10">
        <f t="shared" ref="K1346:K1409" si="43">I1346*J1346</f>
        <v>2440.37</v>
      </c>
      <c r="L1346" s="2">
        <v>0</v>
      </c>
      <c r="M1346" s="2" t="s">
        <v>29</v>
      </c>
      <c r="N1346" s="2" t="s">
        <v>35</v>
      </c>
    </row>
    <row r="1347" spans="1:14" x14ac:dyDescent="0.2">
      <c r="A1347" s="13">
        <v>100500</v>
      </c>
      <c r="B1347" s="5">
        <v>45518</v>
      </c>
      <c r="C1347" s="5" t="str">
        <f t="shared" si="42"/>
        <v>Aug</v>
      </c>
      <c r="D1347" s="2" t="s">
        <v>212</v>
      </c>
      <c r="E1347" s="2" t="s">
        <v>27</v>
      </c>
      <c r="F1347" s="2" t="s">
        <v>21</v>
      </c>
      <c r="G1347" s="2" t="s">
        <v>64</v>
      </c>
      <c r="H1347" s="2" t="s">
        <v>292</v>
      </c>
      <c r="I1347" s="13">
        <v>2</v>
      </c>
      <c r="J1347" s="10">
        <v>427.24</v>
      </c>
      <c r="K1347" s="10">
        <f t="shared" si="43"/>
        <v>854.48</v>
      </c>
      <c r="L1347" s="2">
        <v>0</v>
      </c>
      <c r="M1347" s="2" t="s">
        <v>66</v>
      </c>
      <c r="N1347" s="2" t="s">
        <v>87</v>
      </c>
    </row>
    <row r="1348" spans="1:14" x14ac:dyDescent="0.2">
      <c r="A1348" s="13">
        <v>101675</v>
      </c>
      <c r="B1348" s="5">
        <v>45471</v>
      </c>
      <c r="C1348" s="5" t="str">
        <f t="shared" si="42"/>
        <v>Jun</v>
      </c>
      <c r="D1348" s="2" t="s">
        <v>168</v>
      </c>
      <c r="E1348" s="2" t="s">
        <v>31</v>
      </c>
      <c r="F1348" s="2" t="s">
        <v>32</v>
      </c>
      <c r="G1348" s="2" t="s">
        <v>45</v>
      </c>
      <c r="H1348" s="2" t="s">
        <v>153</v>
      </c>
      <c r="I1348" s="13">
        <v>12</v>
      </c>
      <c r="J1348" s="10">
        <v>26512.11</v>
      </c>
      <c r="K1348" s="10">
        <f t="shared" si="43"/>
        <v>318145.32</v>
      </c>
      <c r="L1348" s="2">
        <v>0</v>
      </c>
      <c r="M1348" s="2" t="s">
        <v>41</v>
      </c>
      <c r="N1348" s="2" t="s">
        <v>52</v>
      </c>
    </row>
    <row r="1349" spans="1:14" x14ac:dyDescent="0.2">
      <c r="A1349" s="13">
        <v>101080</v>
      </c>
      <c r="B1349" s="5">
        <v>45632</v>
      </c>
      <c r="C1349" s="5" t="str">
        <f t="shared" si="42"/>
        <v>Dec</v>
      </c>
      <c r="D1349" s="2" t="s">
        <v>751</v>
      </c>
      <c r="E1349" s="2" t="s">
        <v>27</v>
      </c>
      <c r="F1349" s="2" t="s">
        <v>21</v>
      </c>
      <c r="G1349" s="2" t="s">
        <v>33</v>
      </c>
      <c r="H1349" s="2" t="s">
        <v>34</v>
      </c>
      <c r="I1349" s="13">
        <v>-2</v>
      </c>
      <c r="J1349" s="10">
        <v>103.95</v>
      </c>
      <c r="K1349" s="10">
        <f t="shared" si="43"/>
        <v>-207.9</v>
      </c>
      <c r="L1349" s="2">
        <v>0</v>
      </c>
      <c r="M1349" s="2" t="s">
        <v>41</v>
      </c>
      <c r="N1349" s="2" t="s">
        <v>18</v>
      </c>
    </row>
    <row r="1350" spans="1:14" x14ac:dyDescent="0.2">
      <c r="A1350" s="13">
        <v>101327</v>
      </c>
      <c r="B1350" s="5">
        <v>45582</v>
      </c>
      <c r="C1350" s="5" t="str">
        <f t="shared" si="42"/>
        <v>Oct</v>
      </c>
      <c r="D1350" s="2" t="s">
        <v>748</v>
      </c>
      <c r="E1350" s="2" t="s">
        <v>61</v>
      </c>
      <c r="F1350" s="2" t="s">
        <v>119</v>
      </c>
      <c r="G1350" s="2" t="s">
        <v>15</v>
      </c>
      <c r="H1350" s="2" t="s">
        <v>16</v>
      </c>
      <c r="I1350" s="13">
        <v>8</v>
      </c>
      <c r="J1350" s="10">
        <v>12437.3</v>
      </c>
      <c r="K1350" s="10">
        <f t="shared" si="43"/>
        <v>99498.4</v>
      </c>
      <c r="L1350" s="2">
        <v>0.15</v>
      </c>
      <c r="M1350" s="2" t="s">
        <v>29</v>
      </c>
      <c r="N1350" s="2" t="s">
        <v>25</v>
      </c>
    </row>
    <row r="1351" spans="1:14" x14ac:dyDescent="0.2">
      <c r="A1351" s="13">
        <v>100795</v>
      </c>
      <c r="B1351" s="5">
        <v>45397</v>
      </c>
      <c r="C1351" s="5" t="str">
        <f t="shared" si="42"/>
        <v>Apr</v>
      </c>
      <c r="D1351" s="2" t="s">
        <v>389</v>
      </c>
      <c r="E1351" s="2" t="s">
        <v>31</v>
      </c>
      <c r="F1351" s="2" t="s">
        <v>32</v>
      </c>
      <c r="G1351" s="2" t="s">
        <v>33</v>
      </c>
      <c r="H1351" s="2" t="s">
        <v>81</v>
      </c>
      <c r="I1351" s="13">
        <v>4</v>
      </c>
      <c r="J1351" s="10">
        <v>404.63</v>
      </c>
      <c r="K1351" s="10">
        <f t="shared" si="43"/>
        <v>1618.52</v>
      </c>
      <c r="L1351" s="2">
        <v>0</v>
      </c>
      <c r="M1351" s="2" t="s">
        <v>83</v>
      </c>
      <c r="N1351" s="2" t="s">
        <v>52</v>
      </c>
    </row>
    <row r="1352" spans="1:14" x14ac:dyDescent="0.2">
      <c r="A1352" s="13">
        <v>101944</v>
      </c>
      <c r="B1352" s="5">
        <v>45536</v>
      </c>
      <c r="C1352" s="5" t="str">
        <f t="shared" si="42"/>
        <v>Sep</v>
      </c>
      <c r="D1352" s="2" t="s">
        <v>402</v>
      </c>
      <c r="E1352" s="2" t="s">
        <v>31</v>
      </c>
      <c r="F1352" s="2" t="s">
        <v>32</v>
      </c>
      <c r="G1352" s="2" t="s">
        <v>45</v>
      </c>
      <c r="H1352" s="2" t="s">
        <v>46</v>
      </c>
      <c r="I1352" s="13">
        <v>6</v>
      </c>
      <c r="J1352" s="10">
        <v>0</v>
      </c>
      <c r="K1352" s="10">
        <f t="shared" si="43"/>
        <v>0</v>
      </c>
      <c r="L1352" s="2">
        <v>0</v>
      </c>
      <c r="M1352" s="2" t="s">
        <v>24</v>
      </c>
      <c r="N1352" s="2" t="s">
        <v>52</v>
      </c>
    </row>
    <row r="1353" spans="1:14" x14ac:dyDescent="0.2">
      <c r="A1353" s="13">
        <v>101968</v>
      </c>
      <c r="B1353" s="5">
        <v>45384</v>
      </c>
      <c r="C1353" s="5" t="str">
        <f t="shared" si="42"/>
        <v>Apr</v>
      </c>
      <c r="D1353" s="2" t="s">
        <v>298</v>
      </c>
      <c r="E1353" s="2" t="s">
        <v>61</v>
      </c>
      <c r="F1353" s="2" t="s">
        <v>119</v>
      </c>
      <c r="G1353" s="2" t="s">
        <v>50</v>
      </c>
      <c r="H1353" s="2" t="s">
        <v>62</v>
      </c>
      <c r="I1353" s="13">
        <v>9</v>
      </c>
      <c r="J1353" s="10">
        <v>2739.73</v>
      </c>
      <c r="K1353" s="10">
        <f t="shared" si="43"/>
        <v>24657.57</v>
      </c>
      <c r="L1353" s="2">
        <v>0</v>
      </c>
      <c r="M1353" s="2" t="s">
        <v>24</v>
      </c>
      <c r="N1353" s="2" t="s">
        <v>18</v>
      </c>
    </row>
    <row r="1354" spans="1:14" x14ac:dyDescent="0.2">
      <c r="A1354" s="13">
        <v>101975</v>
      </c>
      <c r="B1354" s="5">
        <v>45329</v>
      </c>
      <c r="C1354" s="5" t="str">
        <f t="shared" si="42"/>
        <v>Feb</v>
      </c>
      <c r="D1354" s="2" t="s">
        <v>351</v>
      </c>
      <c r="E1354" s="2" t="s">
        <v>61</v>
      </c>
      <c r="F1354" s="2" t="s">
        <v>14</v>
      </c>
      <c r="G1354" s="2" t="s">
        <v>50</v>
      </c>
      <c r="H1354" s="2" t="s">
        <v>62</v>
      </c>
      <c r="I1354" s="13">
        <v>5</v>
      </c>
      <c r="J1354" s="10">
        <v>7637.16</v>
      </c>
      <c r="K1354" s="10">
        <f t="shared" si="43"/>
        <v>38185.800000000003</v>
      </c>
      <c r="L1354" s="2">
        <v>0.15</v>
      </c>
      <c r="M1354" s="2" t="s">
        <v>83</v>
      </c>
      <c r="N1354" s="2" t="s">
        <v>143</v>
      </c>
    </row>
    <row r="1355" spans="1:14" x14ac:dyDescent="0.2">
      <c r="A1355" s="13">
        <v>100991</v>
      </c>
      <c r="B1355" s="5">
        <v>45367</v>
      </c>
      <c r="C1355" s="5" t="str">
        <f t="shared" si="42"/>
        <v>Mar</v>
      </c>
      <c r="D1355" s="2" t="s">
        <v>733</v>
      </c>
      <c r="E1355" s="2" t="s">
        <v>140</v>
      </c>
      <c r="F1355" s="2" t="s">
        <v>79</v>
      </c>
      <c r="G1355" s="2" t="s">
        <v>50</v>
      </c>
      <c r="H1355" s="2" t="s">
        <v>51</v>
      </c>
      <c r="I1355" s="13">
        <v>7</v>
      </c>
      <c r="J1355" s="10">
        <v>8683.5400000000009</v>
      </c>
      <c r="K1355" s="10">
        <f t="shared" si="43"/>
        <v>60784.780000000006</v>
      </c>
      <c r="L1355" s="2">
        <v>0</v>
      </c>
      <c r="M1355" s="2" t="s">
        <v>17</v>
      </c>
      <c r="N1355" s="2" t="s">
        <v>143</v>
      </c>
    </row>
    <row r="1356" spans="1:14" x14ac:dyDescent="0.2">
      <c r="A1356" s="13">
        <v>101385</v>
      </c>
      <c r="B1356" s="5">
        <v>45568</v>
      </c>
      <c r="C1356" s="5" t="str">
        <f t="shared" si="42"/>
        <v>Oct</v>
      </c>
      <c r="D1356" s="2" t="s">
        <v>180</v>
      </c>
      <c r="E1356" s="2" t="s">
        <v>37</v>
      </c>
      <c r="F1356" s="2" t="s">
        <v>69</v>
      </c>
      <c r="G1356" s="2" t="s">
        <v>64</v>
      </c>
      <c r="H1356" s="2" t="s">
        <v>242</v>
      </c>
      <c r="I1356" s="13">
        <v>11</v>
      </c>
      <c r="J1356" s="10">
        <v>247.51</v>
      </c>
      <c r="K1356" s="10">
        <f t="shared" si="43"/>
        <v>2722.6099999999997</v>
      </c>
      <c r="L1356" s="2">
        <v>0.15</v>
      </c>
      <c r="M1356" s="2" t="s">
        <v>83</v>
      </c>
      <c r="N1356" s="2" t="s">
        <v>42</v>
      </c>
    </row>
    <row r="1357" spans="1:14" x14ac:dyDescent="0.2">
      <c r="A1357" s="13">
        <v>100935</v>
      </c>
      <c r="B1357" s="5">
        <v>45527</v>
      </c>
      <c r="C1357" s="5" t="str">
        <f t="shared" si="42"/>
        <v>Aug</v>
      </c>
      <c r="D1357" s="2" t="s">
        <v>716</v>
      </c>
      <c r="E1357" s="2" t="s">
        <v>61</v>
      </c>
      <c r="F1357" s="2" t="s">
        <v>119</v>
      </c>
      <c r="G1357" s="2" t="s">
        <v>45</v>
      </c>
      <c r="H1357" s="2" t="s">
        <v>71</v>
      </c>
      <c r="I1357" s="13">
        <v>7</v>
      </c>
      <c r="J1357" s="10">
        <v>24728.21</v>
      </c>
      <c r="K1357" s="10">
        <f t="shared" si="43"/>
        <v>173097.47</v>
      </c>
      <c r="L1357" s="2">
        <v>0</v>
      </c>
      <c r="M1357" s="2" t="s">
        <v>17</v>
      </c>
      <c r="N1357" s="2" t="s">
        <v>42</v>
      </c>
    </row>
    <row r="1358" spans="1:14" x14ac:dyDescent="0.2">
      <c r="A1358" s="13">
        <v>100388</v>
      </c>
      <c r="B1358" s="5">
        <v>45586</v>
      </c>
      <c r="C1358" s="5" t="str">
        <f t="shared" si="42"/>
        <v>Oct</v>
      </c>
      <c r="D1358" s="2" t="s">
        <v>891</v>
      </c>
      <c r="E1358" s="2" t="s">
        <v>27</v>
      </c>
      <c r="F1358" s="2" t="s">
        <v>133</v>
      </c>
      <c r="G1358" s="2" t="s">
        <v>33</v>
      </c>
      <c r="H1358" s="2" t="s">
        <v>93</v>
      </c>
      <c r="I1358" s="13">
        <v>7</v>
      </c>
      <c r="J1358" s="10">
        <v>62.75</v>
      </c>
      <c r="K1358" s="10">
        <f t="shared" si="43"/>
        <v>439.25</v>
      </c>
      <c r="L1358" s="2">
        <v>0</v>
      </c>
      <c r="M1358" s="2" t="s">
        <v>24</v>
      </c>
      <c r="N1358" s="2" t="s">
        <v>35</v>
      </c>
    </row>
    <row r="1359" spans="1:14" x14ac:dyDescent="0.2">
      <c r="A1359" s="13">
        <v>101484</v>
      </c>
      <c r="B1359" s="5">
        <v>45568</v>
      </c>
      <c r="C1359" s="5" t="str">
        <f t="shared" si="42"/>
        <v>Oct</v>
      </c>
      <c r="D1359" s="2" t="s">
        <v>291</v>
      </c>
      <c r="E1359" s="2" t="s">
        <v>27</v>
      </c>
      <c r="F1359" s="2" t="s">
        <v>133</v>
      </c>
      <c r="G1359" s="2" t="s">
        <v>45</v>
      </c>
      <c r="H1359" s="2" t="s">
        <v>111</v>
      </c>
      <c r="I1359" s="13">
        <v>6</v>
      </c>
      <c r="J1359" s="10">
        <v>19768.8</v>
      </c>
      <c r="K1359" s="10">
        <f t="shared" si="43"/>
        <v>118612.79999999999</v>
      </c>
      <c r="L1359" s="2">
        <v>0</v>
      </c>
      <c r="M1359" s="2" t="s">
        <v>24</v>
      </c>
      <c r="N1359" s="2" t="s">
        <v>18</v>
      </c>
    </row>
    <row r="1360" spans="1:14" x14ac:dyDescent="0.2">
      <c r="A1360" s="13">
        <v>100391</v>
      </c>
      <c r="B1360" s="5">
        <v>45648</v>
      </c>
      <c r="C1360" s="5" t="str">
        <f t="shared" si="42"/>
        <v>Dec</v>
      </c>
      <c r="D1360" s="2" t="s">
        <v>929</v>
      </c>
      <c r="E1360" s="2" t="s">
        <v>27</v>
      </c>
      <c r="F1360" s="2" t="s">
        <v>133</v>
      </c>
      <c r="G1360" s="2" t="s">
        <v>50</v>
      </c>
      <c r="H1360" s="2" t="s">
        <v>99</v>
      </c>
      <c r="I1360" s="13">
        <v>6</v>
      </c>
      <c r="J1360" s="10">
        <v>1749.52</v>
      </c>
      <c r="K1360" s="10">
        <f t="shared" si="43"/>
        <v>10497.119999999999</v>
      </c>
      <c r="L1360" s="2">
        <v>0.05</v>
      </c>
      <c r="M1360" s="2" t="s">
        <v>24</v>
      </c>
      <c r="N1360" s="2" t="s">
        <v>143</v>
      </c>
    </row>
    <row r="1361" spans="1:14" x14ac:dyDescent="0.2">
      <c r="A1361" s="13">
        <v>100744</v>
      </c>
      <c r="B1361" s="5">
        <v>45460</v>
      </c>
      <c r="C1361" s="5" t="str">
        <f t="shared" si="42"/>
        <v>Jun</v>
      </c>
      <c r="D1361" s="2" t="s">
        <v>307</v>
      </c>
      <c r="E1361" s="2" t="s">
        <v>61</v>
      </c>
      <c r="F1361" s="2" t="s">
        <v>119</v>
      </c>
      <c r="G1361" s="2" t="s">
        <v>50</v>
      </c>
      <c r="H1361" s="2" t="s">
        <v>56</v>
      </c>
      <c r="I1361" s="13">
        <v>9</v>
      </c>
      <c r="J1361" s="10">
        <v>11871.27</v>
      </c>
      <c r="K1361" s="10">
        <f t="shared" si="43"/>
        <v>106841.43000000001</v>
      </c>
      <c r="L1361" s="2">
        <v>0.1</v>
      </c>
      <c r="M1361" s="2" t="s">
        <v>66</v>
      </c>
      <c r="N1361" s="2" t="s">
        <v>87</v>
      </c>
    </row>
    <row r="1362" spans="1:14" x14ac:dyDescent="0.2">
      <c r="A1362" s="13">
        <v>100353</v>
      </c>
      <c r="B1362" s="5">
        <v>45518</v>
      </c>
      <c r="C1362" s="5" t="str">
        <f t="shared" si="42"/>
        <v>Aug</v>
      </c>
      <c r="D1362" s="2" t="s">
        <v>492</v>
      </c>
      <c r="E1362" s="2" t="s">
        <v>31</v>
      </c>
      <c r="F1362" s="2" t="s">
        <v>54</v>
      </c>
      <c r="G1362" s="2" t="s">
        <v>33</v>
      </c>
      <c r="H1362" s="2" t="s">
        <v>93</v>
      </c>
      <c r="I1362" s="13">
        <v>9</v>
      </c>
      <c r="J1362" s="10">
        <v>471.98</v>
      </c>
      <c r="K1362" s="10">
        <f t="shared" si="43"/>
        <v>4247.82</v>
      </c>
      <c r="L1362" s="2">
        <v>0</v>
      </c>
      <c r="M1362" s="2" t="s">
        <v>83</v>
      </c>
      <c r="N1362" s="2" t="s">
        <v>121</v>
      </c>
    </row>
    <row r="1363" spans="1:14" x14ac:dyDescent="0.2">
      <c r="A1363" s="13">
        <v>101218</v>
      </c>
      <c r="B1363" s="5">
        <v>45372</v>
      </c>
      <c r="C1363" s="5" t="str">
        <f t="shared" si="42"/>
        <v>Mar</v>
      </c>
      <c r="D1363" s="2" t="s">
        <v>764</v>
      </c>
      <c r="E1363" s="2" t="s">
        <v>37</v>
      </c>
      <c r="F1363" s="2" t="s">
        <v>69</v>
      </c>
      <c r="G1363" s="2" t="s">
        <v>33</v>
      </c>
      <c r="H1363" s="2" t="s">
        <v>158</v>
      </c>
      <c r="I1363" s="13">
        <v>7</v>
      </c>
      <c r="J1363" s="10">
        <v>517.16999999999996</v>
      </c>
      <c r="K1363" s="10">
        <f t="shared" si="43"/>
        <v>3620.1899999999996</v>
      </c>
      <c r="L1363" s="2">
        <v>0.05</v>
      </c>
      <c r="M1363" s="2" t="s">
        <v>66</v>
      </c>
      <c r="N1363" s="2" t="s">
        <v>52</v>
      </c>
    </row>
    <row r="1364" spans="1:14" x14ac:dyDescent="0.2">
      <c r="A1364" s="13">
        <v>100236</v>
      </c>
      <c r="B1364" s="5">
        <v>45634</v>
      </c>
      <c r="C1364" s="5" t="str">
        <f t="shared" si="42"/>
        <v>Dec</v>
      </c>
      <c r="D1364" s="2" t="s">
        <v>224</v>
      </c>
      <c r="E1364" s="2" t="s">
        <v>31</v>
      </c>
      <c r="F1364" s="2" t="s">
        <v>54</v>
      </c>
      <c r="G1364" s="2" t="s">
        <v>106</v>
      </c>
      <c r="H1364" s="2" t="s">
        <v>135</v>
      </c>
      <c r="I1364" s="13">
        <v>4</v>
      </c>
      <c r="J1364" s="10">
        <v>2659.72</v>
      </c>
      <c r="K1364" s="10">
        <f t="shared" si="43"/>
        <v>10638.88</v>
      </c>
      <c r="L1364" s="2">
        <v>0.2</v>
      </c>
      <c r="M1364" s="2" t="s">
        <v>17</v>
      </c>
      <c r="N1364" s="2" t="s">
        <v>121</v>
      </c>
    </row>
    <row r="1365" spans="1:14" x14ac:dyDescent="0.2">
      <c r="A1365" s="13">
        <v>101726</v>
      </c>
      <c r="B1365" s="5">
        <v>45461</v>
      </c>
      <c r="C1365" s="5" t="str">
        <f t="shared" si="42"/>
        <v>Jun</v>
      </c>
      <c r="D1365" s="2" t="s">
        <v>429</v>
      </c>
      <c r="E1365" s="2" t="s">
        <v>140</v>
      </c>
      <c r="F1365" s="2" t="s">
        <v>49</v>
      </c>
      <c r="G1365" s="2" t="s">
        <v>45</v>
      </c>
      <c r="H1365" s="2" t="s">
        <v>111</v>
      </c>
      <c r="I1365" s="13">
        <v>8</v>
      </c>
      <c r="J1365" s="10">
        <v>21904.27</v>
      </c>
      <c r="K1365" s="10">
        <f t="shared" si="43"/>
        <v>175234.16</v>
      </c>
      <c r="L1365" s="2">
        <v>0.25</v>
      </c>
      <c r="M1365" s="2" t="s">
        <v>66</v>
      </c>
      <c r="N1365" s="2" t="s">
        <v>25</v>
      </c>
    </row>
    <row r="1366" spans="1:14" x14ac:dyDescent="0.2">
      <c r="A1366" s="13">
        <v>100481</v>
      </c>
      <c r="B1366" s="5">
        <v>45393</v>
      </c>
      <c r="C1366" s="5" t="str">
        <f t="shared" si="42"/>
        <v>Apr</v>
      </c>
      <c r="D1366" s="2" t="s">
        <v>341</v>
      </c>
      <c r="E1366" s="2" t="s">
        <v>37</v>
      </c>
      <c r="F1366" s="2" t="s">
        <v>38</v>
      </c>
      <c r="G1366" s="2" t="s">
        <v>64</v>
      </c>
      <c r="H1366" s="2" t="s">
        <v>40</v>
      </c>
      <c r="I1366" s="13">
        <v>7</v>
      </c>
      <c r="J1366" s="10">
        <v>664.77</v>
      </c>
      <c r="K1366" s="10">
        <f t="shared" si="43"/>
        <v>4653.3899999999994</v>
      </c>
      <c r="L1366" s="2">
        <v>0.25</v>
      </c>
      <c r="M1366" s="2" t="s">
        <v>41</v>
      </c>
      <c r="N1366" s="2" t="s">
        <v>143</v>
      </c>
    </row>
    <row r="1367" spans="1:14" x14ac:dyDescent="0.2">
      <c r="A1367" s="13">
        <v>100568</v>
      </c>
      <c r="B1367" s="5">
        <v>45459</v>
      </c>
      <c r="C1367" s="5" t="str">
        <f t="shared" si="42"/>
        <v>Jun</v>
      </c>
      <c r="D1367" s="2" t="s">
        <v>884</v>
      </c>
      <c r="E1367" s="2" t="s">
        <v>37</v>
      </c>
      <c r="F1367" s="2" t="s">
        <v>69</v>
      </c>
      <c r="G1367" s="2" t="s">
        <v>45</v>
      </c>
      <c r="H1367" s="2" t="s">
        <v>46</v>
      </c>
      <c r="I1367" s="13">
        <v>5</v>
      </c>
      <c r="J1367" s="10">
        <v>2286.17</v>
      </c>
      <c r="K1367" s="10">
        <f t="shared" si="43"/>
        <v>11430.85</v>
      </c>
      <c r="L1367" s="2">
        <v>0.25</v>
      </c>
      <c r="M1367" s="2" t="s">
        <v>83</v>
      </c>
      <c r="N1367" s="2" t="s">
        <v>18</v>
      </c>
    </row>
    <row r="1368" spans="1:14" x14ac:dyDescent="0.2">
      <c r="A1368" s="13">
        <v>101141</v>
      </c>
      <c r="B1368" s="5">
        <v>45543</v>
      </c>
      <c r="C1368" s="5" t="str">
        <f t="shared" si="42"/>
        <v>Sep</v>
      </c>
      <c r="D1368" s="2" t="s">
        <v>362</v>
      </c>
      <c r="E1368" s="2" t="s">
        <v>61</v>
      </c>
      <c r="F1368" s="2" t="s">
        <v>14</v>
      </c>
      <c r="G1368" s="2" t="s">
        <v>22</v>
      </c>
      <c r="H1368" s="2" t="s">
        <v>141</v>
      </c>
      <c r="I1368" s="13">
        <v>7</v>
      </c>
      <c r="J1368" s="10">
        <v>1865.47</v>
      </c>
      <c r="K1368" s="10">
        <f t="shared" si="43"/>
        <v>13058.29</v>
      </c>
      <c r="L1368" s="2">
        <v>0</v>
      </c>
      <c r="M1368" s="2" t="s">
        <v>17</v>
      </c>
      <c r="N1368" s="2" t="s">
        <v>18</v>
      </c>
    </row>
    <row r="1369" spans="1:14" x14ac:dyDescent="0.2">
      <c r="A1369" s="13">
        <v>101701</v>
      </c>
      <c r="B1369" s="5">
        <v>45350</v>
      </c>
      <c r="C1369" s="5" t="str">
        <f t="shared" si="42"/>
        <v>Feb</v>
      </c>
      <c r="D1369" s="2" t="s">
        <v>546</v>
      </c>
      <c r="E1369" s="2" t="s">
        <v>31</v>
      </c>
      <c r="F1369" s="2" t="s">
        <v>32</v>
      </c>
      <c r="G1369" s="2" t="s">
        <v>64</v>
      </c>
      <c r="H1369" s="2" t="s">
        <v>165</v>
      </c>
      <c r="I1369" s="13">
        <v>10</v>
      </c>
      <c r="J1369" s="10">
        <v>263.33</v>
      </c>
      <c r="K1369" s="10">
        <f t="shared" si="43"/>
        <v>2633.2999999999997</v>
      </c>
      <c r="L1369" s="2">
        <v>0</v>
      </c>
      <c r="M1369" s="2" t="s">
        <v>24</v>
      </c>
      <c r="N1369" s="2" t="s">
        <v>25</v>
      </c>
    </row>
    <row r="1370" spans="1:14" x14ac:dyDescent="0.2">
      <c r="A1370" s="13">
        <v>101884</v>
      </c>
      <c r="B1370" s="5">
        <v>45445</v>
      </c>
      <c r="C1370" s="5" t="str">
        <f t="shared" si="42"/>
        <v>Jun</v>
      </c>
      <c r="D1370" s="2" t="s">
        <v>575</v>
      </c>
      <c r="E1370" s="2" t="s">
        <v>31</v>
      </c>
      <c r="F1370" s="2" t="s">
        <v>54</v>
      </c>
      <c r="G1370" s="2" t="s">
        <v>22</v>
      </c>
      <c r="H1370" s="2" t="s">
        <v>141</v>
      </c>
      <c r="I1370" s="13">
        <v>6</v>
      </c>
      <c r="J1370" s="10">
        <v>1791.6</v>
      </c>
      <c r="K1370" s="10">
        <f t="shared" si="43"/>
        <v>10749.599999999999</v>
      </c>
      <c r="L1370" s="2">
        <v>0.15</v>
      </c>
      <c r="M1370" s="2" t="s">
        <v>41</v>
      </c>
      <c r="N1370" s="2" t="s">
        <v>121</v>
      </c>
    </row>
    <row r="1371" spans="1:14" x14ac:dyDescent="0.2">
      <c r="A1371" s="13">
        <v>101583</v>
      </c>
      <c r="B1371" s="5">
        <v>45310</v>
      </c>
      <c r="C1371" s="5" t="str">
        <f t="shared" si="42"/>
        <v>Jan</v>
      </c>
      <c r="D1371" s="2" t="s">
        <v>208</v>
      </c>
      <c r="E1371" s="2" t="s">
        <v>61</v>
      </c>
      <c r="F1371" s="2" t="s">
        <v>14</v>
      </c>
      <c r="G1371" s="2" t="s">
        <v>64</v>
      </c>
      <c r="H1371" s="2" t="s">
        <v>40</v>
      </c>
      <c r="I1371" s="13">
        <v>7</v>
      </c>
      <c r="J1371" s="10">
        <v>614.19000000000005</v>
      </c>
      <c r="K1371" s="10">
        <f t="shared" si="43"/>
        <v>4299.33</v>
      </c>
      <c r="L1371" s="2">
        <v>0.15</v>
      </c>
      <c r="M1371" s="2" t="s">
        <v>83</v>
      </c>
      <c r="N1371" s="2" t="s">
        <v>143</v>
      </c>
    </row>
    <row r="1372" spans="1:14" x14ac:dyDescent="0.2">
      <c r="A1372" s="13">
        <v>100121</v>
      </c>
      <c r="B1372" s="5">
        <v>45351</v>
      </c>
      <c r="C1372" s="5" t="str">
        <f t="shared" si="42"/>
        <v>Feb</v>
      </c>
      <c r="D1372" s="2" t="s">
        <v>592</v>
      </c>
      <c r="E1372" s="2" t="s">
        <v>61</v>
      </c>
      <c r="F1372" s="2" t="s">
        <v>119</v>
      </c>
      <c r="G1372" s="2" t="s">
        <v>22</v>
      </c>
      <c r="H1372" s="2" t="s">
        <v>75</v>
      </c>
      <c r="I1372" s="13">
        <v>3</v>
      </c>
      <c r="J1372" s="10">
        <v>3371.23</v>
      </c>
      <c r="K1372" s="10">
        <f t="shared" si="43"/>
        <v>10113.69</v>
      </c>
      <c r="L1372" s="2">
        <v>0.2</v>
      </c>
      <c r="M1372" s="2" t="s">
        <v>17</v>
      </c>
      <c r="N1372" s="2" t="s">
        <v>52</v>
      </c>
    </row>
    <row r="1373" spans="1:14" x14ac:dyDescent="0.2">
      <c r="A1373" s="13">
        <v>101389</v>
      </c>
      <c r="B1373" s="5">
        <v>45296</v>
      </c>
      <c r="C1373" s="5" t="str">
        <f t="shared" si="42"/>
        <v>Jan</v>
      </c>
      <c r="D1373" s="2" t="s">
        <v>180</v>
      </c>
      <c r="E1373" s="2" t="s">
        <v>140</v>
      </c>
      <c r="F1373" s="2" t="s">
        <v>79</v>
      </c>
      <c r="G1373" s="2" t="s">
        <v>22</v>
      </c>
      <c r="H1373" s="2" t="s">
        <v>75</v>
      </c>
      <c r="I1373" s="13"/>
      <c r="J1373" s="10">
        <v>1337</v>
      </c>
      <c r="K1373" s="10">
        <f t="shared" si="43"/>
        <v>0</v>
      </c>
      <c r="L1373" s="2">
        <v>0.1</v>
      </c>
      <c r="M1373" s="2" t="s">
        <v>29</v>
      </c>
      <c r="N1373" s="2" t="s">
        <v>42</v>
      </c>
    </row>
    <row r="1374" spans="1:14" x14ac:dyDescent="0.2">
      <c r="A1374" s="13">
        <v>101747</v>
      </c>
      <c r="B1374" s="5">
        <v>45420</v>
      </c>
      <c r="C1374" s="5" t="str">
        <f t="shared" si="42"/>
        <v>May</v>
      </c>
      <c r="D1374" s="2" t="s">
        <v>566</v>
      </c>
      <c r="E1374" s="2" t="s">
        <v>27</v>
      </c>
      <c r="F1374" s="2" t="s">
        <v>21</v>
      </c>
      <c r="G1374" s="2" t="s">
        <v>15</v>
      </c>
      <c r="H1374" s="2" t="s">
        <v>59</v>
      </c>
      <c r="I1374" s="13">
        <v>7</v>
      </c>
      <c r="J1374" s="10">
        <v>23578.86</v>
      </c>
      <c r="K1374" s="10">
        <f t="shared" si="43"/>
        <v>165052.02000000002</v>
      </c>
      <c r="L1374" s="2">
        <v>0</v>
      </c>
      <c r="M1374" s="2" t="s">
        <v>66</v>
      </c>
      <c r="N1374" s="2" t="s">
        <v>121</v>
      </c>
    </row>
    <row r="1375" spans="1:14" x14ac:dyDescent="0.2">
      <c r="A1375" s="13">
        <v>101025</v>
      </c>
      <c r="B1375" s="5">
        <v>45498</v>
      </c>
      <c r="C1375" s="5" t="str">
        <f t="shared" si="42"/>
        <v>Jul</v>
      </c>
      <c r="D1375" s="2" t="s">
        <v>526</v>
      </c>
      <c r="E1375" s="2" t="s">
        <v>27</v>
      </c>
      <c r="F1375" s="2" t="s">
        <v>133</v>
      </c>
      <c r="G1375" s="2" t="s">
        <v>15</v>
      </c>
      <c r="H1375" s="2" t="s">
        <v>205</v>
      </c>
      <c r="I1375" s="13">
        <v>2</v>
      </c>
      <c r="J1375" s="10">
        <v>5986.2</v>
      </c>
      <c r="K1375" s="10">
        <f t="shared" si="43"/>
        <v>11972.4</v>
      </c>
      <c r="L1375" s="2">
        <v>0.15</v>
      </c>
      <c r="M1375" s="2" t="s">
        <v>29</v>
      </c>
      <c r="N1375" s="2" t="s">
        <v>143</v>
      </c>
    </row>
    <row r="1376" spans="1:14" x14ac:dyDescent="0.2">
      <c r="A1376" s="13">
        <v>101087</v>
      </c>
      <c r="B1376" s="5">
        <v>45572</v>
      </c>
      <c r="C1376" s="5" t="str">
        <f t="shared" si="42"/>
        <v>Oct</v>
      </c>
      <c r="D1376" s="2" t="s">
        <v>266</v>
      </c>
      <c r="E1376" s="2" t="s">
        <v>27</v>
      </c>
      <c r="F1376" s="2" t="s">
        <v>133</v>
      </c>
      <c r="G1376" s="2" t="s">
        <v>33</v>
      </c>
      <c r="H1376" s="2" t="s">
        <v>34</v>
      </c>
      <c r="I1376" s="13">
        <v>12</v>
      </c>
      <c r="J1376" s="10">
        <v>212.01</v>
      </c>
      <c r="K1376" s="10">
        <f t="shared" si="43"/>
        <v>2544.12</v>
      </c>
      <c r="L1376" s="2">
        <v>0.2</v>
      </c>
      <c r="M1376" s="2" t="s">
        <v>41</v>
      </c>
      <c r="N1376" s="2" t="s">
        <v>42</v>
      </c>
    </row>
    <row r="1377" spans="1:14" x14ac:dyDescent="0.2">
      <c r="A1377" s="13">
        <v>101273</v>
      </c>
      <c r="B1377" s="5">
        <v>45383</v>
      </c>
      <c r="C1377" s="5" t="str">
        <f t="shared" si="42"/>
        <v>Apr</v>
      </c>
      <c r="D1377" s="2" t="s">
        <v>695</v>
      </c>
      <c r="E1377" s="2" t="s">
        <v>37</v>
      </c>
      <c r="F1377" s="2" t="s">
        <v>69</v>
      </c>
      <c r="G1377" s="2" t="s">
        <v>15</v>
      </c>
      <c r="H1377" s="2" t="s">
        <v>205</v>
      </c>
      <c r="I1377" s="13">
        <v>11</v>
      </c>
      <c r="J1377" s="10">
        <v>0</v>
      </c>
      <c r="K1377" s="10">
        <f t="shared" si="43"/>
        <v>0</v>
      </c>
      <c r="L1377" s="2">
        <v>0</v>
      </c>
      <c r="M1377" s="2" t="s">
        <v>41</v>
      </c>
      <c r="N1377" s="2" t="s">
        <v>87</v>
      </c>
    </row>
    <row r="1378" spans="1:14" x14ac:dyDescent="0.2">
      <c r="A1378" s="13">
        <v>100927</v>
      </c>
      <c r="B1378" s="5">
        <v>45477</v>
      </c>
      <c r="C1378" s="5" t="str">
        <f t="shared" si="42"/>
        <v>Jul</v>
      </c>
      <c r="D1378" s="2" t="s">
        <v>195</v>
      </c>
      <c r="E1378" s="2" t="s">
        <v>31</v>
      </c>
      <c r="F1378" s="2" t="s">
        <v>54</v>
      </c>
      <c r="G1378" s="2" t="s">
        <v>22</v>
      </c>
      <c r="H1378" s="2" t="s">
        <v>23</v>
      </c>
      <c r="I1378" s="13">
        <v>6</v>
      </c>
      <c r="J1378" s="10">
        <v>0</v>
      </c>
      <c r="K1378" s="10">
        <f t="shared" si="43"/>
        <v>0</v>
      </c>
      <c r="L1378" s="2">
        <v>0</v>
      </c>
      <c r="M1378" s="2" t="s">
        <v>83</v>
      </c>
      <c r="N1378" s="2" t="s">
        <v>18</v>
      </c>
    </row>
    <row r="1379" spans="1:14" x14ac:dyDescent="0.2">
      <c r="A1379" s="13">
        <v>100516</v>
      </c>
      <c r="B1379" s="5">
        <v>45345</v>
      </c>
      <c r="C1379" s="5" t="str">
        <f t="shared" si="42"/>
        <v>Feb</v>
      </c>
      <c r="D1379" s="2" t="s">
        <v>734</v>
      </c>
      <c r="E1379" s="2" t="s">
        <v>31</v>
      </c>
      <c r="F1379" s="2" t="s">
        <v>32</v>
      </c>
      <c r="G1379" s="2" t="s">
        <v>106</v>
      </c>
      <c r="H1379" s="2" t="s">
        <v>135</v>
      </c>
      <c r="I1379" s="13">
        <v>10</v>
      </c>
      <c r="J1379" s="10">
        <v>3934.06</v>
      </c>
      <c r="K1379" s="10">
        <f t="shared" si="43"/>
        <v>39340.6</v>
      </c>
      <c r="L1379" s="2">
        <v>0.1</v>
      </c>
      <c r="M1379" s="2" t="s">
        <v>83</v>
      </c>
      <c r="N1379" s="2" t="s">
        <v>87</v>
      </c>
    </row>
    <row r="1380" spans="1:14" x14ac:dyDescent="0.2">
      <c r="A1380" s="13">
        <v>100224</v>
      </c>
      <c r="B1380" s="5">
        <v>45428</v>
      </c>
      <c r="C1380" s="5" t="str">
        <f t="shared" si="42"/>
        <v>May</v>
      </c>
      <c r="D1380" s="2" t="s">
        <v>932</v>
      </c>
      <c r="E1380" s="2" t="s">
        <v>31</v>
      </c>
      <c r="F1380" s="2" t="s">
        <v>54</v>
      </c>
      <c r="G1380" s="2" t="s">
        <v>33</v>
      </c>
      <c r="H1380" s="2" t="s">
        <v>81</v>
      </c>
      <c r="I1380" s="13">
        <v>5</v>
      </c>
      <c r="J1380" s="10">
        <v>75.73</v>
      </c>
      <c r="K1380" s="10">
        <f t="shared" si="43"/>
        <v>378.65000000000003</v>
      </c>
      <c r="L1380" s="2">
        <v>0.25</v>
      </c>
      <c r="M1380" s="2" t="s">
        <v>17</v>
      </c>
      <c r="N1380" s="2" t="s">
        <v>25</v>
      </c>
    </row>
    <row r="1381" spans="1:14" x14ac:dyDescent="0.2">
      <c r="A1381" s="13">
        <v>101492</v>
      </c>
      <c r="B1381" s="5">
        <v>45456</v>
      </c>
      <c r="C1381" s="5" t="str">
        <f t="shared" si="42"/>
        <v>Jun</v>
      </c>
      <c r="D1381" s="2" t="s">
        <v>336</v>
      </c>
      <c r="E1381" s="2" t="s">
        <v>31</v>
      </c>
      <c r="F1381" s="2" t="s">
        <v>32</v>
      </c>
      <c r="G1381" s="2" t="s">
        <v>15</v>
      </c>
      <c r="H1381" s="2" t="s">
        <v>116</v>
      </c>
      <c r="I1381" s="13">
        <v>4</v>
      </c>
      <c r="J1381" s="10">
        <v>10293.469999999999</v>
      </c>
      <c r="K1381" s="10">
        <f t="shared" si="43"/>
        <v>41173.879999999997</v>
      </c>
      <c r="L1381" s="2">
        <v>0.15</v>
      </c>
      <c r="M1381" s="2" t="s">
        <v>41</v>
      </c>
      <c r="N1381" s="2" t="s">
        <v>42</v>
      </c>
    </row>
    <row r="1382" spans="1:14" x14ac:dyDescent="0.2">
      <c r="A1382" s="13">
        <v>100844</v>
      </c>
      <c r="B1382" s="5">
        <v>45593</v>
      </c>
      <c r="C1382" s="5" t="str">
        <f t="shared" si="42"/>
        <v>Oct</v>
      </c>
      <c r="D1382" s="2" t="s">
        <v>302</v>
      </c>
      <c r="E1382" s="2" t="s">
        <v>27</v>
      </c>
      <c r="F1382" s="2" t="s">
        <v>21</v>
      </c>
      <c r="G1382" s="2" t="s">
        <v>45</v>
      </c>
      <c r="H1382" s="2" t="s">
        <v>111</v>
      </c>
      <c r="I1382" s="13">
        <v>1</v>
      </c>
      <c r="J1382" s="10">
        <v>24207.94</v>
      </c>
      <c r="K1382" s="10">
        <f t="shared" si="43"/>
        <v>24207.94</v>
      </c>
      <c r="L1382" s="2">
        <v>0.25</v>
      </c>
      <c r="M1382" s="2" t="s">
        <v>41</v>
      </c>
      <c r="N1382" s="2" t="s">
        <v>52</v>
      </c>
    </row>
    <row r="1383" spans="1:14" x14ac:dyDescent="0.2">
      <c r="A1383" s="13">
        <v>101246</v>
      </c>
      <c r="B1383" s="5">
        <v>45562</v>
      </c>
      <c r="C1383" s="5" t="str">
        <f t="shared" si="42"/>
        <v>Sep</v>
      </c>
      <c r="D1383" s="2" t="s">
        <v>499</v>
      </c>
      <c r="E1383" s="2" t="s">
        <v>140</v>
      </c>
      <c r="F1383" s="2" t="s">
        <v>79</v>
      </c>
      <c r="G1383" s="2" t="s">
        <v>33</v>
      </c>
      <c r="H1383" s="2" t="s">
        <v>93</v>
      </c>
      <c r="I1383" s="13">
        <v>2</v>
      </c>
      <c r="J1383" s="10">
        <v>521.1</v>
      </c>
      <c r="K1383" s="10">
        <f t="shared" si="43"/>
        <v>1042.2</v>
      </c>
      <c r="L1383" s="2">
        <v>0.15</v>
      </c>
      <c r="M1383" s="2" t="s">
        <v>17</v>
      </c>
      <c r="N1383" s="2" t="s">
        <v>35</v>
      </c>
    </row>
    <row r="1384" spans="1:14" x14ac:dyDescent="0.2">
      <c r="A1384" s="13">
        <v>100053</v>
      </c>
      <c r="B1384" s="5">
        <v>45436</v>
      </c>
      <c r="C1384" s="5" t="str">
        <f t="shared" si="42"/>
        <v>May</v>
      </c>
      <c r="D1384" s="2" t="s">
        <v>934</v>
      </c>
      <c r="E1384" s="2" t="s">
        <v>140</v>
      </c>
      <c r="F1384" s="2" t="s">
        <v>79</v>
      </c>
      <c r="G1384" s="2" t="s">
        <v>22</v>
      </c>
      <c r="H1384" s="2" t="s">
        <v>145</v>
      </c>
      <c r="I1384" s="13">
        <v>12</v>
      </c>
      <c r="J1384" s="10">
        <v>1403.69</v>
      </c>
      <c r="K1384" s="10">
        <f t="shared" si="43"/>
        <v>16844.28</v>
      </c>
      <c r="L1384" s="2">
        <v>0</v>
      </c>
      <c r="M1384" s="2" t="s">
        <v>66</v>
      </c>
      <c r="N1384" s="2" t="s">
        <v>143</v>
      </c>
    </row>
    <row r="1385" spans="1:14" x14ac:dyDescent="0.2">
      <c r="A1385" s="13">
        <v>101863</v>
      </c>
      <c r="B1385" s="5">
        <v>45344</v>
      </c>
      <c r="C1385" s="5" t="str">
        <f t="shared" si="42"/>
        <v>Feb</v>
      </c>
      <c r="D1385" s="2" t="s">
        <v>857</v>
      </c>
      <c r="E1385" s="2" t="s">
        <v>140</v>
      </c>
      <c r="F1385" s="2" t="s">
        <v>49</v>
      </c>
      <c r="G1385" s="2" t="s">
        <v>106</v>
      </c>
      <c r="H1385" s="2" t="s">
        <v>137</v>
      </c>
      <c r="I1385" s="13">
        <v>-3</v>
      </c>
      <c r="J1385" s="10">
        <v>1802.63</v>
      </c>
      <c r="K1385" s="10">
        <f t="shared" si="43"/>
        <v>-5407.89</v>
      </c>
      <c r="L1385" s="2">
        <v>0.05</v>
      </c>
      <c r="M1385" s="2" t="s">
        <v>83</v>
      </c>
      <c r="N1385" s="2" t="s">
        <v>25</v>
      </c>
    </row>
    <row r="1386" spans="1:14" x14ac:dyDescent="0.2">
      <c r="A1386" s="13">
        <v>100486</v>
      </c>
      <c r="B1386" s="5">
        <v>45355</v>
      </c>
      <c r="C1386" s="5" t="str">
        <f t="shared" si="42"/>
        <v>Mar</v>
      </c>
      <c r="D1386" s="2" t="s">
        <v>434</v>
      </c>
      <c r="E1386" s="2" t="s">
        <v>140</v>
      </c>
      <c r="F1386" s="2" t="s">
        <v>49</v>
      </c>
      <c r="G1386" s="2" t="s">
        <v>15</v>
      </c>
      <c r="H1386" s="2" t="s">
        <v>59</v>
      </c>
      <c r="I1386" s="13">
        <v>8</v>
      </c>
      <c r="J1386" s="10">
        <v>23884.38</v>
      </c>
      <c r="K1386" s="10">
        <f t="shared" si="43"/>
        <v>191075.04</v>
      </c>
      <c r="L1386" s="2">
        <v>0.05</v>
      </c>
      <c r="M1386" s="2" t="s">
        <v>66</v>
      </c>
      <c r="N1386" s="2" t="s">
        <v>87</v>
      </c>
    </row>
    <row r="1387" spans="1:14" x14ac:dyDescent="0.2">
      <c r="A1387" s="13">
        <v>101935</v>
      </c>
      <c r="B1387" s="5">
        <v>45450</v>
      </c>
      <c r="C1387" s="5" t="str">
        <f t="shared" si="42"/>
        <v>Jun</v>
      </c>
      <c r="D1387" s="2" t="s">
        <v>744</v>
      </c>
      <c r="E1387" s="2" t="s">
        <v>31</v>
      </c>
      <c r="F1387" s="2" t="s">
        <v>54</v>
      </c>
      <c r="G1387" s="2" t="s">
        <v>33</v>
      </c>
      <c r="H1387" s="2" t="s">
        <v>158</v>
      </c>
      <c r="I1387" s="13">
        <v>4</v>
      </c>
      <c r="J1387" s="10">
        <v>150.34</v>
      </c>
      <c r="K1387" s="10">
        <f t="shared" si="43"/>
        <v>601.36</v>
      </c>
      <c r="L1387" s="2">
        <v>0.25</v>
      </c>
      <c r="M1387" s="2" t="s">
        <v>41</v>
      </c>
      <c r="N1387" s="2" t="s">
        <v>42</v>
      </c>
    </row>
    <row r="1388" spans="1:14" x14ac:dyDescent="0.2">
      <c r="A1388" s="13">
        <v>100819</v>
      </c>
      <c r="B1388" s="5">
        <v>45346</v>
      </c>
      <c r="C1388" s="5" t="str">
        <f t="shared" si="42"/>
        <v>Feb</v>
      </c>
      <c r="D1388" s="2" t="s">
        <v>387</v>
      </c>
      <c r="E1388" s="2" t="s">
        <v>61</v>
      </c>
      <c r="F1388" s="2" t="s">
        <v>14</v>
      </c>
      <c r="G1388" s="2" t="s">
        <v>106</v>
      </c>
      <c r="H1388" s="2" t="s">
        <v>103</v>
      </c>
      <c r="I1388" s="13">
        <v>1</v>
      </c>
      <c r="J1388" s="10">
        <v>4230.03</v>
      </c>
      <c r="K1388" s="10">
        <f t="shared" si="43"/>
        <v>4230.03</v>
      </c>
      <c r="L1388" s="2">
        <v>0.25</v>
      </c>
      <c r="M1388" s="2" t="s">
        <v>41</v>
      </c>
      <c r="N1388" s="2" t="s">
        <v>87</v>
      </c>
    </row>
    <row r="1389" spans="1:14" x14ac:dyDescent="0.2">
      <c r="A1389" s="13">
        <v>100156</v>
      </c>
      <c r="B1389" s="5">
        <v>45476</v>
      </c>
      <c r="C1389" s="5" t="str">
        <f t="shared" si="42"/>
        <v>Jul</v>
      </c>
      <c r="D1389" s="2" t="s">
        <v>345</v>
      </c>
      <c r="E1389" s="2" t="s">
        <v>140</v>
      </c>
      <c r="F1389" s="2" t="s">
        <v>49</v>
      </c>
      <c r="G1389" s="2" t="s">
        <v>64</v>
      </c>
      <c r="H1389" s="2" t="s">
        <v>242</v>
      </c>
      <c r="I1389" s="13">
        <v>12</v>
      </c>
      <c r="J1389" s="10">
        <v>761.52</v>
      </c>
      <c r="K1389" s="10">
        <f t="shared" si="43"/>
        <v>9138.24</v>
      </c>
      <c r="L1389" s="2">
        <v>0.15</v>
      </c>
      <c r="M1389" s="2" t="s">
        <v>24</v>
      </c>
      <c r="N1389" s="2" t="s">
        <v>35</v>
      </c>
    </row>
    <row r="1390" spans="1:14" x14ac:dyDescent="0.2">
      <c r="A1390" s="13">
        <v>101367</v>
      </c>
      <c r="B1390" s="5">
        <v>45534</v>
      </c>
      <c r="C1390" s="5" t="str">
        <f t="shared" si="42"/>
        <v>Aug</v>
      </c>
      <c r="D1390" s="2" t="s">
        <v>937</v>
      </c>
      <c r="E1390" s="2" t="s">
        <v>27</v>
      </c>
      <c r="F1390" s="2" t="s">
        <v>21</v>
      </c>
      <c r="G1390" s="2" t="s">
        <v>50</v>
      </c>
      <c r="H1390" s="2" t="s">
        <v>51</v>
      </c>
      <c r="I1390" s="13"/>
      <c r="J1390" s="10">
        <v>1441.84</v>
      </c>
      <c r="K1390" s="10">
        <f t="shared" si="43"/>
        <v>0</v>
      </c>
      <c r="L1390" s="2">
        <v>0</v>
      </c>
      <c r="M1390" s="2" t="s">
        <v>24</v>
      </c>
      <c r="N1390" s="2" t="s">
        <v>35</v>
      </c>
    </row>
    <row r="1391" spans="1:14" x14ac:dyDescent="0.2">
      <c r="A1391" s="13">
        <v>100601</v>
      </c>
      <c r="B1391" s="5">
        <v>45306</v>
      </c>
      <c r="C1391" s="5" t="str">
        <f t="shared" si="42"/>
        <v>Jan</v>
      </c>
      <c r="D1391" s="2" t="s">
        <v>540</v>
      </c>
      <c r="E1391" s="2" t="s">
        <v>61</v>
      </c>
      <c r="F1391" s="2" t="s">
        <v>119</v>
      </c>
      <c r="G1391" s="2" t="s">
        <v>64</v>
      </c>
      <c r="H1391" s="2" t="s">
        <v>292</v>
      </c>
      <c r="I1391" s="13">
        <v>3</v>
      </c>
      <c r="J1391" s="10">
        <v>216.84</v>
      </c>
      <c r="K1391" s="10">
        <f t="shared" si="43"/>
        <v>650.52</v>
      </c>
      <c r="L1391" s="2">
        <v>0</v>
      </c>
      <c r="M1391" s="2" t="s">
        <v>29</v>
      </c>
      <c r="N1391" s="2" t="s">
        <v>52</v>
      </c>
    </row>
    <row r="1392" spans="1:14" x14ac:dyDescent="0.2">
      <c r="A1392" s="13">
        <v>101621</v>
      </c>
      <c r="B1392" s="5">
        <v>45444</v>
      </c>
      <c r="C1392" s="5" t="str">
        <f t="shared" si="42"/>
        <v>Jun</v>
      </c>
      <c r="D1392" s="2" t="s">
        <v>938</v>
      </c>
      <c r="E1392" s="2" t="s">
        <v>31</v>
      </c>
      <c r="F1392" s="2" t="s">
        <v>54</v>
      </c>
      <c r="G1392" s="2" t="s">
        <v>33</v>
      </c>
      <c r="H1392" s="2" t="s">
        <v>158</v>
      </c>
      <c r="I1392" s="13">
        <v>5</v>
      </c>
      <c r="J1392" s="10">
        <v>352.52</v>
      </c>
      <c r="K1392" s="10">
        <f t="shared" si="43"/>
        <v>1762.6</v>
      </c>
      <c r="L1392" s="2">
        <v>0</v>
      </c>
      <c r="M1392" s="2" t="s">
        <v>66</v>
      </c>
      <c r="N1392" s="2" t="s">
        <v>87</v>
      </c>
    </row>
    <row r="1393" spans="1:14" x14ac:dyDescent="0.2">
      <c r="A1393" s="13">
        <v>100249</v>
      </c>
      <c r="B1393" s="5">
        <v>45656</v>
      </c>
      <c r="C1393" s="5" t="str">
        <f t="shared" si="42"/>
        <v>Dec</v>
      </c>
      <c r="D1393" s="2" t="s">
        <v>296</v>
      </c>
      <c r="E1393" s="2" t="s">
        <v>31</v>
      </c>
      <c r="F1393" s="2" t="s">
        <v>54</v>
      </c>
      <c r="G1393" s="2" t="s">
        <v>64</v>
      </c>
      <c r="H1393" s="2" t="s">
        <v>242</v>
      </c>
      <c r="I1393" s="13">
        <v>8</v>
      </c>
      <c r="J1393" s="10">
        <v>435.63</v>
      </c>
      <c r="K1393" s="10">
        <f t="shared" si="43"/>
        <v>3485.04</v>
      </c>
      <c r="L1393" s="2">
        <v>0</v>
      </c>
      <c r="M1393" s="2" t="s">
        <v>29</v>
      </c>
      <c r="N1393" s="2" t="s">
        <v>25</v>
      </c>
    </row>
    <row r="1394" spans="1:14" x14ac:dyDescent="0.2">
      <c r="A1394" s="13">
        <v>100762</v>
      </c>
      <c r="B1394" s="5">
        <v>45431</v>
      </c>
      <c r="C1394" s="5" t="str">
        <f t="shared" si="42"/>
        <v>May</v>
      </c>
      <c r="D1394" s="2" t="s">
        <v>939</v>
      </c>
      <c r="E1394" s="2" t="s">
        <v>140</v>
      </c>
      <c r="F1394" s="2" t="s">
        <v>49</v>
      </c>
      <c r="G1394" s="2" t="s">
        <v>15</v>
      </c>
      <c r="H1394" s="2" t="s">
        <v>59</v>
      </c>
      <c r="I1394" s="13">
        <v>3</v>
      </c>
      <c r="J1394" s="10">
        <v>15323.43</v>
      </c>
      <c r="K1394" s="10">
        <f t="shared" si="43"/>
        <v>45970.29</v>
      </c>
      <c r="L1394" s="2">
        <v>0</v>
      </c>
      <c r="M1394" s="2" t="s">
        <v>41</v>
      </c>
      <c r="N1394" s="2" t="s">
        <v>121</v>
      </c>
    </row>
    <row r="1395" spans="1:14" x14ac:dyDescent="0.2">
      <c r="A1395" s="13">
        <v>101847</v>
      </c>
      <c r="B1395" s="5">
        <v>45605</v>
      </c>
      <c r="C1395" s="5" t="str">
        <f t="shared" si="42"/>
        <v>Nov</v>
      </c>
      <c r="D1395" s="2" t="s">
        <v>822</v>
      </c>
      <c r="E1395" s="2" t="s">
        <v>61</v>
      </c>
      <c r="F1395" s="2" t="s">
        <v>119</v>
      </c>
      <c r="G1395" s="2" t="s">
        <v>22</v>
      </c>
      <c r="H1395" s="2" t="s">
        <v>141</v>
      </c>
      <c r="I1395" s="13">
        <v>3</v>
      </c>
      <c r="J1395" s="10">
        <v>3143.72</v>
      </c>
      <c r="K1395" s="10">
        <f t="shared" si="43"/>
        <v>9431.16</v>
      </c>
      <c r="L1395" s="2">
        <v>0</v>
      </c>
      <c r="M1395" s="2" t="s">
        <v>83</v>
      </c>
      <c r="N1395" s="2" t="s">
        <v>52</v>
      </c>
    </row>
    <row r="1396" spans="1:14" x14ac:dyDescent="0.2">
      <c r="A1396" s="13">
        <v>101131</v>
      </c>
      <c r="B1396" s="5">
        <v>45552</v>
      </c>
      <c r="C1396" s="5" t="str">
        <f t="shared" si="42"/>
        <v>Sep</v>
      </c>
      <c r="D1396" s="2" t="s">
        <v>576</v>
      </c>
      <c r="E1396" s="2" t="s">
        <v>37</v>
      </c>
      <c r="F1396" s="2" t="s">
        <v>69</v>
      </c>
      <c r="G1396" s="2" t="s">
        <v>15</v>
      </c>
      <c r="H1396" s="2" t="s">
        <v>16</v>
      </c>
      <c r="I1396" s="13">
        <v>8</v>
      </c>
      <c r="J1396" s="10">
        <v>0</v>
      </c>
      <c r="K1396" s="10">
        <f t="shared" si="43"/>
        <v>0</v>
      </c>
      <c r="L1396" s="2">
        <v>0</v>
      </c>
      <c r="M1396" s="2" t="s">
        <v>66</v>
      </c>
      <c r="N1396" s="2" t="s">
        <v>42</v>
      </c>
    </row>
    <row r="1397" spans="1:14" x14ac:dyDescent="0.2">
      <c r="A1397" s="13">
        <v>100543</v>
      </c>
      <c r="B1397" s="5">
        <v>45292</v>
      </c>
      <c r="C1397" s="5" t="str">
        <f t="shared" si="42"/>
        <v>Jan</v>
      </c>
      <c r="D1397" s="2" t="s">
        <v>195</v>
      </c>
      <c r="E1397" s="2" t="s">
        <v>27</v>
      </c>
      <c r="F1397" s="2" t="s">
        <v>21</v>
      </c>
      <c r="G1397" s="2" t="s">
        <v>50</v>
      </c>
      <c r="H1397" s="2" t="s">
        <v>51</v>
      </c>
      <c r="I1397" s="13">
        <v>6</v>
      </c>
      <c r="J1397" s="10">
        <v>7610.15</v>
      </c>
      <c r="K1397" s="10">
        <f t="shared" si="43"/>
        <v>45660.899999999994</v>
      </c>
      <c r="L1397" s="2">
        <v>0</v>
      </c>
      <c r="M1397" s="2" t="s">
        <v>41</v>
      </c>
      <c r="N1397" s="2" t="s">
        <v>52</v>
      </c>
    </row>
    <row r="1398" spans="1:14" x14ac:dyDescent="0.2">
      <c r="A1398" s="13">
        <v>100794</v>
      </c>
      <c r="B1398" s="5">
        <v>45546</v>
      </c>
      <c r="C1398" s="5" t="str">
        <f t="shared" si="42"/>
        <v>Sep</v>
      </c>
      <c r="D1398" s="2" t="s">
        <v>900</v>
      </c>
      <c r="E1398" s="2" t="s">
        <v>31</v>
      </c>
      <c r="F1398" s="2" t="s">
        <v>54</v>
      </c>
      <c r="G1398" s="2" t="s">
        <v>15</v>
      </c>
      <c r="H1398" s="2" t="s">
        <v>116</v>
      </c>
      <c r="I1398" s="13">
        <v>12</v>
      </c>
      <c r="J1398" s="10">
        <v>17812.11</v>
      </c>
      <c r="K1398" s="10">
        <f t="shared" si="43"/>
        <v>213745.32</v>
      </c>
      <c r="L1398" s="2">
        <v>0</v>
      </c>
      <c r="M1398" s="2" t="s">
        <v>66</v>
      </c>
      <c r="N1398" s="2" t="s">
        <v>42</v>
      </c>
    </row>
    <row r="1399" spans="1:14" x14ac:dyDescent="0.2">
      <c r="A1399" s="13">
        <v>101142</v>
      </c>
      <c r="B1399" s="5">
        <v>45510</v>
      </c>
      <c r="C1399" s="5" t="str">
        <f t="shared" si="42"/>
        <v>Aug</v>
      </c>
      <c r="D1399" s="2" t="s">
        <v>377</v>
      </c>
      <c r="E1399" s="2" t="s">
        <v>27</v>
      </c>
      <c r="F1399" s="2" t="s">
        <v>133</v>
      </c>
      <c r="G1399" s="2" t="s">
        <v>15</v>
      </c>
      <c r="H1399" s="2" t="s">
        <v>16</v>
      </c>
      <c r="I1399" s="13">
        <v>5</v>
      </c>
      <c r="J1399" s="10">
        <v>14683.22</v>
      </c>
      <c r="K1399" s="10">
        <f t="shared" si="43"/>
        <v>73416.099999999991</v>
      </c>
      <c r="L1399" s="2">
        <v>0.2</v>
      </c>
      <c r="M1399" s="2" t="s">
        <v>29</v>
      </c>
      <c r="N1399" s="2" t="s">
        <v>25</v>
      </c>
    </row>
    <row r="1400" spans="1:14" x14ac:dyDescent="0.2">
      <c r="A1400" s="13">
        <v>101470</v>
      </c>
      <c r="B1400" s="5">
        <v>45572</v>
      </c>
      <c r="C1400" s="5" t="str">
        <f t="shared" si="42"/>
        <v>Oct</v>
      </c>
      <c r="D1400" s="2" t="s">
        <v>940</v>
      </c>
      <c r="E1400" s="2" t="s">
        <v>27</v>
      </c>
      <c r="F1400" s="2" t="s">
        <v>133</v>
      </c>
      <c r="G1400" s="2" t="s">
        <v>64</v>
      </c>
      <c r="H1400" s="2" t="s">
        <v>242</v>
      </c>
      <c r="I1400" s="13">
        <v>7</v>
      </c>
      <c r="J1400" s="10">
        <v>129.99</v>
      </c>
      <c r="K1400" s="10">
        <f t="shared" si="43"/>
        <v>909.93000000000006</v>
      </c>
      <c r="L1400" s="2">
        <v>0.25</v>
      </c>
      <c r="M1400" s="2" t="s">
        <v>17</v>
      </c>
      <c r="N1400" s="2" t="s">
        <v>87</v>
      </c>
    </row>
    <row r="1401" spans="1:14" x14ac:dyDescent="0.2">
      <c r="A1401" s="13">
        <v>100629</v>
      </c>
      <c r="B1401" s="5">
        <v>45377</v>
      </c>
      <c r="C1401" s="5" t="str">
        <f t="shared" si="42"/>
        <v>Mar</v>
      </c>
      <c r="D1401" s="2" t="s">
        <v>887</v>
      </c>
      <c r="E1401" s="2" t="s">
        <v>27</v>
      </c>
      <c r="F1401" s="2" t="s">
        <v>21</v>
      </c>
      <c r="G1401" s="2" t="s">
        <v>22</v>
      </c>
      <c r="H1401" s="2" t="s">
        <v>23</v>
      </c>
      <c r="I1401" s="13">
        <v>5</v>
      </c>
      <c r="J1401" s="10">
        <v>883.38</v>
      </c>
      <c r="K1401" s="10">
        <f t="shared" si="43"/>
        <v>4416.8999999999996</v>
      </c>
      <c r="L1401" s="2">
        <v>0.1</v>
      </c>
      <c r="M1401" s="2" t="s">
        <v>83</v>
      </c>
      <c r="N1401" s="2" t="s">
        <v>42</v>
      </c>
    </row>
    <row r="1402" spans="1:14" x14ac:dyDescent="0.2">
      <c r="A1402" s="13">
        <v>100151</v>
      </c>
      <c r="B1402" s="5">
        <v>45295</v>
      </c>
      <c r="C1402" s="5" t="str">
        <f t="shared" si="42"/>
        <v>Jan</v>
      </c>
      <c r="D1402" s="2" t="s">
        <v>415</v>
      </c>
      <c r="E1402" s="2" t="s">
        <v>37</v>
      </c>
      <c r="F1402" s="2" t="s">
        <v>38</v>
      </c>
      <c r="G1402" s="2" t="s">
        <v>15</v>
      </c>
      <c r="H1402" s="2" t="s">
        <v>152</v>
      </c>
      <c r="I1402" s="13">
        <v>10</v>
      </c>
      <c r="J1402" s="10">
        <v>23822.13</v>
      </c>
      <c r="K1402" s="10">
        <f t="shared" si="43"/>
        <v>238221.30000000002</v>
      </c>
      <c r="L1402" s="2">
        <v>0.05</v>
      </c>
      <c r="M1402" s="2" t="s">
        <v>17</v>
      </c>
      <c r="N1402" s="2" t="s">
        <v>87</v>
      </c>
    </row>
    <row r="1403" spans="1:14" x14ac:dyDescent="0.2">
      <c r="A1403" s="13">
        <v>101660</v>
      </c>
      <c r="B1403" s="5">
        <v>45408</v>
      </c>
      <c r="C1403" s="5" t="str">
        <f t="shared" si="42"/>
        <v>Apr</v>
      </c>
      <c r="D1403" s="2" t="s">
        <v>311</v>
      </c>
      <c r="E1403" s="2" t="s">
        <v>140</v>
      </c>
      <c r="F1403" s="2" t="s">
        <v>49</v>
      </c>
      <c r="G1403" s="2" t="s">
        <v>15</v>
      </c>
      <c r="H1403" s="2" t="s">
        <v>116</v>
      </c>
      <c r="I1403" s="13">
        <v>11</v>
      </c>
      <c r="J1403" s="10">
        <v>19798.580000000002</v>
      </c>
      <c r="K1403" s="10">
        <f t="shared" si="43"/>
        <v>217784.38</v>
      </c>
      <c r="L1403" s="2">
        <v>0.1</v>
      </c>
      <c r="M1403" s="2" t="s">
        <v>66</v>
      </c>
      <c r="N1403" s="2" t="s">
        <v>18</v>
      </c>
    </row>
    <row r="1404" spans="1:14" x14ac:dyDescent="0.2">
      <c r="A1404" s="13">
        <v>100292</v>
      </c>
      <c r="B1404" s="5">
        <v>45570</v>
      </c>
      <c r="C1404" s="5" t="str">
        <f t="shared" si="42"/>
        <v>Oct</v>
      </c>
      <c r="D1404" s="2" t="s">
        <v>929</v>
      </c>
      <c r="E1404" s="2" t="s">
        <v>31</v>
      </c>
      <c r="F1404" s="2" t="s">
        <v>32</v>
      </c>
      <c r="G1404" s="2" t="s">
        <v>33</v>
      </c>
      <c r="H1404" s="2" t="s">
        <v>34</v>
      </c>
      <c r="I1404" s="13">
        <v>12</v>
      </c>
      <c r="J1404" s="10">
        <v>586.55999999999995</v>
      </c>
      <c r="K1404" s="10">
        <f t="shared" si="43"/>
        <v>7038.7199999999993</v>
      </c>
      <c r="L1404" s="2">
        <v>0.15</v>
      </c>
      <c r="M1404" s="2" t="s">
        <v>83</v>
      </c>
      <c r="N1404" s="2" t="s">
        <v>42</v>
      </c>
    </row>
    <row r="1405" spans="1:14" x14ac:dyDescent="0.2">
      <c r="A1405" s="13">
        <v>100382</v>
      </c>
      <c r="B1405" s="5">
        <v>45424</v>
      </c>
      <c r="C1405" s="5" t="str">
        <f t="shared" si="42"/>
        <v>May</v>
      </c>
      <c r="D1405" s="2" t="s">
        <v>1069</v>
      </c>
      <c r="E1405" s="2" t="s">
        <v>37</v>
      </c>
      <c r="F1405" s="2" t="s">
        <v>38</v>
      </c>
      <c r="G1405" s="2" t="s">
        <v>15</v>
      </c>
      <c r="H1405" s="2" t="s">
        <v>59</v>
      </c>
      <c r="I1405" s="13">
        <v>8</v>
      </c>
      <c r="J1405" s="10">
        <v>12223.62</v>
      </c>
      <c r="K1405" s="10">
        <f t="shared" si="43"/>
        <v>97788.96</v>
      </c>
      <c r="L1405" s="2">
        <v>0.25</v>
      </c>
      <c r="M1405" s="2" t="s">
        <v>83</v>
      </c>
      <c r="N1405" s="2" t="s">
        <v>87</v>
      </c>
    </row>
    <row r="1406" spans="1:14" x14ac:dyDescent="0.2">
      <c r="A1406" s="13">
        <v>100687</v>
      </c>
      <c r="B1406" s="5">
        <v>45338</v>
      </c>
      <c r="C1406" s="5" t="str">
        <f t="shared" si="42"/>
        <v>Feb</v>
      </c>
      <c r="D1406" s="2" t="s">
        <v>588</v>
      </c>
      <c r="E1406" s="2" t="s">
        <v>140</v>
      </c>
      <c r="F1406" s="2" t="s">
        <v>49</v>
      </c>
      <c r="G1406" s="2" t="s">
        <v>45</v>
      </c>
      <c r="H1406" s="2" t="s">
        <v>46</v>
      </c>
      <c r="I1406" s="13">
        <v>9</v>
      </c>
      <c r="J1406" s="10">
        <v>36821.620000000003</v>
      </c>
      <c r="K1406" s="10">
        <f t="shared" si="43"/>
        <v>331394.58</v>
      </c>
      <c r="L1406" s="2">
        <v>0</v>
      </c>
      <c r="M1406" s="2" t="s">
        <v>41</v>
      </c>
      <c r="N1406" s="2" t="s">
        <v>121</v>
      </c>
    </row>
    <row r="1407" spans="1:14" x14ac:dyDescent="0.2">
      <c r="A1407" s="13">
        <v>101368</v>
      </c>
      <c r="B1407" s="5">
        <v>45452</v>
      </c>
      <c r="C1407" s="5" t="str">
        <f t="shared" si="42"/>
        <v>Jun</v>
      </c>
      <c r="D1407" s="2" t="s">
        <v>1069</v>
      </c>
      <c r="E1407" s="2" t="s">
        <v>31</v>
      </c>
      <c r="F1407" s="2" t="s">
        <v>32</v>
      </c>
      <c r="G1407" s="2" t="s">
        <v>33</v>
      </c>
      <c r="H1407" s="2" t="s">
        <v>34</v>
      </c>
      <c r="I1407" s="13">
        <v>10</v>
      </c>
      <c r="J1407" s="10">
        <v>245.76</v>
      </c>
      <c r="K1407" s="10">
        <f t="shared" si="43"/>
        <v>2457.6</v>
      </c>
      <c r="L1407" s="2">
        <v>0</v>
      </c>
      <c r="M1407" s="2" t="s">
        <v>83</v>
      </c>
      <c r="N1407" s="2" t="s">
        <v>143</v>
      </c>
    </row>
    <row r="1408" spans="1:14" x14ac:dyDescent="0.2">
      <c r="A1408" s="13">
        <v>101225</v>
      </c>
      <c r="B1408" s="5">
        <v>45385</v>
      </c>
      <c r="C1408" s="5" t="str">
        <f t="shared" si="42"/>
        <v>Apr</v>
      </c>
      <c r="D1408" s="2" t="s">
        <v>681</v>
      </c>
      <c r="E1408" s="2" t="s">
        <v>31</v>
      </c>
      <c r="F1408" s="2" t="s">
        <v>32</v>
      </c>
      <c r="G1408" s="2" t="s">
        <v>64</v>
      </c>
      <c r="H1408" s="2" t="s">
        <v>242</v>
      </c>
      <c r="I1408" s="13">
        <v>3</v>
      </c>
      <c r="J1408" s="10">
        <v>260.33</v>
      </c>
      <c r="K1408" s="10">
        <f t="shared" si="43"/>
        <v>780.99</v>
      </c>
      <c r="L1408" s="2">
        <v>0.25</v>
      </c>
      <c r="M1408" s="2" t="s">
        <v>66</v>
      </c>
      <c r="N1408" s="2" t="s">
        <v>52</v>
      </c>
    </row>
    <row r="1409" spans="1:14" x14ac:dyDescent="0.2">
      <c r="A1409" s="13">
        <v>100898</v>
      </c>
      <c r="B1409" s="5">
        <v>45351</v>
      </c>
      <c r="C1409" s="5" t="str">
        <f t="shared" si="42"/>
        <v>Feb</v>
      </c>
      <c r="D1409" s="2" t="s">
        <v>493</v>
      </c>
      <c r="E1409" s="2" t="s">
        <v>27</v>
      </c>
      <c r="F1409" s="2" t="s">
        <v>21</v>
      </c>
      <c r="G1409" s="2" t="s">
        <v>64</v>
      </c>
      <c r="H1409" s="2" t="s">
        <v>40</v>
      </c>
      <c r="I1409" s="13">
        <v>2</v>
      </c>
      <c r="J1409" s="10">
        <v>784.82</v>
      </c>
      <c r="K1409" s="10">
        <f t="shared" si="43"/>
        <v>1569.64</v>
      </c>
      <c r="L1409" s="2">
        <v>0.25</v>
      </c>
      <c r="M1409" s="2" t="s">
        <v>83</v>
      </c>
      <c r="N1409" s="2" t="s">
        <v>87</v>
      </c>
    </row>
    <row r="1410" spans="1:14" x14ac:dyDescent="0.2">
      <c r="A1410" s="13">
        <v>100855</v>
      </c>
      <c r="B1410" s="5">
        <v>45437</v>
      </c>
      <c r="C1410" s="5" t="str">
        <f t="shared" ref="C1410:C1473" si="44">TEXT(B1410,"mmm")</f>
        <v>May</v>
      </c>
      <c r="D1410" s="2" t="s">
        <v>744</v>
      </c>
      <c r="E1410" s="2" t="s">
        <v>140</v>
      </c>
      <c r="F1410" s="2" t="s">
        <v>49</v>
      </c>
      <c r="G1410" s="2" t="s">
        <v>45</v>
      </c>
      <c r="H1410" s="2" t="s">
        <v>71</v>
      </c>
      <c r="I1410" s="13">
        <v>2</v>
      </c>
      <c r="J1410" s="10">
        <v>40037.019999999997</v>
      </c>
      <c r="K1410" s="10">
        <f t="shared" ref="K1410:K1473" si="45">I1410*J1410</f>
        <v>80074.039999999994</v>
      </c>
      <c r="L1410" s="2">
        <v>0</v>
      </c>
      <c r="M1410" s="2" t="s">
        <v>24</v>
      </c>
      <c r="N1410" s="2" t="s">
        <v>87</v>
      </c>
    </row>
    <row r="1411" spans="1:14" x14ac:dyDescent="0.2">
      <c r="A1411" s="13">
        <v>101072</v>
      </c>
      <c r="B1411" s="5">
        <v>45302</v>
      </c>
      <c r="C1411" s="5" t="str">
        <f t="shared" si="44"/>
        <v>Jan</v>
      </c>
      <c r="D1411" s="2" t="s">
        <v>426</v>
      </c>
      <c r="E1411" s="2" t="s">
        <v>140</v>
      </c>
      <c r="F1411" s="2" t="s">
        <v>79</v>
      </c>
      <c r="G1411" s="2" t="s">
        <v>33</v>
      </c>
      <c r="H1411" s="2" t="s">
        <v>81</v>
      </c>
      <c r="I1411" s="13">
        <v>5</v>
      </c>
      <c r="J1411" s="10">
        <v>74.72</v>
      </c>
      <c r="K1411" s="10">
        <f t="shared" si="45"/>
        <v>373.6</v>
      </c>
      <c r="L1411" s="2">
        <v>0.15</v>
      </c>
      <c r="M1411" s="2" t="s">
        <v>83</v>
      </c>
      <c r="N1411" s="2" t="s">
        <v>52</v>
      </c>
    </row>
    <row r="1412" spans="1:14" x14ac:dyDescent="0.2">
      <c r="A1412" s="13">
        <v>101483</v>
      </c>
      <c r="B1412" s="5">
        <v>45620</v>
      </c>
      <c r="C1412" s="5" t="str">
        <f t="shared" si="44"/>
        <v>Nov</v>
      </c>
      <c r="D1412" s="2" t="s">
        <v>219</v>
      </c>
      <c r="E1412" s="2" t="s">
        <v>31</v>
      </c>
      <c r="F1412" s="2" t="s">
        <v>32</v>
      </c>
      <c r="G1412" s="2" t="s">
        <v>22</v>
      </c>
      <c r="H1412" s="2" t="s">
        <v>145</v>
      </c>
      <c r="I1412" s="13">
        <v>6</v>
      </c>
      <c r="J1412" s="10">
        <v>2178.12</v>
      </c>
      <c r="K1412" s="10">
        <f t="shared" si="45"/>
        <v>13068.72</v>
      </c>
      <c r="L1412" s="2">
        <v>0.05</v>
      </c>
      <c r="M1412" s="2" t="s">
        <v>66</v>
      </c>
      <c r="N1412" s="2" t="s">
        <v>52</v>
      </c>
    </row>
    <row r="1413" spans="1:14" x14ac:dyDescent="0.2">
      <c r="A1413" s="13">
        <v>101544</v>
      </c>
      <c r="B1413" s="5">
        <v>45481</v>
      </c>
      <c r="C1413" s="5" t="str">
        <f t="shared" si="44"/>
        <v>Jul</v>
      </c>
      <c r="D1413" s="2" t="s">
        <v>855</v>
      </c>
      <c r="E1413" s="2" t="s">
        <v>31</v>
      </c>
      <c r="F1413" s="2" t="s">
        <v>54</v>
      </c>
      <c r="G1413" s="2" t="s">
        <v>106</v>
      </c>
      <c r="H1413" s="2" t="s">
        <v>156</v>
      </c>
      <c r="I1413" s="13">
        <v>5</v>
      </c>
      <c r="J1413" s="10">
        <v>878</v>
      </c>
      <c r="K1413" s="10">
        <f t="shared" si="45"/>
        <v>4390</v>
      </c>
      <c r="L1413" s="2">
        <v>0.1</v>
      </c>
      <c r="M1413" s="2" t="s">
        <v>83</v>
      </c>
      <c r="N1413" s="2" t="s">
        <v>87</v>
      </c>
    </row>
    <row r="1414" spans="1:14" x14ac:dyDescent="0.2">
      <c r="A1414" s="13">
        <v>101707</v>
      </c>
      <c r="B1414" s="5">
        <v>45478</v>
      </c>
      <c r="C1414" s="5" t="str">
        <f t="shared" si="44"/>
        <v>Jul</v>
      </c>
      <c r="D1414" s="2" t="s">
        <v>938</v>
      </c>
      <c r="E1414" s="2" t="s">
        <v>27</v>
      </c>
      <c r="F1414" s="2" t="s">
        <v>21</v>
      </c>
      <c r="G1414" s="2" t="s">
        <v>15</v>
      </c>
      <c r="H1414" s="2" t="s">
        <v>116</v>
      </c>
      <c r="I1414" s="13">
        <v>7</v>
      </c>
      <c r="J1414" s="10">
        <v>11503.89</v>
      </c>
      <c r="K1414" s="10">
        <f t="shared" si="45"/>
        <v>80527.23</v>
      </c>
      <c r="L1414" s="2">
        <v>0</v>
      </c>
      <c r="M1414" s="2" t="s">
        <v>66</v>
      </c>
      <c r="N1414" s="2" t="s">
        <v>42</v>
      </c>
    </row>
    <row r="1415" spans="1:14" x14ac:dyDescent="0.2">
      <c r="A1415" s="13">
        <v>100892</v>
      </c>
      <c r="B1415" s="5">
        <v>45641</v>
      </c>
      <c r="C1415" s="5" t="str">
        <f t="shared" si="44"/>
        <v>Dec</v>
      </c>
      <c r="D1415" s="2" t="s">
        <v>162</v>
      </c>
      <c r="E1415" s="2" t="s">
        <v>31</v>
      </c>
      <c r="F1415" s="2" t="s">
        <v>32</v>
      </c>
      <c r="G1415" s="2" t="s">
        <v>45</v>
      </c>
      <c r="H1415" s="2" t="s">
        <v>46</v>
      </c>
      <c r="I1415" s="13">
        <v>2</v>
      </c>
      <c r="J1415" s="10">
        <v>15410.8</v>
      </c>
      <c r="K1415" s="10">
        <f t="shared" si="45"/>
        <v>30821.599999999999</v>
      </c>
      <c r="L1415" s="2">
        <v>0.05</v>
      </c>
      <c r="M1415" s="2" t="s">
        <v>41</v>
      </c>
      <c r="N1415" s="2" t="s">
        <v>35</v>
      </c>
    </row>
    <row r="1416" spans="1:14" x14ac:dyDescent="0.2">
      <c r="A1416" s="13">
        <v>101776</v>
      </c>
      <c r="B1416" s="5">
        <v>45472</v>
      </c>
      <c r="C1416" s="5" t="str">
        <f t="shared" si="44"/>
        <v>Jun</v>
      </c>
      <c r="D1416" s="2" t="s">
        <v>192</v>
      </c>
      <c r="E1416" s="2" t="s">
        <v>37</v>
      </c>
      <c r="F1416" s="2" t="s">
        <v>69</v>
      </c>
      <c r="G1416" s="2" t="s">
        <v>33</v>
      </c>
      <c r="H1416" s="2" t="s">
        <v>158</v>
      </c>
      <c r="I1416" s="13">
        <v>12</v>
      </c>
      <c r="J1416" s="10">
        <v>110.74</v>
      </c>
      <c r="K1416" s="10">
        <f t="shared" si="45"/>
        <v>1328.8799999999999</v>
      </c>
      <c r="L1416" s="2">
        <v>0</v>
      </c>
      <c r="M1416" s="2" t="s">
        <v>41</v>
      </c>
      <c r="N1416" s="2" t="s">
        <v>25</v>
      </c>
    </row>
    <row r="1417" spans="1:14" x14ac:dyDescent="0.2">
      <c r="A1417" s="13">
        <v>101365</v>
      </c>
      <c r="B1417" s="5">
        <v>45629</v>
      </c>
      <c r="C1417" s="5" t="str">
        <f t="shared" si="44"/>
        <v>Dec</v>
      </c>
      <c r="D1417" s="2" t="s">
        <v>941</v>
      </c>
      <c r="E1417" s="2" t="s">
        <v>31</v>
      </c>
      <c r="F1417" s="2" t="s">
        <v>32</v>
      </c>
      <c r="G1417" s="2" t="s">
        <v>106</v>
      </c>
      <c r="H1417" s="2" t="s">
        <v>137</v>
      </c>
      <c r="I1417" s="13">
        <v>9</v>
      </c>
      <c r="J1417" s="10">
        <v>3574.59</v>
      </c>
      <c r="K1417" s="10">
        <f t="shared" si="45"/>
        <v>32171.31</v>
      </c>
      <c r="L1417" s="2">
        <v>0.15</v>
      </c>
      <c r="M1417" s="2" t="s">
        <v>83</v>
      </c>
      <c r="N1417" s="2" t="s">
        <v>25</v>
      </c>
    </row>
    <row r="1418" spans="1:14" x14ac:dyDescent="0.2">
      <c r="A1418" s="13">
        <v>100616</v>
      </c>
      <c r="B1418" s="5">
        <v>45467</v>
      </c>
      <c r="C1418" s="5" t="str">
        <f t="shared" si="44"/>
        <v>Jun</v>
      </c>
      <c r="D1418" s="2" t="s">
        <v>840</v>
      </c>
      <c r="E1418" s="2" t="s">
        <v>31</v>
      </c>
      <c r="F1418" s="2" t="s">
        <v>32</v>
      </c>
      <c r="G1418" s="2" t="s">
        <v>106</v>
      </c>
      <c r="H1418" s="2" t="s">
        <v>135</v>
      </c>
      <c r="I1418" s="13">
        <v>4</v>
      </c>
      <c r="J1418" s="10">
        <v>605.44000000000005</v>
      </c>
      <c r="K1418" s="10">
        <f t="shared" si="45"/>
        <v>2421.7600000000002</v>
      </c>
      <c r="L1418" s="2">
        <v>0.05</v>
      </c>
      <c r="M1418" s="2" t="s">
        <v>66</v>
      </c>
      <c r="N1418" s="2" t="s">
        <v>42</v>
      </c>
    </row>
    <row r="1419" spans="1:14" x14ac:dyDescent="0.2">
      <c r="A1419" s="13">
        <v>100155</v>
      </c>
      <c r="B1419" s="5">
        <v>45444</v>
      </c>
      <c r="C1419" s="5" t="str">
        <f t="shared" si="44"/>
        <v>Jun</v>
      </c>
      <c r="D1419" s="2" t="s">
        <v>652</v>
      </c>
      <c r="E1419" s="2" t="s">
        <v>37</v>
      </c>
      <c r="F1419" s="2" t="s">
        <v>38</v>
      </c>
      <c r="G1419" s="2" t="s">
        <v>45</v>
      </c>
      <c r="H1419" s="2" t="s">
        <v>46</v>
      </c>
      <c r="I1419" s="13">
        <v>2</v>
      </c>
      <c r="J1419" s="10">
        <v>8931.2000000000007</v>
      </c>
      <c r="K1419" s="10">
        <f t="shared" si="45"/>
        <v>17862.400000000001</v>
      </c>
      <c r="L1419" s="2">
        <v>0.25</v>
      </c>
      <c r="M1419" s="2" t="s">
        <v>17</v>
      </c>
      <c r="N1419" s="2" t="s">
        <v>35</v>
      </c>
    </row>
    <row r="1420" spans="1:14" x14ac:dyDescent="0.2">
      <c r="A1420" s="13">
        <v>101194</v>
      </c>
      <c r="B1420" s="5">
        <v>45502</v>
      </c>
      <c r="C1420" s="5" t="str">
        <f t="shared" si="44"/>
        <v>Jul</v>
      </c>
      <c r="D1420" s="2" t="s">
        <v>36</v>
      </c>
      <c r="E1420" s="2" t="s">
        <v>27</v>
      </c>
      <c r="F1420" s="2" t="s">
        <v>21</v>
      </c>
      <c r="G1420" s="2" t="s">
        <v>50</v>
      </c>
      <c r="H1420" s="2" t="s">
        <v>56</v>
      </c>
      <c r="I1420" s="13">
        <v>7</v>
      </c>
      <c r="J1420" s="10">
        <v>2649.25</v>
      </c>
      <c r="K1420" s="10">
        <f t="shared" si="45"/>
        <v>18544.75</v>
      </c>
      <c r="L1420" s="2">
        <v>0</v>
      </c>
      <c r="M1420" s="2" t="s">
        <v>83</v>
      </c>
      <c r="N1420" s="2" t="s">
        <v>25</v>
      </c>
    </row>
    <row r="1421" spans="1:14" x14ac:dyDescent="0.2">
      <c r="A1421" s="13">
        <v>101733</v>
      </c>
      <c r="B1421" s="5">
        <v>45592</v>
      </c>
      <c r="C1421" s="5" t="str">
        <f t="shared" si="44"/>
        <v>Oct</v>
      </c>
      <c r="D1421" s="2" t="s">
        <v>494</v>
      </c>
      <c r="E1421" s="2" t="s">
        <v>27</v>
      </c>
      <c r="F1421" s="2" t="s">
        <v>133</v>
      </c>
      <c r="G1421" s="2" t="s">
        <v>64</v>
      </c>
      <c r="H1421" s="2" t="s">
        <v>242</v>
      </c>
      <c r="I1421" s="13">
        <v>7</v>
      </c>
      <c r="J1421" s="10">
        <v>267.11</v>
      </c>
      <c r="K1421" s="10">
        <f t="shared" si="45"/>
        <v>1869.77</v>
      </c>
      <c r="L1421" s="2">
        <v>0.2</v>
      </c>
      <c r="M1421" s="2" t="s">
        <v>29</v>
      </c>
      <c r="N1421" s="2" t="s">
        <v>87</v>
      </c>
    </row>
    <row r="1422" spans="1:14" x14ac:dyDescent="0.2">
      <c r="A1422" s="13">
        <v>101265</v>
      </c>
      <c r="B1422" s="5">
        <v>45654</v>
      </c>
      <c r="C1422" s="5" t="str">
        <f t="shared" si="44"/>
        <v>Dec</v>
      </c>
      <c r="D1422" s="2" t="s">
        <v>335</v>
      </c>
      <c r="E1422" s="2" t="s">
        <v>27</v>
      </c>
      <c r="F1422" s="2" t="s">
        <v>133</v>
      </c>
      <c r="G1422" s="2" t="s">
        <v>45</v>
      </c>
      <c r="H1422" s="2" t="s">
        <v>111</v>
      </c>
      <c r="I1422" s="13">
        <v>8</v>
      </c>
      <c r="J1422" s="10">
        <v>24862.080000000002</v>
      </c>
      <c r="K1422" s="10">
        <f t="shared" si="45"/>
        <v>198896.64000000001</v>
      </c>
      <c r="L1422" s="2">
        <v>0</v>
      </c>
      <c r="M1422" s="2" t="s">
        <v>24</v>
      </c>
      <c r="N1422" s="2" t="s">
        <v>121</v>
      </c>
    </row>
    <row r="1423" spans="1:14" x14ac:dyDescent="0.2">
      <c r="A1423" s="13">
        <v>101800</v>
      </c>
      <c r="B1423" s="5">
        <v>45426</v>
      </c>
      <c r="C1423" s="5" t="str">
        <f t="shared" si="44"/>
        <v>May</v>
      </c>
      <c r="D1423" s="2" t="s">
        <v>506</v>
      </c>
      <c r="E1423" s="2" t="s">
        <v>27</v>
      </c>
      <c r="F1423" s="2" t="s">
        <v>133</v>
      </c>
      <c r="G1423" s="2" t="s">
        <v>22</v>
      </c>
      <c r="H1423" s="2" t="s">
        <v>141</v>
      </c>
      <c r="I1423" s="13">
        <v>6</v>
      </c>
      <c r="J1423" s="10">
        <v>624.35</v>
      </c>
      <c r="K1423" s="10">
        <f t="shared" si="45"/>
        <v>3746.1000000000004</v>
      </c>
      <c r="L1423" s="2">
        <v>0.2</v>
      </c>
      <c r="M1423" s="2" t="s">
        <v>66</v>
      </c>
      <c r="N1423" s="2" t="s">
        <v>25</v>
      </c>
    </row>
    <row r="1424" spans="1:14" x14ac:dyDescent="0.2">
      <c r="A1424" s="13">
        <v>100323</v>
      </c>
      <c r="B1424" s="5">
        <v>45487</v>
      </c>
      <c r="C1424" s="5" t="str">
        <f t="shared" si="44"/>
        <v>Jul</v>
      </c>
      <c r="D1424" s="2" t="s">
        <v>78</v>
      </c>
      <c r="E1424" s="2" t="s">
        <v>140</v>
      </c>
      <c r="F1424" s="2" t="s">
        <v>79</v>
      </c>
      <c r="G1424" s="2" t="s">
        <v>45</v>
      </c>
      <c r="H1424" s="2" t="s">
        <v>153</v>
      </c>
      <c r="I1424" s="13">
        <v>7</v>
      </c>
      <c r="J1424" s="10">
        <v>27669.59</v>
      </c>
      <c r="K1424" s="10">
        <f t="shared" si="45"/>
        <v>193687.13</v>
      </c>
      <c r="L1424" s="2">
        <v>0</v>
      </c>
      <c r="M1424" s="2" t="s">
        <v>66</v>
      </c>
      <c r="N1424" s="2" t="s">
        <v>52</v>
      </c>
    </row>
    <row r="1425" spans="1:14" x14ac:dyDescent="0.2">
      <c r="A1425" s="13">
        <v>101565</v>
      </c>
      <c r="B1425" s="5">
        <v>45609</v>
      </c>
      <c r="C1425" s="5" t="str">
        <f t="shared" si="44"/>
        <v>Nov</v>
      </c>
      <c r="D1425" s="2" t="s">
        <v>451</v>
      </c>
      <c r="E1425" s="2" t="s">
        <v>37</v>
      </c>
      <c r="F1425" s="2" t="s">
        <v>69</v>
      </c>
      <c r="G1425" s="2" t="s">
        <v>33</v>
      </c>
      <c r="H1425" s="2" t="s">
        <v>34</v>
      </c>
      <c r="I1425" s="13">
        <v>8</v>
      </c>
      <c r="J1425" s="10">
        <v>143.94</v>
      </c>
      <c r="K1425" s="10">
        <f t="shared" si="45"/>
        <v>1151.52</v>
      </c>
      <c r="L1425" s="2">
        <v>0</v>
      </c>
      <c r="M1425" s="2" t="s">
        <v>29</v>
      </c>
      <c r="N1425" s="2" t="s">
        <v>18</v>
      </c>
    </row>
    <row r="1426" spans="1:14" x14ac:dyDescent="0.2">
      <c r="A1426" s="13">
        <v>100083</v>
      </c>
      <c r="B1426" s="5">
        <v>45463</v>
      </c>
      <c r="C1426" s="5" t="str">
        <f t="shared" si="44"/>
        <v>Jun</v>
      </c>
      <c r="D1426" s="2" t="s">
        <v>443</v>
      </c>
      <c r="E1426" s="2" t="s">
        <v>61</v>
      </c>
      <c r="F1426" s="2" t="s">
        <v>119</v>
      </c>
      <c r="G1426" s="2" t="s">
        <v>50</v>
      </c>
      <c r="H1426" s="2" t="s">
        <v>51</v>
      </c>
      <c r="I1426" s="13">
        <v>5</v>
      </c>
      <c r="J1426" s="10">
        <v>7992.8</v>
      </c>
      <c r="K1426" s="10">
        <f t="shared" si="45"/>
        <v>39964</v>
      </c>
      <c r="L1426" s="2">
        <v>0.05</v>
      </c>
      <c r="M1426" s="2" t="s">
        <v>24</v>
      </c>
      <c r="N1426" s="2" t="s">
        <v>42</v>
      </c>
    </row>
    <row r="1427" spans="1:14" x14ac:dyDescent="0.2">
      <c r="A1427" s="13">
        <v>100513</v>
      </c>
      <c r="B1427" s="5">
        <v>45446</v>
      </c>
      <c r="C1427" s="5" t="str">
        <f t="shared" si="44"/>
        <v>Jun</v>
      </c>
      <c r="D1427" s="2" t="s">
        <v>216</v>
      </c>
      <c r="E1427" s="2" t="s">
        <v>37</v>
      </c>
      <c r="F1427" s="2" t="s">
        <v>69</v>
      </c>
      <c r="G1427" s="2" t="s">
        <v>33</v>
      </c>
      <c r="H1427" s="2" t="s">
        <v>81</v>
      </c>
      <c r="I1427" s="13">
        <v>9</v>
      </c>
      <c r="J1427" s="10">
        <v>474.72</v>
      </c>
      <c r="K1427" s="10">
        <f t="shared" si="45"/>
        <v>4272.4800000000005</v>
      </c>
      <c r="L1427" s="2">
        <v>0</v>
      </c>
      <c r="M1427" s="2" t="s">
        <v>66</v>
      </c>
      <c r="N1427" s="2" t="s">
        <v>42</v>
      </c>
    </row>
    <row r="1428" spans="1:14" x14ac:dyDescent="0.2">
      <c r="A1428" s="13">
        <v>101543</v>
      </c>
      <c r="B1428" s="5">
        <v>45392</v>
      </c>
      <c r="C1428" s="5" t="str">
        <f t="shared" si="44"/>
        <v>Apr</v>
      </c>
      <c r="D1428" s="2" t="s">
        <v>304</v>
      </c>
      <c r="E1428" s="2" t="s">
        <v>61</v>
      </c>
      <c r="F1428" s="2" t="s">
        <v>14</v>
      </c>
      <c r="G1428" s="2" t="s">
        <v>106</v>
      </c>
      <c r="H1428" s="2" t="s">
        <v>103</v>
      </c>
      <c r="I1428" s="13">
        <v>10</v>
      </c>
      <c r="J1428" s="10">
        <v>1034.6500000000001</v>
      </c>
      <c r="K1428" s="10">
        <f t="shared" si="45"/>
        <v>10346.5</v>
      </c>
      <c r="L1428" s="2">
        <v>0.1</v>
      </c>
      <c r="M1428" s="2" t="s">
        <v>24</v>
      </c>
      <c r="N1428" s="2" t="s">
        <v>25</v>
      </c>
    </row>
    <row r="1429" spans="1:14" x14ac:dyDescent="0.2">
      <c r="A1429" s="13">
        <v>101509</v>
      </c>
      <c r="B1429" s="5">
        <v>45525</v>
      </c>
      <c r="C1429" s="5" t="str">
        <f t="shared" si="44"/>
        <v>Aug</v>
      </c>
      <c r="D1429" s="2" t="s">
        <v>713</v>
      </c>
      <c r="E1429" s="2" t="s">
        <v>31</v>
      </c>
      <c r="F1429" s="2" t="s">
        <v>54</v>
      </c>
      <c r="G1429" s="2" t="s">
        <v>33</v>
      </c>
      <c r="H1429" s="2" t="s">
        <v>34</v>
      </c>
      <c r="I1429" s="13">
        <v>10</v>
      </c>
      <c r="J1429" s="10">
        <v>306.08</v>
      </c>
      <c r="K1429" s="10">
        <f t="shared" si="45"/>
        <v>3060.7999999999997</v>
      </c>
      <c r="L1429" s="2">
        <v>0.25</v>
      </c>
      <c r="M1429" s="2" t="s">
        <v>24</v>
      </c>
      <c r="N1429" s="2" t="s">
        <v>42</v>
      </c>
    </row>
    <row r="1430" spans="1:14" x14ac:dyDescent="0.2">
      <c r="A1430" s="13">
        <v>100930</v>
      </c>
      <c r="B1430" s="5">
        <v>45320</v>
      </c>
      <c r="C1430" s="5" t="str">
        <f t="shared" si="44"/>
        <v>Jan</v>
      </c>
      <c r="D1430" s="2" t="s">
        <v>345</v>
      </c>
      <c r="E1430" s="2" t="s">
        <v>37</v>
      </c>
      <c r="F1430" s="2" t="s">
        <v>69</v>
      </c>
      <c r="G1430" s="2" t="s">
        <v>106</v>
      </c>
      <c r="H1430" s="2" t="s">
        <v>103</v>
      </c>
      <c r="I1430" s="13">
        <v>5</v>
      </c>
      <c r="J1430" s="10">
        <v>2673.76</v>
      </c>
      <c r="K1430" s="10">
        <f t="shared" si="45"/>
        <v>13368.800000000001</v>
      </c>
      <c r="L1430" s="2">
        <v>0</v>
      </c>
      <c r="M1430" s="2" t="s">
        <v>17</v>
      </c>
      <c r="N1430" s="2" t="s">
        <v>143</v>
      </c>
    </row>
    <row r="1431" spans="1:14" x14ac:dyDescent="0.2">
      <c r="A1431" s="13">
        <v>101651</v>
      </c>
      <c r="B1431" s="5">
        <v>45391</v>
      </c>
      <c r="C1431" s="5" t="str">
        <f t="shared" si="44"/>
        <v>Apr</v>
      </c>
      <c r="D1431" s="2" t="s">
        <v>943</v>
      </c>
      <c r="E1431" s="2" t="s">
        <v>31</v>
      </c>
      <c r="F1431" s="2" t="s">
        <v>32</v>
      </c>
      <c r="G1431" s="2" t="s">
        <v>50</v>
      </c>
      <c r="H1431" s="2" t="s">
        <v>207</v>
      </c>
      <c r="I1431" s="13">
        <v>8</v>
      </c>
      <c r="J1431" s="10">
        <v>1139.47</v>
      </c>
      <c r="K1431" s="10">
        <f t="shared" si="45"/>
        <v>9115.76</v>
      </c>
      <c r="L1431" s="2">
        <v>0</v>
      </c>
      <c r="M1431" s="2" t="s">
        <v>29</v>
      </c>
      <c r="N1431" s="2" t="s">
        <v>18</v>
      </c>
    </row>
    <row r="1432" spans="1:14" x14ac:dyDescent="0.2">
      <c r="A1432" s="13">
        <v>101358</v>
      </c>
      <c r="B1432" s="5">
        <v>45521</v>
      </c>
      <c r="C1432" s="5" t="str">
        <f t="shared" si="44"/>
        <v>Aug</v>
      </c>
      <c r="D1432" s="2" t="s">
        <v>945</v>
      </c>
      <c r="E1432" s="2" t="s">
        <v>61</v>
      </c>
      <c r="F1432" s="2" t="s">
        <v>119</v>
      </c>
      <c r="G1432" s="2" t="s">
        <v>50</v>
      </c>
      <c r="H1432" s="2" t="s">
        <v>207</v>
      </c>
      <c r="I1432" s="13">
        <v>11</v>
      </c>
      <c r="J1432" s="10">
        <v>3934.55</v>
      </c>
      <c r="K1432" s="10">
        <f t="shared" si="45"/>
        <v>43280.05</v>
      </c>
      <c r="L1432" s="2">
        <v>0</v>
      </c>
      <c r="M1432" s="2" t="s">
        <v>17</v>
      </c>
      <c r="N1432" s="2" t="s">
        <v>143</v>
      </c>
    </row>
    <row r="1433" spans="1:14" x14ac:dyDescent="0.2">
      <c r="A1433" s="13">
        <v>100011</v>
      </c>
      <c r="B1433" s="5">
        <v>45379</v>
      </c>
      <c r="C1433" s="5" t="str">
        <f t="shared" si="44"/>
        <v>Mar</v>
      </c>
      <c r="D1433" s="2" t="s">
        <v>224</v>
      </c>
      <c r="E1433" s="2" t="s">
        <v>27</v>
      </c>
      <c r="F1433" s="2" t="s">
        <v>133</v>
      </c>
      <c r="G1433" s="2" t="s">
        <v>15</v>
      </c>
      <c r="H1433" s="2" t="s">
        <v>205</v>
      </c>
      <c r="I1433" s="13">
        <v>8</v>
      </c>
      <c r="J1433" s="10">
        <v>8406.5400000000009</v>
      </c>
      <c r="K1433" s="10">
        <f t="shared" si="45"/>
        <v>67252.320000000007</v>
      </c>
      <c r="L1433" s="2">
        <v>0</v>
      </c>
      <c r="M1433" s="2" t="s">
        <v>17</v>
      </c>
      <c r="N1433" s="2" t="s">
        <v>25</v>
      </c>
    </row>
    <row r="1434" spans="1:14" x14ac:dyDescent="0.2">
      <c r="A1434" s="13">
        <v>100832</v>
      </c>
      <c r="B1434" s="5">
        <v>45415</v>
      </c>
      <c r="C1434" s="5" t="str">
        <f t="shared" si="44"/>
        <v>May</v>
      </c>
      <c r="D1434" s="2" t="s">
        <v>396</v>
      </c>
      <c r="E1434" s="2" t="s">
        <v>31</v>
      </c>
      <c r="F1434" s="2" t="s">
        <v>32</v>
      </c>
      <c r="G1434" s="2" t="s">
        <v>50</v>
      </c>
      <c r="H1434" s="2" t="s">
        <v>99</v>
      </c>
      <c r="I1434" s="13">
        <v>11</v>
      </c>
      <c r="J1434" s="10">
        <v>9768.1200000000008</v>
      </c>
      <c r="K1434" s="10">
        <f t="shared" si="45"/>
        <v>107449.32</v>
      </c>
      <c r="L1434" s="2">
        <v>0.1</v>
      </c>
      <c r="M1434" s="2" t="s">
        <v>29</v>
      </c>
      <c r="N1434" s="2" t="s">
        <v>25</v>
      </c>
    </row>
    <row r="1435" spans="1:14" x14ac:dyDescent="0.2">
      <c r="A1435" s="13">
        <v>100033</v>
      </c>
      <c r="B1435" s="5">
        <v>45489</v>
      </c>
      <c r="C1435" s="5" t="str">
        <f t="shared" si="44"/>
        <v>Jul</v>
      </c>
      <c r="D1435" s="2" t="s">
        <v>452</v>
      </c>
      <c r="E1435" s="2" t="s">
        <v>140</v>
      </c>
      <c r="F1435" s="2" t="s">
        <v>49</v>
      </c>
      <c r="G1435" s="2" t="s">
        <v>45</v>
      </c>
      <c r="H1435" s="2" t="s">
        <v>46</v>
      </c>
      <c r="I1435" s="13">
        <v>9</v>
      </c>
      <c r="J1435" s="10">
        <v>10912.73</v>
      </c>
      <c r="K1435" s="10">
        <f t="shared" si="45"/>
        <v>98214.569999999992</v>
      </c>
      <c r="L1435" s="2">
        <v>0.05</v>
      </c>
      <c r="M1435" s="2" t="s">
        <v>41</v>
      </c>
      <c r="N1435" s="2" t="s">
        <v>52</v>
      </c>
    </row>
    <row r="1436" spans="1:14" x14ac:dyDescent="0.2">
      <c r="A1436" s="13">
        <v>101785</v>
      </c>
      <c r="B1436" s="5">
        <v>45511</v>
      </c>
      <c r="C1436" s="5" t="str">
        <f t="shared" si="44"/>
        <v>Aug</v>
      </c>
      <c r="D1436" s="2" t="s">
        <v>946</v>
      </c>
      <c r="E1436" s="2" t="s">
        <v>140</v>
      </c>
      <c r="F1436" s="2" t="s">
        <v>49</v>
      </c>
      <c r="G1436" s="2" t="s">
        <v>45</v>
      </c>
      <c r="H1436" s="2" t="s">
        <v>97</v>
      </c>
      <c r="I1436" s="13">
        <v>9</v>
      </c>
      <c r="J1436" s="10">
        <v>28117.39</v>
      </c>
      <c r="K1436" s="10">
        <f t="shared" si="45"/>
        <v>253056.51</v>
      </c>
      <c r="L1436" s="2">
        <v>0</v>
      </c>
      <c r="M1436" s="2" t="s">
        <v>17</v>
      </c>
      <c r="N1436" s="2" t="s">
        <v>35</v>
      </c>
    </row>
    <row r="1437" spans="1:14" x14ac:dyDescent="0.2">
      <c r="A1437" s="13">
        <v>100414</v>
      </c>
      <c r="B1437" s="5">
        <v>45380</v>
      </c>
      <c r="C1437" s="5" t="str">
        <f t="shared" si="44"/>
        <v>Mar</v>
      </c>
      <c r="D1437" s="2" t="s">
        <v>948</v>
      </c>
      <c r="E1437" s="2" t="s">
        <v>31</v>
      </c>
      <c r="F1437" s="2" t="s">
        <v>54</v>
      </c>
      <c r="G1437" s="2" t="s">
        <v>50</v>
      </c>
      <c r="H1437" s="2" t="s">
        <v>56</v>
      </c>
      <c r="I1437" s="13">
        <v>-2</v>
      </c>
      <c r="J1437" s="10">
        <v>6669.24</v>
      </c>
      <c r="K1437" s="10">
        <f t="shared" si="45"/>
        <v>-13338.48</v>
      </c>
      <c r="L1437" s="2">
        <v>0.1</v>
      </c>
      <c r="M1437" s="2" t="s">
        <v>29</v>
      </c>
      <c r="N1437" s="2" t="s">
        <v>143</v>
      </c>
    </row>
    <row r="1438" spans="1:14" x14ac:dyDescent="0.2">
      <c r="A1438" s="13">
        <v>100581</v>
      </c>
      <c r="B1438" s="5">
        <v>45424</v>
      </c>
      <c r="C1438" s="5" t="str">
        <f t="shared" si="44"/>
        <v>May</v>
      </c>
      <c r="D1438" s="2" t="s">
        <v>463</v>
      </c>
      <c r="E1438" s="2" t="s">
        <v>27</v>
      </c>
      <c r="F1438" s="2" t="s">
        <v>21</v>
      </c>
      <c r="G1438" s="2" t="s">
        <v>64</v>
      </c>
      <c r="H1438" s="2" t="s">
        <v>114</v>
      </c>
      <c r="I1438" s="13">
        <v>9</v>
      </c>
      <c r="J1438" s="10">
        <v>859.22</v>
      </c>
      <c r="K1438" s="10">
        <f t="shared" si="45"/>
        <v>7732.9800000000005</v>
      </c>
      <c r="L1438" s="2">
        <v>0</v>
      </c>
      <c r="M1438" s="2" t="s">
        <v>29</v>
      </c>
      <c r="N1438" s="2" t="s">
        <v>121</v>
      </c>
    </row>
    <row r="1439" spans="1:14" x14ac:dyDescent="0.2">
      <c r="A1439" s="13">
        <v>101407</v>
      </c>
      <c r="B1439" s="5">
        <v>45640</v>
      </c>
      <c r="C1439" s="5" t="str">
        <f t="shared" si="44"/>
        <v>Dec</v>
      </c>
      <c r="D1439" s="2" t="s">
        <v>949</v>
      </c>
      <c r="E1439" s="2" t="s">
        <v>61</v>
      </c>
      <c r="F1439" s="2" t="s">
        <v>14</v>
      </c>
      <c r="G1439" s="2" t="s">
        <v>45</v>
      </c>
      <c r="H1439" s="2" t="s">
        <v>153</v>
      </c>
      <c r="I1439" s="13">
        <v>7</v>
      </c>
      <c r="J1439" s="10">
        <v>1764.1</v>
      </c>
      <c r="K1439" s="10">
        <f t="shared" si="45"/>
        <v>12348.699999999999</v>
      </c>
      <c r="L1439" s="2">
        <v>0.2</v>
      </c>
      <c r="M1439" s="2" t="s">
        <v>29</v>
      </c>
      <c r="N1439" s="2" t="s">
        <v>42</v>
      </c>
    </row>
    <row r="1440" spans="1:14" x14ac:dyDescent="0.2">
      <c r="A1440" s="13">
        <v>101568</v>
      </c>
      <c r="B1440" s="5">
        <v>45440</v>
      </c>
      <c r="C1440" s="5" t="str">
        <f t="shared" si="44"/>
        <v>May</v>
      </c>
      <c r="D1440" s="2" t="s">
        <v>63</v>
      </c>
      <c r="E1440" s="2" t="s">
        <v>140</v>
      </c>
      <c r="F1440" s="2" t="s">
        <v>79</v>
      </c>
      <c r="G1440" s="2" t="s">
        <v>50</v>
      </c>
      <c r="H1440" s="2" t="s">
        <v>99</v>
      </c>
      <c r="I1440" s="13">
        <v>10</v>
      </c>
      <c r="J1440" s="10">
        <v>6764.64</v>
      </c>
      <c r="K1440" s="10">
        <f t="shared" si="45"/>
        <v>67646.400000000009</v>
      </c>
      <c r="L1440" s="2">
        <v>0.15</v>
      </c>
      <c r="M1440" s="2" t="s">
        <v>24</v>
      </c>
      <c r="N1440" s="2" t="s">
        <v>35</v>
      </c>
    </row>
    <row r="1441" spans="1:14" x14ac:dyDescent="0.2">
      <c r="A1441" s="13">
        <v>101507</v>
      </c>
      <c r="B1441" s="5">
        <v>45385</v>
      </c>
      <c r="C1441" s="5" t="str">
        <f t="shared" si="44"/>
        <v>Apr</v>
      </c>
      <c r="D1441" s="2" t="s">
        <v>844</v>
      </c>
      <c r="E1441" s="2" t="s">
        <v>27</v>
      </c>
      <c r="F1441" s="2" t="s">
        <v>21</v>
      </c>
      <c r="G1441" s="2" t="s">
        <v>64</v>
      </c>
      <c r="H1441" s="2" t="s">
        <v>40</v>
      </c>
      <c r="I1441" s="13">
        <v>12</v>
      </c>
      <c r="J1441" s="10">
        <v>238.23</v>
      </c>
      <c r="K1441" s="10">
        <f t="shared" si="45"/>
        <v>2858.7599999999998</v>
      </c>
      <c r="L1441" s="2">
        <v>0.05</v>
      </c>
      <c r="M1441" s="2" t="s">
        <v>66</v>
      </c>
      <c r="N1441" s="2" t="s">
        <v>87</v>
      </c>
    </row>
    <row r="1442" spans="1:14" x14ac:dyDescent="0.2">
      <c r="A1442" s="13">
        <v>101926</v>
      </c>
      <c r="B1442" s="5">
        <v>45547</v>
      </c>
      <c r="C1442" s="5" t="str">
        <f t="shared" si="44"/>
        <v>Sep</v>
      </c>
      <c r="D1442" s="2" t="s">
        <v>410</v>
      </c>
      <c r="E1442" s="2" t="s">
        <v>27</v>
      </c>
      <c r="F1442" s="2" t="s">
        <v>21</v>
      </c>
      <c r="G1442" s="2" t="s">
        <v>22</v>
      </c>
      <c r="H1442" s="2" t="s">
        <v>145</v>
      </c>
      <c r="I1442" s="13">
        <v>1</v>
      </c>
      <c r="J1442" s="10">
        <v>1853.27</v>
      </c>
      <c r="K1442" s="10">
        <f t="shared" si="45"/>
        <v>1853.27</v>
      </c>
      <c r="L1442" s="2">
        <v>0.15</v>
      </c>
      <c r="M1442" s="2" t="s">
        <v>83</v>
      </c>
      <c r="N1442" s="2" t="s">
        <v>143</v>
      </c>
    </row>
    <row r="1443" spans="1:14" x14ac:dyDescent="0.2">
      <c r="A1443" s="13">
        <v>100615</v>
      </c>
      <c r="B1443" s="5">
        <v>45486</v>
      </c>
      <c r="C1443" s="5" t="str">
        <f t="shared" si="44"/>
        <v>Jul</v>
      </c>
      <c r="D1443" s="2" t="s">
        <v>30</v>
      </c>
      <c r="E1443" s="2" t="s">
        <v>61</v>
      </c>
      <c r="F1443" s="2" t="s">
        <v>14</v>
      </c>
      <c r="G1443" s="2" t="s">
        <v>106</v>
      </c>
      <c r="H1443" s="2" t="s">
        <v>137</v>
      </c>
      <c r="I1443" s="13">
        <v>11</v>
      </c>
      <c r="J1443" s="10">
        <v>1294.48</v>
      </c>
      <c r="K1443" s="10">
        <f t="shared" si="45"/>
        <v>14239.28</v>
      </c>
      <c r="L1443" s="2">
        <v>0.15</v>
      </c>
      <c r="M1443" s="2" t="s">
        <v>83</v>
      </c>
      <c r="N1443" s="2" t="s">
        <v>42</v>
      </c>
    </row>
    <row r="1444" spans="1:14" x14ac:dyDescent="0.2">
      <c r="A1444" s="13">
        <v>101046</v>
      </c>
      <c r="B1444" s="5">
        <v>45533</v>
      </c>
      <c r="C1444" s="5" t="str">
        <f t="shared" si="44"/>
        <v>Aug</v>
      </c>
      <c r="D1444" s="2" t="s">
        <v>951</v>
      </c>
      <c r="E1444" s="2" t="s">
        <v>61</v>
      </c>
      <c r="F1444" s="2" t="s">
        <v>119</v>
      </c>
      <c r="G1444" s="2" t="s">
        <v>50</v>
      </c>
      <c r="H1444" s="2" t="s">
        <v>99</v>
      </c>
      <c r="I1444" s="13">
        <v>9</v>
      </c>
      <c r="J1444" s="10">
        <v>1355.21</v>
      </c>
      <c r="K1444" s="10">
        <f t="shared" si="45"/>
        <v>12196.89</v>
      </c>
      <c r="L1444" s="2">
        <v>0.05</v>
      </c>
      <c r="M1444" s="2" t="s">
        <v>83</v>
      </c>
      <c r="N1444" s="2" t="s">
        <v>25</v>
      </c>
    </row>
    <row r="1445" spans="1:14" x14ac:dyDescent="0.2">
      <c r="A1445" s="13">
        <v>101403</v>
      </c>
      <c r="B1445" s="5">
        <v>45559</v>
      </c>
      <c r="C1445" s="5" t="str">
        <f t="shared" si="44"/>
        <v>Sep</v>
      </c>
      <c r="D1445" s="2" t="s">
        <v>1069</v>
      </c>
      <c r="E1445" s="2" t="s">
        <v>37</v>
      </c>
      <c r="F1445" s="2" t="s">
        <v>38</v>
      </c>
      <c r="G1445" s="2" t="s">
        <v>33</v>
      </c>
      <c r="H1445" s="2" t="s">
        <v>34</v>
      </c>
      <c r="I1445" s="13">
        <v>2</v>
      </c>
      <c r="J1445" s="10">
        <v>0</v>
      </c>
      <c r="K1445" s="10">
        <f t="shared" si="45"/>
        <v>0</v>
      </c>
      <c r="L1445" s="2">
        <v>0.1</v>
      </c>
      <c r="M1445" s="2" t="s">
        <v>24</v>
      </c>
      <c r="N1445" s="2" t="s">
        <v>121</v>
      </c>
    </row>
    <row r="1446" spans="1:14" x14ac:dyDescent="0.2">
      <c r="A1446" s="13">
        <v>101015</v>
      </c>
      <c r="B1446" s="5">
        <v>45497</v>
      </c>
      <c r="C1446" s="5" t="str">
        <f t="shared" si="44"/>
        <v>Jul</v>
      </c>
      <c r="D1446" s="2" t="s">
        <v>26</v>
      </c>
      <c r="E1446" s="2" t="s">
        <v>61</v>
      </c>
      <c r="F1446" s="2" t="s">
        <v>14</v>
      </c>
      <c r="G1446" s="2" t="s">
        <v>33</v>
      </c>
      <c r="H1446" s="2" t="s">
        <v>81</v>
      </c>
      <c r="I1446" s="13">
        <v>10</v>
      </c>
      <c r="J1446" s="10">
        <v>324.7</v>
      </c>
      <c r="K1446" s="10">
        <f t="shared" si="45"/>
        <v>3247</v>
      </c>
      <c r="L1446" s="2">
        <v>0.15</v>
      </c>
      <c r="M1446" s="2" t="s">
        <v>66</v>
      </c>
      <c r="N1446" s="2" t="s">
        <v>121</v>
      </c>
    </row>
    <row r="1447" spans="1:14" x14ac:dyDescent="0.2">
      <c r="A1447" s="13">
        <v>100090</v>
      </c>
      <c r="B1447" s="5">
        <v>45379</v>
      </c>
      <c r="C1447" s="5" t="str">
        <f t="shared" si="44"/>
        <v>Mar</v>
      </c>
      <c r="D1447" s="2" t="s">
        <v>953</v>
      </c>
      <c r="E1447" s="2" t="s">
        <v>31</v>
      </c>
      <c r="F1447" s="2" t="s">
        <v>32</v>
      </c>
      <c r="G1447" s="2" t="s">
        <v>33</v>
      </c>
      <c r="H1447" s="2" t="s">
        <v>158</v>
      </c>
      <c r="I1447" s="13">
        <v>7</v>
      </c>
      <c r="J1447" s="10">
        <v>349.71</v>
      </c>
      <c r="K1447" s="10">
        <f t="shared" si="45"/>
        <v>2447.9699999999998</v>
      </c>
      <c r="L1447" s="2">
        <v>0.15</v>
      </c>
      <c r="M1447" s="2" t="s">
        <v>66</v>
      </c>
      <c r="N1447" s="2" t="s">
        <v>52</v>
      </c>
    </row>
    <row r="1448" spans="1:14" x14ac:dyDescent="0.2">
      <c r="A1448" s="13">
        <v>101720</v>
      </c>
      <c r="B1448" s="5">
        <v>45332</v>
      </c>
      <c r="C1448" s="5" t="str">
        <f t="shared" si="44"/>
        <v>Feb</v>
      </c>
      <c r="D1448" s="2" t="s">
        <v>388</v>
      </c>
      <c r="E1448" s="2" t="s">
        <v>27</v>
      </c>
      <c r="F1448" s="2" t="s">
        <v>133</v>
      </c>
      <c r="G1448" s="2" t="s">
        <v>15</v>
      </c>
      <c r="H1448" s="2" t="s">
        <v>205</v>
      </c>
      <c r="I1448" s="13">
        <v>3</v>
      </c>
      <c r="J1448" s="10">
        <v>17077.43</v>
      </c>
      <c r="K1448" s="10">
        <f t="shared" si="45"/>
        <v>51232.29</v>
      </c>
      <c r="L1448" s="2">
        <v>0.2</v>
      </c>
      <c r="M1448" s="2" t="s">
        <v>29</v>
      </c>
      <c r="N1448" s="2" t="s">
        <v>143</v>
      </c>
    </row>
    <row r="1449" spans="1:14" x14ac:dyDescent="0.2">
      <c r="A1449" s="13">
        <v>100602</v>
      </c>
      <c r="B1449" s="5">
        <v>45503</v>
      </c>
      <c r="C1449" s="5" t="str">
        <f t="shared" si="44"/>
        <v>Jul</v>
      </c>
      <c r="D1449" s="2" t="s">
        <v>955</v>
      </c>
      <c r="E1449" s="2" t="s">
        <v>37</v>
      </c>
      <c r="F1449" s="2" t="s">
        <v>69</v>
      </c>
      <c r="G1449" s="2" t="s">
        <v>50</v>
      </c>
      <c r="H1449" s="2" t="s">
        <v>99</v>
      </c>
      <c r="I1449" s="13">
        <v>1</v>
      </c>
      <c r="J1449" s="10">
        <v>5584.43</v>
      </c>
      <c r="K1449" s="10">
        <f t="shared" si="45"/>
        <v>5584.43</v>
      </c>
      <c r="L1449" s="2">
        <v>0</v>
      </c>
      <c r="M1449" s="2" t="s">
        <v>24</v>
      </c>
      <c r="N1449" s="2" t="s">
        <v>18</v>
      </c>
    </row>
    <row r="1450" spans="1:14" x14ac:dyDescent="0.2">
      <c r="A1450" s="13">
        <v>101238</v>
      </c>
      <c r="B1450" s="5">
        <v>45612</v>
      </c>
      <c r="C1450" s="5" t="str">
        <f t="shared" si="44"/>
        <v>Nov</v>
      </c>
      <c r="D1450" s="2" t="s">
        <v>123</v>
      </c>
      <c r="E1450" s="2" t="s">
        <v>61</v>
      </c>
      <c r="F1450" s="2" t="s">
        <v>14</v>
      </c>
      <c r="G1450" s="2" t="s">
        <v>22</v>
      </c>
      <c r="H1450" s="2" t="s">
        <v>141</v>
      </c>
      <c r="I1450" s="13">
        <v>6</v>
      </c>
      <c r="J1450" s="10">
        <v>1702.98</v>
      </c>
      <c r="K1450" s="10">
        <f t="shared" si="45"/>
        <v>10217.880000000001</v>
      </c>
      <c r="L1450" s="2">
        <v>0</v>
      </c>
      <c r="M1450" s="2" t="s">
        <v>41</v>
      </c>
      <c r="N1450" s="2" t="s">
        <v>25</v>
      </c>
    </row>
    <row r="1451" spans="1:14" x14ac:dyDescent="0.2">
      <c r="A1451" s="13">
        <v>101858</v>
      </c>
      <c r="B1451" s="5">
        <v>45363</v>
      </c>
      <c r="C1451" s="5" t="str">
        <f t="shared" si="44"/>
        <v>Mar</v>
      </c>
      <c r="D1451" s="2" t="s">
        <v>287</v>
      </c>
      <c r="E1451" s="2" t="s">
        <v>61</v>
      </c>
      <c r="F1451" s="2" t="s">
        <v>119</v>
      </c>
      <c r="G1451" s="2" t="s">
        <v>15</v>
      </c>
      <c r="H1451" s="2" t="s">
        <v>59</v>
      </c>
      <c r="I1451" s="13">
        <v>10</v>
      </c>
      <c r="J1451" s="10">
        <v>19414.87</v>
      </c>
      <c r="K1451" s="10">
        <f t="shared" si="45"/>
        <v>194148.69999999998</v>
      </c>
      <c r="L1451" s="2">
        <v>0.15</v>
      </c>
      <c r="M1451" s="2" t="s">
        <v>66</v>
      </c>
      <c r="N1451" s="2" t="s">
        <v>87</v>
      </c>
    </row>
    <row r="1452" spans="1:14" x14ac:dyDescent="0.2">
      <c r="A1452" s="13">
        <v>100134</v>
      </c>
      <c r="B1452" s="5">
        <v>45365</v>
      </c>
      <c r="C1452" s="5" t="str">
        <f t="shared" si="44"/>
        <v>Mar</v>
      </c>
      <c r="D1452" s="2" t="s">
        <v>465</v>
      </c>
      <c r="E1452" s="2" t="s">
        <v>31</v>
      </c>
      <c r="F1452" s="2" t="s">
        <v>32</v>
      </c>
      <c r="G1452" s="2" t="s">
        <v>64</v>
      </c>
      <c r="H1452" s="2" t="s">
        <v>292</v>
      </c>
      <c r="I1452" s="13">
        <v>6</v>
      </c>
      <c r="J1452" s="10">
        <v>0</v>
      </c>
      <c r="K1452" s="10">
        <f t="shared" si="45"/>
        <v>0</v>
      </c>
      <c r="L1452" s="2">
        <v>0.2</v>
      </c>
      <c r="M1452" s="2" t="s">
        <v>41</v>
      </c>
      <c r="N1452" s="2" t="s">
        <v>143</v>
      </c>
    </row>
    <row r="1453" spans="1:14" x14ac:dyDescent="0.2">
      <c r="A1453" s="13">
        <v>101371</v>
      </c>
      <c r="B1453" s="5">
        <v>45524</v>
      </c>
      <c r="C1453" s="5" t="str">
        <f t="shared" si="44"/>
        <v>Aug</v>
      </c>
      <c r="D1453" s="2" t="s">
        <v>128</v>
      </c>
      <c r="E1453" s="2" t="s">
        <v>140</v>
      </c>
      <c r="F1453" s="2" t="s">
        <v>49</v>
      </c>
      <c r="G1453" s="2" t="s">
        <v>45</v>
      </c>
      <c r="H1453" s="2" t="s">
        <v>97</v>
      </c>
      <c r="I1453" s="13">
        <v>5</v>
      </c>
      <c r="J1453" s="10">
        <v>26138.12</v>
      </c>
      <c r="K1453" s="10">
        <f t="shared" si="45"/>
        <v>130690.59999999999</v>
      </c>
      <c r="L1453" s="2">
        <v>0.25</v>
      </c>
      <c r="M1453" s="2" t="s">
        <v>24</v>
      </c>
      <c r="N1453" s="2" t="s">
        <v>18</v>
      </c>
    </row>
    <row r="1454" spans="1:14" x14ac:dyDescent="0.2">
      <c r="A1454" s="13">
        <v>100556</v>
      </c>
      <c r="B1454" s="5">
        <v>45588</v>
      </c>
      <c r="C1454" s="5" t="str">
        <f t="shared" si="44"/>
        <v>Oct</v>
      </c>
      <c r="D1454" s="2" t="s">
        <v>314</v>
      </c>
      <c r="E1454" s="2" t="s">
        <v>61</v>
      </c>
      <c r="F1454" s="2" t="s">
        <v>119</v>
      </c>
      <c r="G1454" s="2" t="s">
        <v>64</v>
      </c>
      <c r="H1454" s="2" t="s">
        <v>40</v>
      </c>
      <c r="I1454" s="13">
        <v>8</v>
      </c>
      <c r="J1454" s="10">
        <v>554.54</v>
      </c>
      <c r="K1454" s="10">
        <f t="shared" si="45"/>
        <v>4436.32</v>
      </c>
      <c r="L1454" s="2">
        <v>0.15</v>
      </c>
      <c r="M1454" s="2" t="s">
        <v>66</v>
      </c>
      <c r="N1454" s="2" t="s">
        <v>87</v>
      </c>
    </row>
    <row r="1455" spans="1:14" x14ac:dyDescent="0.2">
      <c r="A1455" s="13">
        <v>101032</v>
      </c>
      <c r="B1455" s="5">
        <v>45533</v>
      </c>
      <c r="C1455" s="5" t="str">
        <f t="shared" si="44"/>
        <v>Aug</v>
      </c>
      <c r="D1455" s="2" t="s">
        <v>728</v>
      </c>
      <c r="E1455" s="2" t="s">
        <v>61</v>
      </c>
      <c r="F1455" s="2" t="s">
        <v>119</v>
      </c>
      <c r="G1455" s="2" t="s">
        <v>33</v>
      </c>
      <c r="H1455" s="2" t="s">
        <v>81</v>
      </c>
      <c r="I1455" s="13">
        <v>8</v>
      </c>
      <c r="J1455" s="10">
        <v>0</v>
      </c>
      <c r="K1455" s="10">
        <f t="shared" si="45"/>
        <v>0</v>
      </c>
      <c r="L1455" s="2">
        <v>0.05</v>
      </c>
      <c r="M1455" s="2" t="s">
        <v>66</v>
      </c>
      <c r="N1455" s="2" t="s">
        <v>143</v>
      </c>
    </row>
    <row r="1456" spans="1:14" x14ac:dyDescent="0.2">
      <c r="A1456" s="13">
        <v>101584</v>
      </c>
      <c r="B1456" s="5">
        <v>45506</v>
      </c>
      <c r="C1456" s="5" t="str">
        <f t="shared" si="44"/>
        <v>Aug</v>
      </c>
      <c r="D1456" s="2" t="s">
        <v>956</v>
      </c>
      <c r="E1456" s="2" t="s">
        <v>27</v>
      </c>
      <c r="F1456" s="2" t="s">
        <v>21</v>
      </c>
      <c r="G1456" s="2" t="s">
        <v>50</v>
      </c>
      <c r="H1456" s="2" t="s">
        <v>99</v>
      </c>
      <c r="I1456" s="13">
        <v>11</v>
      </c>
      <c r="J1456" s="10">
        <v>9398.9599999999991</v>
      </c>
      <c r="K1456" s="10">
        <f t="shared" si="45"/>
        <v>103388.56</v>
      </c>
      <c r="L1456" s="2">
        <v>0</v>
      </c>
      <c r="M1456" s="2" t="s">
        <v>17</v>
      </c>
      <c r="N1456" s="2" t="s">
        <v>121</v>
      </c>
    </row>
    <row r="1457" spans="1:14" x14ac:dyDescent="0.2">
      <c r="A1457" s="13">
        <v>100321</v>
      </c>
      <c r="B1457" s="5">
        <v>45605</v>
      </c>
      <c r="C1457" s="5" t="str">
        <f t="shared" si="44"/>
        <v>Nov</v>
      </c>
      <c r="D1457" s="2" t="s">
        <v>302</v>
      </c>
      <c r="E1457" s="2" t="s">
        <v>37</v>
      </c>
      <c r="F1457" s="2" t="s">
        <v>38</v>
      </c>
      <c r="G1457" s="2" t="s">
        <v>106</v>
      </c>
      <c r="H1457" s="2" t="s">
        <v>135</v>
      </c>
      <c r="I1457" s="13">
        <v>5</v>
      </c>
      <c r="J1457" s="10">
        <v>2349.9499999999998</v>
      </c>
      <c r="K1457" s="10">
        <f t="shared" si="45"/>
        <v>11749.75</v>
      </c>
      <c r="L1457" s="2">
        <v>0</v>
      </c>
      <c r="M1457" s="2" t="s">
        <v>66</v>
      </c>
      <c r="N1457" s="2" t="s">
        <v>42</v>
      </c>
    </row>
    <row r="1458" spans="1:14" x14ac:dyDescent="0.2">
      <c r="A1458" s="13">
        <v>101791</v>
      </c>
      <c r="B1458" s="5">
        <v>45654</v>
      </c>
      <c r="C1458" s="5" t="str">
        <f t="shared" si="44"/>
        <v>Dec</v>
      </c>
      <c r="D1458" s="2" t="s">
        <v>614</v>
      </c>
      <c r="E1458" s="2" t="s">
        <v>61</v>
      </c>
      <c r="F1458" s="2" t="s">
        <v>119</v>
      </c>
      <c r="G1458" s="2" t="s">
        <v>45</v>
      </c>
      <c r="H1458" s="2" t="s">
        <v>153</v>
      </c>
      <c r="I1458" s="13">
        <v>8</v>
      </c>
      <c r="J1458" s="10">
        <v>20375.43</v>
      </c>
      <c r="K1458" s="10">
        <f t="shared" si="45"/>
        <v>163003.44</v>
      </c>
      <c r="L1458" s="2">
        <v>0</v>
      </c>
      <c r="M1458" s="2" t="s">
        <v>17</v>
      </c>
      <c r="N1458" s="2" t="s">
        <v>121</v>
      </c>
    </row>
    <row r="1459" spans="1:14" x14ac:dyDescent="0.2">
      <c r="A1459" s="13">
        <v>101212</v>
      </c>
      <c r="B1459" s="5">
        <v>45420</v>
      </c>
      <c r="C1459" s="5" t="str">
        <f t="shared" si="44"/>
        <v>May</v>
      </c>
      <c r="D1459" s="2" t="s">
        <v>861</v>
      </c>
      <c r="E1459" s="2" t="s">
        <v>37</v>
      </c>
      <c r="F1459" s="2" t="s">
        <v>38</v>
      </c>
      <c r="G1459" s="2" t="s">
        <v>33</v>
      </c>
      <c r="H1459" s="2" t="s">
        <v>34</v>
      </c>
      <c r="I1459" s="13">
        <v>7</v>
      </c>
      <c r="J1459" s="10">
        <v>470.73</v>
      </c>
      <c r="K1459" s="10">
        <f t="shared" si="45"/>
        <v>3295.11</v>
      </c>
      <c r="L1459" s="2">
        <v>0.05</v>
      </c>
      <c r="M1459" s="2" t="s">
        <v>41</v>
      </c>
      <c r="N1459" s="2" t="s">
        <v>35</v>
      </c>
    </row>
    <row r="1460" spans="1:14" x14ac:dyDescent="0.2">
      <c r="A1460" s="13">
        <v>101758</v>
      </c>
      <c r="B1460" s="5">
        <v>45455</v>
      </c>
      <c r="C1460" s="5" t="str">
        <f t="shared" si="44"/>
        <v>Jun</v>
      </c>
      <c r="D1460" s="2" t="s">
        <v>1069</v>
      </c>
      <c r="E1460" s="2" t="s">
        <v>140</v>
      </c>
      <c r="F1460" s="2" t="s">
        <v>49</v>
      </c>
      <c r="G1460" s="2" t="s">
        <v>106</v>
      </c>
      <c r="H1460" s="2" t="s">
        <v>137</v>
      </c>
      <c r="I1460" s="13">
        <v>7</v>
      </c>
      <c r="J1460" s="10">
        <v>3496.56</v>
      </c>
      <c r="K1460" s="10">
        <f t="shared" si="45"/>
        <v>24475.919999999998</v>
      </c>
      <c r="L1460" s="2">
        <v>0.1</v>
      </c>
      <c r="M1460" s="2" t="s">
        <v>83</v>
      </c>
      <c r="N1460" s="2" t="s">
        <v>121</v>
      </c>
    </row>
    <row r="1461" spans="1:14" x14ac:dyDescent="0.2">
      <c r="A1461" s="13">
        <v>100635</v>
      </c>
      <c r="B1461" s="5">
        <v>45536</v>
      </c>
      <c r="C1461" s="5" t="str">
        <f t="shared" si="44"/>
        <v>Sep</v>
      </c>
      <c r="D1461" s="2" t="s">
        <v>244</v>
      </c>
      <c r="E1461" s="2" t="s">
        <v>61</v>
      </c>
      <c r="F1461" s="2" t="s">
        <v>119</v>
      </c>
      <c r="G1461" s="2" t="s">
        <v>33</v>
      </c>
      <c r="H1461" s="2" t="s">
        <v>93</v>
      </c>
      <c r="I1461" s="13">
        <v>12</v>
      </c>
      <c r="J1461" s="10">
        <v>191.01</v>
      </c>
      <c r="K1461" s="10">
        <f t="shared" si="45"/>
        <v>2292.12</v>
      </c>
      <c r="L1461" s="2">
        <v>0.1</v>
      </c>
      <c r="M1461" s="2" t="s">
        <v>17</v>
      </c>
      <c r="N1461" s="2" t="s">
        <v>121</v>
      </c>
    </row>
    <row r="1462" spans="1:14" x14ac:dyDescent="0.2">
      <c r="A1462" s="13">
        <v>100553</v>
      </c>
      <c r="B1462" s="5">
        <v>45305</v>
      </c>
      <c r="C1462" s="5" t="str">
        <f t="shared" si="44"/>
        <v>Jan</v>
      </c>
      <c r="D1462" s="2" t="s">
        <v>764</v>
      </c>
      <c r="E1462" s="2" t="s">
        <v>31</v>
      </c>
      <c r="F1462" s="2" t="s">
        <v>32</v>
      </c>
      <c r="G1462" s="2" t="s">
        <v>22</v>
      </c>
      <c r="H1462" s="2" t="s">
        <v>145</v>
      </c>
      <c r="I1462" s="13">
        <v>4</v>
      </c>
      <c r="J1462" s="10">
        <v>1378.18</v>
      </c>
      <c r="K1462" s="10">
        <f t="shared" si="45"/>
        <v>5512.72</v>
      </c>
      <c r="L1462" s="2">
        <v>0.25</v>
      </c>
      <c r="M1462" s="2" t="s">
        <v>17</v>
      </c>
      <c r="N1462" s="2" t="s">
        <v>143</v>
      </c>
    </row>
    <row r="1463" spans="1:14" x14ac:dyDescent="0.2">
      <c r="A1463" s="13">
        <v>101329</v>
      </c>
      <c r="B1463" s="5">
        <v>45396</v>
      </c>
      <c r="C1463" s="5" t="str">
        <f t="shared" si="44"/>
        <v>Apr</v>
      </c>
      <c r="D1463" s="2" t="s">
        <v>314</v>
      </c>
      <c r="E1463" s="2" t="s">
        <v>140</v>
      </c>
      <c r="F1463" s="2" t="s">
        <v>49</v>
      </c>
      <c r="G1463" s="2" t="s">
        <v>15</v>
      </c>
      <c r="H1463" s="2" t="s">
        <v>59</v>
      </c>
      <c r="I1463" s="13">
        <v>10</v>
      </c>
      <c r="J1463" s="10">
        <v>23660.07</v>
      </c>
      <c r="K1463" s="10">
        <f t="shared" si="45"/>
        <v>236600.7</v>
      </c>
      <c r="L1463" s="2">
        <v>0.05</v>
      </c>
      <c r="M1463" s="2" t="s">
        <v>24</v>
      </c>
      <c r="N1463" s="2" t="s">
        <v>35</v>
      </c>
    </row>
    <row r="1464" spans="1:14" x14ac:dyDescent="0.2">
      <c r="A1464" s="13">
        <v>101056</v>
      </c>
      <c r="B1464" s="5">
        <v>45322</v>
      </c>
      <c r="C1464" s="5" t="str">
        <f t="shared" si="44"/>
        <v>Jan</v>
      </c>
      <c r="D1464" s="2" t="s">
        <v>199</v>
      </c>
      <c r="E1464" s="2" t="s">
        <v>37</v>
      </c>
      <c r="F1464" s="2" t="s">
        <v>69</v>
      </c>
      <c r="G1464" s="2" t="s">
        <v>50</v>
      </c>
      <c r="H1464" s="2" t="s">
        <v>207</v>
      </c>
      <c r="I1464" s="13">
        <v>6</v>
      </c>
      <c r="J1464" s="10">
        <v>5979.84</v>
      </c>
      <c r="K1464" s="10">
        <f t="shared" si="45"/>
        <v>35879.040000000001</v>
      </c>
      <c r="L1464" s="2">
        <v>0</v>
      </c>
      <c r="M1464" s="2" t="s">
        <v>29</v>
      </c>
      <c r="N1464" s="2" t="s">
        <v>25</v>
      </c>
    </row>
    <row r="1465" spans="1:14" x14ac:dyDescent="0.2">
      <c r="A1465" s="13">
        <v>101577</v>
      </c>
      <c r="B1465" s="5">
        <v>45600</v>
      </c>
      <c r="C1465" s="5" t="str">
        <f t="shared" si="44"/>
        <v>Nov</v>
      </c>
      <c r="D1465" s="2" t="s">
        <v>959</v>
      </c>
      <c r="E1465" s="2" t="s">
        <v>37</v>
      </c>
      <c r="F1465" s="2" t="s">
        <v>38</v>
      </c>
      <c r="G1465" s="2" t="s">
        <v>45</v>
      </c>
      <c r="H1465" s="2" t="s">
        <v>97</v>
      </c>
      <c r="I1465" s="13">
        <v>11</v>
      </c>
      <c r="J1465" s="10">
        <v>43099.55</v>
      </c>
      <c r="K1465" s="10">
        <f t="shared" si="45"/>
        <v>474095.05000000005</v>
      </c>
      <c r="L1465" s="2">
        <v>0</v>
      </c>
      <c r="M1465" s="2" t="s">
        <v>66</v>
      </c>
      <c r="N1465" s="2" t="s">
        <v>87</v>
      </c>
    </row>
    <row r="1466" spans="1:14" x14ac:dyDescent="0.2">
      <c r="A1466" s="13">
        <v>100797</v>
      </c>
      <c r="B1466" s="5">
        <v>45301</v>
      </c>
      <c r="C1466" s="5" t="str">
        <f t="shared" si="44"/>
        <v>Jan</v>
      </c>
      <c r="D1466" s="2" t="s">
        <v>201</v>
      </c>
      <c r="E1466" s="2" t="s">
        <v>140</v>
      </c>
      <c r="F1466" s="2" t="s">
        <v>79</v>
      </c>
      <c r="G1466" s="2" t="s">
        <v>64</v>
      </c>
      <c r="H1466" s="2" t="s">
        <v>242</v>
      </c>
      <c r="I1466" s="13">
        <v>8</v>
      </c>
      <c r="J1466" s="10">
        <v>97.12</v>
      </c>
      <c r="K1466" s="10">
        <f t="shared" si="45"/>
        <v>776.96</v>
      </c>
      <c r="L1466" s="2">
        <v>0</v>
      </c>
      <c r="M1466" s="2" t="s">
        <v>66</v>
      </c>
      <c r="N1466" s="2" t="s">
        <v>42</v>
      </c>
    </row>
    <row r="1467" spans="1:14" x14ac:dyDescent="0.2">
      <c r="A1467" s="13">
        <v>101681</v>
      </c>
      <c r="B1467" s="5">
        <v>45468</v>
      </c>
      <c r="C1467" s="5" t="str">
        <f t="shared" si="44"/>
        <v>Jun</v>
      </c>
      <c r="D1467" s="2" t="s">
        <v>398</v>
      </c>
      <c r="E1467" s="2" t="s">
        <v>37</v>
      </c>
      <c r="F1467" s="2" t="s">
        <v>69</v>
      </c>
      <c r="G1467" s="2" t="s">
        <v>64</v>
      </c>
      <c r="H1467" s="2" t="s">
        <v>292</v>
      </c>
      <c r="I1467" s="13">
        <v>5</v>
      </c>
      <c r="J1467" s="10">
        <v>176.85</v>
      </c>
      <c r="K1467" s="10">
        <f t="shared" si="45"/>
        <v>884.25</v>
      </c>
      <c r="L1467" s="2">
        <v>0.15</v>
      </c>
      <c r="M1467" s="2" t="s">
        <v>24</v>
      </c>
      <c r="N1467" s="2" t="s">
        <v>42</v>
      </c>
    </row>
    <row r="1468" spans="1:14" x14ac:dyDescent="0.2">
      <c r="A1468" s="13">
        <v>101731</v>
      </c>
      <c r="B1468" s="5">
        <v>45493</v>
      </c>
      <c r="C1468" s="5" t="str">
        <f t="shared" si="44"/>
        <v>Jul</v>
      </c>
      <c r="D1468" s="2" t="s">
        <v>400</v>
      </c>
      <c r="E1468" s="2" t="s">
        <v>61</v>
      </c>
      <c r="F1468" s="2" t="s">
        <v>14</v>
      </c>
      <c r="G1468" s="2" t="s">
        <v>15</v>
      </c>
      <c r="H1468" s="2" t="s">
        <v>16</v>
      </c>
      <c r="I1468" s="13">
        <v>9</v>
      </c>
      <c r="J1468" s="10">
        <v>20397.93</v>
      </c>
      <c r="K1468" s="10">
        <f t="shared" si="45"/>
        <v>183581.37</v>
      </c>
      <c r="L1468" s="2">
        <v>0.25</v>
      </c>
      <c r="M1468" s="2" t="s">
        <v>41</v>
      </c>
      <c r="N1468" s="2" t="s">
        <v>25</v>
      </c>
    </row>
    <row r="1469" spans="1:14" x14ac:dyDescent="0.2">
      <c r="A1469" s="13">
        <v>100175</v>
      </c>
      <c r="B1469" s="5">
        <v>45388</v>
      </c>
      <c r="C1469" s="5" t="str">
        <f t="shared" si="44"/>
        <v>Apr</v>
      </c>
      <c r="D1469" s="2" t="s">
        <v>500</v>
      </c>
      <c r="E1469" s="2" t="s">
        <v>27</v>
      </c>
      <c r="F1469" s="2" t="s">
        <v>133</v>
      </c>
      <c r="G1469" s="2" t="s">
        <v>22</v>
      </c>
      <c r="H1469" s="2" t="s">
        <v>145</v>
      </c>
      <c r="I1469" s="13">
        <v>6</v>
      </c>
      <c r="J1469" s="10">
        <v>1231.76</v>
      </c>
      <c r="K1469" s="10">
        <f t="shared" si="45"/>
        <v>7390.5599999999995</v>
      </c>
      <c r="L1469" s="2">
        <v>0.25</v>
      </c>
      <c r="M1469" s="2" t="s">
        <v>41</v>
      </c>
      <c r="N1469" s="2" t="s">
        <v>121</v>
      </c>
    </row>
    <row r="1470" spans="1:14" x14ac:dyDescent="0.2">
      <c r="A1470" s="13">
        <v>100767</v>
      </c>
      <c r="B1470" s="5">
        <v>45434</v>
      </c>
      <c r="C1470" s="5" t="str">
        <f t="shared" si="44"/>
        <v>May</v>
      </c>
      <c r="D1470" s="2" t="s">
        <v>960</v>
      </c>
      <c r="E1470" s="2" t="s">
        <v>61</v>
      </c>
      <c r="F1470" s="2" t="s">
        <v>14</v>
      </c>
      <c r="G1470" s="2" t="s">
        <v>45</v>
      </c>
      <c r="H1470" s="2" t="s">
        <v>149</v>
      </c>
      <c r="I1470" s="13">
        <v>2</v>
      </c>
      <c r="J1470" s="10">
        <v>37766.400000000001</v>
      </c>
      <c r="K1470" s="10">
        <f t="shared" si="45"/>
        <v>75532.800000000003</v>
      </c>
      <c r="L1470" s="2">
        <v>0.15</v>
      </c>
      <c r="M1470" s="2" t="s">
        <v>83</v>
      </c>
      <c r="N1470" s="2" t="s">
        <v>87</v>
      </c>
    </row>
    <row r="1471" spans="1:14" x14ac:dyDescent="0.2">
      <c r="A1471" s="13">
        <v>100246</v>
      </c>
      <c r="B1471" s="5">
        <v>45463</v>
      </c>
      <c r="C1471" s="5" t="str">
        <f t="shared" si="44"/>
        <v>Jun</v>
      </c>
      <c r="D1471" s="2" t="s">
        <v>578</v>
      </c>
      <c r="E1471" s="2" t="s">
        <v>27</v>
      </c>
      <c r="F1471" s="2" t="s">
        <v>133</v>
      </c>
      <c r="G1471" s="2" t="s">
        <v>64</v>
      </c>
      <c r="H1471" s="2" t="s">
        <v>242</v>
      </c>
      <c r="I1471" s="13">
        <v>1</v>
      </c>
      <c r="J1471" s="10">
        <v>214.27</v>
      </c>
      <c r="K1471" s="10">
        <f t="shared" si="45"/>
        <v>214.27</v>
      </c>
      <c r="L1471" s="2">
        <v>0.05</v>
      </c>
      <c r="M1471" s="2" t="s">
        <v>83</v>
      </c>
      <c r="N1471" s="2" t="s">
        <v>35</v>
      </c>
    </row>
    <row r="1472" spans="1:14" x14ac:dyDescent="0.2">
      <c r="A1472" s="13">
        <v>101081</v>
      </c>
      <c r="B1472" s="5">
        <v>45650</v>
      </c>
      <c r="C1472" s="5" t="str">
        <f t="shared" si="44"/>
        <v>Dec</v>
      </c>
      <c r="D1472" s="2" t="s">
        <v>88</v>
      </c>
      <c r="E1472" s="2" t="s">
        <v>140</v>
      </c>
      <c r="F1472" s="2" t="s">
        <v>79</v>
      </c>
      <c r="G1472" s="2" t="s">
        <v>33</v>
      </c>
      <c r="H1472" s="2" t="s">
        <v>81</v>
      </c>
      <c r="I1472" s="13">
        <v>1</v>
      </c>
      <c r="J1472" s="10">
        <v>507.33</v>
      </c>
      <c r="K1472" s="10">
        <f t="shared" si="45"/>
        <v>507.33</v>
      </c>
      <c r="L1472" s="2">
        <v>0</v>
      </c>
      <c r="M1472" s="2" t="s">
        <v>66</v>
      </c>
      <c r="N1472" s="2" t="s">
        <v>52</v>
      </c>
    </row>
    <row r="1473" spans="1:14" x14ac:dyDescent="0.2">
      <c r="A1473" s="13">
        <v>101757</v>
      </c>
      <c r="B1473" s="5">
        <v>45483</v>
      </c>
      <c r="C1473" s="5" t="str">
        <f t="shared" si="44"/>
        <v>Jul</v>
      </c>
      <c r="D1473" s="2" t="s">
        <v>962</v>
      </c>
      <c r="E1473" s="2" t="s">
        <v>27</v>
      </c>
      <c r="F1473" s="2" t="s">
        <v>21</v>
      </c>
      <c r="G1473" s="2" t="s">
        <v>15</v>
      </c>
      <c r="H1473" s="2" t="s">
        <v>59</v>
      </c>
      <c r="I1473" s="13">
        <v>2</v>
      </c>
      <c r="J1473" s="10">
        <v>13666.69</v>
      </c>
      <c r="K1473" s="10">
        <f t="shared" si="45"/>
        <v>27333.38</v>
      </c>
      <c r="L1473" s="2">
        <v>0.1</v>
      </c>
      <c r="M1473" s="2" t="s">
        <v>66</v>
      </c>
      <c r="N1473" s="2" t="s">
        <v>18</v>
      </c>
    </row>
    <row r="1474" spans="1:14" x14ac:dyDescent="0.2">
      <c r="A1474" s="13">
        <v>100146</v>
      </c>
      <c r="B1474" s="5">
        <v>45357</v>
      </c>
      <c r="C1474" s="5" t="str">
        <f t="shared" ref="C1474:C1537" si="46">TEXT(B1474,"mmm")</f>
        <v>Mar</v>
      </c>
      <c r="D1474" s="2" t="s">
        <v>400</v>
      </c>
      <c r="E1474" s="2" t="s">
        <v>61</v>
      </c>
      <c r="F1474" s="2" t="s">
        <v>14</v>
      </c>
      <c r="G1474" s="2" t="s">
        <v>64</v>
      </c>
      <c r="H1474" s="2" t="s">
        <v>292</v>
      </c>
      <c r="I1474" s="13">
        <v>7</v>
      </c>
      <c r="J1474" s="10">
        <v>457.18</v>
      </c>
      <c r="K1474" s="10">
        <f t="shared" ref="K1474:K1537" si="47">I1474*J1474</f>
        <v>3200.26</v>
      </c>
      <c r="L1474" s="2">
        <v>0.05</v>
      </c>
      <c r="M1474" s="2" t="s">
        <v>83</v>
      </c>
      <c r="N1474" s="2" t="s">
        <v>18</v>
      </c>
    </row>
    <row r="1475" spans="1:14" x14ac:dyDescent="0.2">
      <c r="A1475" s="13">
        <v>100091</v>
      </c>
      <c r="B1475" s="5">
        <v>45536</v>
      </c>
      <c r="C1475" s="5" t="str">
        <f t="shared" si="46"/>
        <v>Sep</v>
      </c>
      <c r="D1475" s="2" t="s">
        <v>654</v>
      </c>
      <c r="E1475" s="2" t="s">
        <v>27</v>
      </c>
      <c r="F1475" s="2" t="s">
        <v>133</v>
      </c>
      <c r="G1475" s="2" t="s">
        <v>33</v>
      </c>
      <c r="H1475" s="2" t="s">
        <v>93</v>
      </c>
      <c r="I1475" s="13">
        <v>12</v>
      </c>
      <c r="J1475" s="10">
        <v>210.71</v>
      </c>
      <c r="K1475" s="10">
        <f t="shared" si="47"/>
        <v>2528.52</v>
      </c>
      <c r="L1475" s="2">
        <v>0.2</v>
      </c>
      <c r="M1475" s="2" t="s">
        <v>83</v>
      </c>
      <c r="N1475" s="2" t="s">
        <v>35</v>
      </c>
    </row>
    <row r="1476" spans="1:14" x14ac:dyDescent="0.2">
      <c r="A1476" s="13">
        <v>101417</v>
      </c>
      <c r="B1476" s="5">
        <v>45472</v>
      </c>
      <c r="C1476" s="5" t="str">
        <f t="shared" si="46"/>
        <v>Jun</v>
      </c>
      <c r="D1476" s="2" t="s">
        <v>644</v>
      </c>
      <c r="E1476" s="2" t="s">
        <v>27</v>
      </c>
      <c r="F1476" s="2" t="s">
        <v>21</v>
      </c>
      <c r="G1476" s="2" t="s">
        <v>106</v>
      </c>
      <c r="H1476" s="2" t="s">
        <v>135</v>
      </c>
      <c r="I1476" s="13">
        <v>12</v>
      </c>
      <c r="J1476" s="10">
        <v>4319.22</v>
      </c>
      <c r="K1476" s="10">
        <f t="shared" si="47"/>
        <v>51830.64</v>
      </c>
      <c r="L1476" s="2">
        <v>0.2</v>
      </c>
      <c r="M1476" s="2" t="s">
        <v>24</v>
      </c>
      <c r="N1476" s="2" t="s">
        <v>87</v>
      </c>
    </row>
    <row r="1477" spans="1:14" x14ac:dyDescent="0.2">
      <c r="A1477" s="13">
        <v>100683</v>
      </c>
      <c r="B1477" s="5">
        <v>45455</v>
      </c>
      <c r="C1477" s="5" t="str">
        <f t="shared" si="46"/>
        <v>Jun</v>
      </c>
      <c r="D1477" s="2" t="s">
        <v>963</v>
      </c>
      <c r="E1477" s="2" t="s">
        <v>27</v>
      </c>
      <c r="F1477" s="2" t="s">
        <v>133</v>
      </c>
      <c r="G1477" s="2" t="s">
        <v>64</v>
      </c>
      <c r="H1477" s="2" t="s">
        <v>40</v>
      </c>
      <c r="I1477" s="13">
        <v>12</v>
      </c>
      <c r="J1477" s="10">
        <v>559.85</v>
      </c>
      <c r="K1477" s="10">
        <f t="shared" si="47"/>
        <v>6718.2000000000007</v>
      </c>
      <c r="L1477" s="2">
        <v>0</v>
      </c>
      <c r="M1477" s="2" t="s">
        <v>83</v>
      </c>
      <c r="N1477" s="2" t="s">
        <v>52</v>
      </c>
    </row>
    <row r="1478" spans="1:14" x14ac:dyDescent="0.2">
      <c r="A1478" s="13">
        <v>100311</v>
      </c>
      <c r="B1478" s="5">
        <v>45474</v>
      </c>
      <c r="C1478" s="5" t="str">
        <f t="shared" si="46"/>
        <v>Jul</v>
      </c>
      <c r="D1478" s="2" t="s">
        <v>406</v>
      </c>
      <c r="E1478" s="2" t="s">
        <v>61</v>
      </c>
      <c r="F1478" s="2" t="s">
        <v>119</v>
      </c>
      <c r="G1478" s="2" t="s">
        <v>22</v>
      </c>
      <c r="H1478" s="2" t="s">
        <v>23</v>
      </c>
      <c r="I1478" s="13">
        <v>11</v>
      </c>
      <c r="J1478" s="10">
        <v>1592.82</v>
      </c>
      <c r="K1478" s="10">
        <f t="shared" si="47"/>
        <v>17521.02</v>
      </c>
      <c r="L1478" s="2">
        <v>0.2</v>
      </c>
      <c r="M1478" s="2" t="s">
        <v>41</v>
      </c>
      <c r="N1478" s="2" t="s">
        <v>35</v>
      </c>
    </row>
    <row r="1479" spans="1:14" x14ac:dyDescent="0.2">
      <c r="A1479" s="13">
        <v>101384</v>
      </c>
      <c r="B1479" s="5">
        <v>45435</v>
      </c>
      <c r="C1479" s="5" t="str">
        <f t="shared" si="46"/>
        <v>May</v>
      </c>
      <c r="D1479" s="2" t="s">
        <v>376</v>
      </c>
      <c r="E1479" s="2" t="s">
        <v>27</v>
      </c>
      <c r="F1479" s="2" t="s">
        <v>133</v>
      </c>
      <c r="G1479" s="2" t="s">
        <v>106</v>
      </c>
      <c r="H1479" s="2" t="s">
        <v>137</v>
      </c>
      <c r="I1479" s="13">
        <v>2</v>
      </c>
      <c r="J1479" s="10">
        <v>4226.3100000000004</v>
      </c>
      <c r="K1479" s="10">
        <f t="shared" si="47"/>
        <v>8452.6200000000008</v>
      </c>
      <c r="L1479" s="2">
        <v>0</v>
      </c>
      <c r="M1479" s="2" t="s">
        <v>83</v>
      </c>
      <c r="N1479" s="2" t="s">
        <v>87</v>
      </c>
    </row>
    <row r="1480" spans="1:14" x14ac:dyDescent="0.2">
      <c r="A1480" s="13">
        <v>100094</v>
      </c>
      <c r="B1480" s="5">
        <v>45495</v>
      </c>
      <c r="C1480" s="5" t="str">
        <f t="shared" si="46"/>
        <v>Jul</v>
      </c>
      <c r="D1480" s="2" t="s">
        <v>198</v>
      </c>
      <c r="E1480" s="2" t="s">
        <v>31</v>
      </c>
      <c r="F1480" s="2" t="s">
        <v>32</v>
      </c>
      <c r="G1480" s="2" t="s">
        <v>50</v>
      </c>
      <c r="H1480" s="2" t="s">
        <v>62</v>
      </c>
      <c r="I1480" s="13"/>
      <c r="J1480" s="10">
        <v>2968.06</v>
      </c>
      <c r="K1480" s="10">
        <f t="shared" si="47"/>
        <v>0</v>
      </c>
      <c r="L1480" s="2">
        <v>0</v>
      </c>
      <c r="M1480" s="2" t="s">
        <v>17</v>
      </c>
      <c r="N1480" s="2" t="s">
        <v>35</v>
      </c>
    </row>
    <row r="1481" spans="1:14" x14ac:dyDescent="0.2">
      <c r="A1481" s="13">
        <v>101730</v>
      </c>
      <c r="B1481" s="5">
        <v>45300</v>
      </c>
      <c r="C1481" s="5" t="str">
        <f t="shared" si="46"/>
        <v>Jan</v>
      </c>
      <c r="D1481" s="2" t="s">
        <v>637</v>
      </c>
      <c r="E1481" s="2" t="s">
        <v>61</v>
      </c>
      <c r="F1481" s="2" t="s">
        <v>14</v>
      </c>
      <c r="G1481" s="2" t="s">
        <v>50</v>
      </c>
      <c r="H1481" s="2" t="s">
        <v>99</v>
      </c>
      <c r="I1481" s="13">
        <v>3</v>
      </c>
      <c r="J1481" s="10">
        <v>8767.16</v>
      </c>
      <c r="K1481" s="10">
        <f t="shared" si="47"/>
        <v>26301.48</v>
      </c>
      <c r="L1481" s="2">
        <v>0.05</v>
      </c>
      <c r="M1481" s="2" t="s">
        <v>41</v>
      </c>
      <c r="N1481" s="2" t="s">
        <v>42</v>
      </c>
    </row>
    <row r="1482" spans="1:14" x14ac:dyDescent="0.2">
      <c r="A1482" s="13">
        <v>100925</v>
      </c>
      <c r="B1482" s="5">
        <v>45469</v>
      </c>
      <c r="C1482" s="5" t="str">
        <f t="shared" si="46"/>
        <v>Jun</v>
      </c>
      <c r="D1482" s="2" t="s">
        <v>965</v>
      </c>
      <c r="E1482" s="2" t="s">
        <v>37</v>
      </c>
      <c r="F1482" s="2" t="s">
        <v>69</v>
      </c>
      <c r="G1482" s="2" t="s">
        <v>50</v>
      </c>
      <c r="H1482" s="2" t="s">
        <v>99</v>
      </c>
      <c r="I1482" s="13"/>
      <c r="J1482" s="10">
        <v>6474.46</v>
      </c>
      <c r="K1482" s="10">
        <f t="shared" si="47"/>
        <v>0</v>
      </c>
      <c r="L1482" s="2">
        <v>0.25</v>
      </c>
      <c r="M1482" s="2" t="s">
        <v>41</v>
      </c>
      <c r="N1482" s="2" t="s">
        <v>18</v>
      </c>
    </row>
    <row r="1483" spans="1:14" x14ac:dyDescent="0.2">
      <c r="A1483" s="13">
        <v>101706</v>
      </c>
      <c r="B1483" s="5">
        <v>45569</v>
      </c>
      <c r="C1483" s="5" t="str">
        <f t="shared" si="46"/>
        <v>Oct</v>
      </c>
      <c r="D1483" s="2" t="s">
        <v>12</v>
      </c>
      <c r="E1483" s="2" t="s">
        <v>27</v>
      </c>
      <c r="F1483" s="2" t="s">
        <v>133</v>
      </c>
      <c r="G1483" s="2" t="s">
        <v>15</v>
      </c>
      <c r="H1483" s="2" t="s">
        <v>16</v>
      </c>
      <c r="I1483" s="13"/>
      <c r="J1483" s="10">
        <v>21389.17</v>
      </c>
      <c r="K1483" s="10">
        <f t="shared" si="47"/>
        <v>0</v>
      </c>
      <c r="L1483" s="2">
        <v>0</v>
      </c>
      <c r="M1483" s="2" t="s">
        <v>66</v>
      </c>
      <c r="N1483" s="2" t="s">
        <v>18</v>
      </c>
    </row>
    <row r="1484" spans="1:14" x14ac:dyDescent="0.2">
      <c r="A1484" s="13">
        <v>101036</v>
      </c>
      <c r="B1484" s="5">
        <v>45619</v>
      </c>
      <c r="C1484" s="5" t="str">
        <f t="shared" si="46"/>
        <v>Nov</v>
      </c>
      <c r="D1484" s="2" t="s">
        <v>1069</v>
      </c>
      <c r="E1484" s="2" t="s">
        <v>31</v>
      </c>
      <c r="F1484" s="2" t="s">
        <v>54</v>
      </c>
      <c r="G1484" s="2" t="s">
        <v>45</v>
      </c>
      <c r="H1484" s="2" t="s">
        <v>71</v>
      </c>
      <c r="I1484" s="13">
        <v>6</v>
      </c>
      <c r="J1484" s="10">
        <v>18834.830000000002</v>
      </c>
      <c r="K1484" s="10">
        <f t="shared" si="47"/>
        <v>113008.98000000001</v>
      </c>
      <c r="L1484" s="2">
        <v>0.15</v>
      </c>
      <c r="M1484" s="2" t="s">
        <v>41</v>
      </c>
      <c r="N1484" s="2" t="s">
        <v>143</v>
      </c>
    </row>
    <row r="1485" spans="1:14" x14ac:dyDescent="0.2">
      <c r="A1485" s="13">
        <v>101401</v>
      </c>
      <c r="B1485" s="5">
        <v>45472</v>
      </c>
      <c r="C1485" s="5" t="str">
        <f t="shared" si="46"/>
        <v>Jun</v>
      </c>
      <c r="D1485" s="2" t="s">
        <v>892</v>
      </c>
      <c r="E1485" s="2" t="s">
        <v>61</v>
      </c>
      <c r="F1485" s="2" t="s">
        <v>119</v>
      </c>
      <c r="G1485" s="2" t="s">
        <v>50</v>
      </c>
      <c r="H1485" s="2" t="s">
        <v>207</v>
      </c>
      <c r="I1485" s="13">
        <v>9</v>
      </c>
      <c r="J1485" s="10">
        <v>1336.4</v>
      </c>
      <c r="K1485" s="10">
        <f t="shared" si="47"/>
        <v>12027.6</v>
      </c>
      <c r="L1485" s="2">
        <v>0.25</v>
      </c>
      <c r="M1485" s="2" t="s">
        <v>17</v>
      </c>
      <c r="N1485" s="2" t="s">
        <v>143</v>
      </c>
    </row>
    <row r="1486" spans="1:14" x14ac:dyDescent="0.2">
      <c r="A1486" s="13">
        <v>100244</v>
      </c>
      <c r="B1486" s="5">
        <v>45343</v>
      </c>
      <c r="C1486" s="5" t="str">
        <f t="shared" si="46"/>
        <v>Feb</v>
      </c>
      <c r="D1486" s="2" t="s">
        <v>229</v>
      </c>
      <c r="E1486" s="2" t="s">
        <v>27</v>
      </c>
      <c r="F1486" s="2" t="s">
        <v>21</v>
      </c>
      <c r="G1486" s="2" t="s">
        <v>64</v>
      </c>
      <c r="H1486" s="2" t="s">
        <v>292</v>
      </c>
      <c r="I1486" s="13">
        <v>12</v>
      </c>
      <c r="J1486" s="10">
        <v>829.55</v>
      </c>
      <c r="K1486" s="10">
        <f t="shared" si="47"/>
        <v>9954.5999999999985</v>
      </c>
      <c r="L1486" s="2">
        <v>0</v>
      </c>
      <c r="M1486" s="2" t="s">
        <v>29</v>
      </c>
      <c r="N1486" s="2" t="s">
        <v>52</v>
      </c>
    </row>
    <row r="1487" spans="1:14" x14ac:dyDescent="0.2">
      <c r="A1487" s="13">
        <v>101501</v>
      </c>
      <c r="B1487" s="5">
        <v>45303</v>
      </c>
      <c r="C1487" s="5" t="str">
        <f t="shared" si="46"/>
        <v>Jan</v>
      </c>
      <c r="D1487" s="2" t="s">
        <v>146</v>
      </c>
      <c r="E1487" s="2" t="s">
        <v>31</v>
      </c>
      <c r="F1487" s="2" t="s">
        <v>54</v>
      </c>
      <c r="G1487" s="2" t="s">
        <v>45</v>
      </c>
      <c r="H1487" s="2" t="s">
        <v>111</v>
      </c>
      <c r="I1487" s="13"/>
      <c r="J1487" s="10">
        <v>30972.63</v>
      </c>
      <c r="K1487" s="10">
        <f t="shared" si="47"/>
        <v>0</v>
      </c>
      <c r="L1487" s="2">
        <v>0.2</v>
      </c>
      <c r="M1487" s="2" t="s">
        <v>29</v>
      </c>
      <c r="N1487" s="2" t="s">
        <v>42</v>
      </c>
    </row>
    <row r="1488" spans="1:14" x14ac:dyDescent="0.2">
      <c r="A1488" s="13">
        <v>101112</v>
      </c>
      <c r="B1488" s="5">
        <v>45390</v>
      </c>
      <c r="C1488" s="5" t="str">
        <f t="shared" si="46"/>
        <v>Apr</v>
      </c>
      <c r="D1488" s="2" t="s">
        <v>552</v>
      </c>
      <c r="E1488" s="2" t="s">
        <v>31</v>
      </c>
      <c r="F1488" s="2" t="s">
        <v>32</v>
      </c>
      <c r="G1488" s="2" t="s">
        <v>15</v>
      </c>
      <c r="H1488" s="2" t="s">
        <v>116</v>
      </c>
      <c r="I1488" s="13">
        <v>7</v>
      </c>
      <c r="J1488" s="10">
        <v>0</v>
      </c>
      <c r="K1488" s="10">
        <f t="shared" si="47"/>
        <v>0</v>
      </c>
      <c r="L1488" s="2">
        <v>0.25</v>
      </c>
      <c r="M1488" s="2" t="s">
        <v>29</v>
      </c>
      <c r="N1488" s="2" t="s">
        <v>35</v>
      </c>
    </row>
    <row r="1489" spans="1:14" x14ac:dyDescent="0.2">
      <c r="A1489" s="13">
        <v>100215</v>
      </c>
      <c r="B1489" s="5">
        <v>45385</v>
      </c>
      <c r="C1489" s="5" t="str">
        <f t="shared" si="46"/>
        <v>Apr</v>
      </c>
      <c r="D1489" s="2" t="s">
        <v>298</v>
      </c>
      <c r="E1489" s="2" t="s">
        <v>31</v>
      </c>
      <c r="F1489" s="2" t="s">
        <v>32</v>
      </c>
      <c r="G1489" s="2" t="s">
        <v>64</v>
      </c>
      <c r="H1489" s="2" t="s">
        <v>242</v>
      </c>
      <c r="I1489" s="13">
        <v>12</v>
      </c>
      <c r="J1489" s="10">
        <v>896.23</v>
      </c>
      <c r="K1489" s="10">
        <f t="shared" si="47"/>
        <v>10754.76</v>
      </c>
      <c r="L1489" s="2">
        <v>0.1</v>
      </c>
      <c r="M1489" s="2" t="s">
        <v>24</v>
      </c>
      <c r="N1489" s="2" t="s">
        <v>87</v>
      </c>
    </row>
    <row r="1490" spans="1:14" x14ac:dyDescent="0.2">
      <c r="A1490" s="13">
        <v>101198</v>
      </c>
      <c r="B1490" s="5">
        <v>45388</v>
      </c>
      <c r="C1490" s="5" t="str">
        <f t="shared" si="46"/>
        <v>Apr</v>
      </c>
      <c r="D1490" s="2" t="s">
        <v>396</v>
      </c>
      <c r="E1490" s="2" t="s">
        <v>31</v>
      </c>
      <c r="F1490" s="2" t="s">
        <v>54</v>
      </c>
      <c r="G1490" s="2" t="s">
        <v>22</v>
      </c>
      <c r="H1490" s="2" t="s">
        <v>75</v>
      </c>
      <c r="I1490" s="13">
        <v>10</v>
      </c>
      <c r="J1490" s="10">
        <v>0</v>
      </c>
      <c r="K1490" s="10">
        <f t="shared" si="47"/>
        <v>0</v>
      </c>
      <c r="L1490" s="2">
        <v>0.05</v>
      </c>
      <c r="M1490" s="2" t="s">
        <v>83</v>
      </c>
      <c r="N1490" s="2" t="s">
        <v>121</v>
      </c>
    </row>
    <row r="1491" spans="1:14" x14ac:dyDescent="0.2">
      <c r="A1491" s="13">
        <v>100999</v>
      </c>
      <c r="B1491" s="5">
        <v>45355</v>
      </c>
      <c r="C1491" s="5" t="str">
        <f t="shared" si="46"/>
        <v>Mar</v>
      </c>
      <c r="D1491" s="2" t="s">
        <v>966</v>
      </c>
      <c r="E1491" s="2" t="s">
        <v>37</v>
      </c>
      <c r="F1491" s="2" t="s">
        <v>69</v>
      </c>
      <c r="G1491" s="2" t="s">
        <v>33</v>
      </c>
      <c r="H1491" s="2" t="s">
        <v>158</v>
      </c>
      <c r="I1491" s="13">
        <v>7</v>
      </c>
      <c r="J1491" s="10">
        <v>442.69</v>
      </c>
      <c r="K1491" s="10">
        <f t="shared" si="47"/>
        <v>3098.83</v>
      </c>
      <c r="L1491" s="2">
        <v>0.2</v>
      </c>
      <c r="M1491" s="2" t="s">
        <v>17</v>
      </c>
      <c r="N1491" s="2" t="s">
        <v>18</v>
      </c>
    </row>
    <row r="1492" spans="1:14" x14ac:dyDescent="0.2">
      <c r="A1492" s="13">
        <v>100854</v>
      </c>
      <c r="B1492" s="5">
        <v>45377</v>
      </c>
      <c r="C1492" s="5" t="str">
        <f t="shared" si="46"/>
        <v>Mar</v>
      </c>
      <c r="D1492" s="2" t="s">
        <v>780</v>
      </c>
      <c r="E1492" s="2" t="s">
        <v>140</v>
      </c>
      <c r="F1492" s="2" t="s">
        <v>79</v>
      </c>
      <c r="G1492" s="2" t="s">
        <v>64</v>
      </c>
      <c r="H1492" s="2" t="s">
        <v>292</v>
      </c>
      <c r="I1492" s="13">
        <v>4</v>
      </c>
      <c r="J1492" s="10">
        <v>205.35</v>
      </c>
      <c r="K1492" s="10">
        <f t="shared" si="47"/>
        <v>821.4</v>
      </c>
      <c r="L1492" s="2">
        <v>0</v>
      </c>
      <c r="M1492" s="2" t="s">
        <v>66</v>
      </c>
      <c r="N1492" s="2" t="s">
        <v>143</v>
      </c>
    </row>
    <row r="1493" spans="1:14" x14ac:dyDescent="0.2">
      <c r="A1493" s="13">
        <v>100426</v>
      </c>
      <c r="B1493" s="5">
        <v>45554</v>
      </c>
      <c r="C1493" s="5" t="str">
        <f t="shared" si="46"/>
        <v>Sep</v>
      </c>
      <c r="D1493" s="2" t="s">
        <v>586</v>
      </c>
      <c r="E1493" s="2" t="s">
        <v>31</v>
      </c>
      <c r="F1493" s="2" t="s">
        <v>54</v>
      </c>
      <c r="G1493" s="2" t="s">
        <v>50</v>
      </c>
      <c r="H1493" s="2" t="s">
        <v>62</v>
      </c>
      <c r="I1493" s="13">
        <v>12</v>
      </c>
      <c r="J1493" s="10">
        <v>7474.64</v>
      </c>
      <c r="K1493" s="10">
        <f t="shared" si="47"/>
        <v>89695.680000000008</v>
      </c>
      <c r="L1493" s="2">
        <v>0.2</v>
      </c>
      <c r="M1493" s="2" t="s">
        <v>24</v>
      </c>
      <c r="N1493" s="2" t="s">
        <v>121</v>
      </c>
    </row>
    <row r="1494" spans="1:14" x14ac:dyDescent="0.2">
      <c r="A1494" s="13">
        <v>101783</v>
      </c>
      <c r="B1494" s="5">
        <v>45493</v>
      </c>
      <c r="C1494" s="5" t="str">
        <f t="shared" si="46"/>
        <v>Jul</v>
      </c>
      <c r="D1494" s="2" t="s">
        <v>943</v>
      </c>
      <c r="E1494" s="2" t="s">
        <v>37</v>
      </c>
      <c r="F1494" s="2" t="s">
        <v>38</v>
      </c>
      <c r="G1494" s="2" t="s">
        <v>33</v>
      </c>
      <c r="H1494" s="2" t="s">
        <v>158</v>
      </c>
      <c r="I1494" s="13">
        <v>2</v>
      </c>
      <c r="J1494" s="10">
        <v>234.32</v>
      </c>
      <c r="K1494" s="10">
        <f t="shared" si="47"/>
        <v>468.64</v>
      </c>
      <c r="L1494" s="2">
        <v>0</v>
      </c>
      <c r="M1494" s="2" t="s">
        <v>66</v>
      </c>
      <c r="N1494" s="2" t="s">
        <v>52</v>
      </c>
    </row>
    <row r="1495" spans="1:14" x14ac:dyDescent="0.2">
      <c r="A1495" s="13">
        <v>101143</v>
      </c>
      <c r="B1495" s="5">
        <v>45603</v>
      </c>
      <c r="C1495" s="5" t="str">
        <f t="shared" si="46"/>
        <v>Nov</v>
      </c>
      <c r="D1495" s="2" t="s">
        <v>968</v>
      </c>
      <c r="E1495" s="2" t="s">
        <v>27</v>
      </c>
      <c r="F1495" s="2" t="s">
        <v>21</v>
      </c>
      <c r="G1495" s="2" t="s">
        <v>22</v>
      </c>
      <c r="H1495" s="2" t="s">
        <v>232</v>
      </c>
      <c r="I1495" s="13">
        <v>9</v>
      </c>
      <c r="J1495" s="10">
        <v>3314.58</v>
      </c>
      <c r="K1495" s="10">
        <f t="shared" si="47"/>
        <v>29831.22</v>
      </c>
      <c r="L1495" s="2">
        <v>0</v>
      </c>
      <c r="M1495" s="2" t="s">
        <v>66</v>
      </c>
      <c r="N1495" s="2" t="s">
        <v>42</v>
      </c>
    </row>
    <row r="1496" spans="1:14" x14ac:dyDescent="0.2">
      <c r="A1496" s="13">
        <v>101144</v>
      </c>
      <c r="B1496" s="5">
        <v>45346</v>
      </c>
      <c r="C1496" s="5" t="str">
        <f t="shared" si="46"/>
        <v>Feb</v>
      </c>
      <c r="D1496" s="2" t="s">
        <v>908</v>
      </c>
      <c r="E1496" s="2" t="s">
        <v>61</v>
      </c>
      <c r="F1496" s="2" t="s">
        <v>14</v>
      </c>
      <c r="G1496" s="2" t="s">
        <v>45</v>
      </c>
      <c r="H1496" s="2" t="s">
        <v>46</v>
      </c>
      <c r="I1496" s="13">
        <v>9</v>
      </c>
      <c r="J1496" s="10">
        <v>30810.77</v>
      </c>
      <c r="K1496" s="10">
        <f t="shared" si="47"/>
        <v>277296.93</v>
      </c>
      <c r="L1496" s="2">
        <v>0</v>
      </c>
      <c r="M1496" s="2" t="s">
        <v>24</v>
      </c>
      <c r="N1496" s="2" t="s">
        <v>121</v>
      </c>
    </row>
    <row r="1497" spans="1:14" x14ac:dyDescent="0.2">
      <c r="A1497" s="13">
        <v>100227</v>
      </c>
      <c r="B1497" s="5">
        <v>45506</v>
      </c>
      <c r="C1497" s="5" t="str">
        <f t="shared" si="46"/>
        <v>Aug</v>
      </c>
      <c r="D1497" s="2" t="s">
        <v>206</v>
      </c>
      <c r="E1497" s="2" t="s">
        <v>31</v>
      </c>
      <c r="F1497" s="2" t="s">
        <v>54</v>
      </c>
      <c r="G1497" s="2" t="s">
        <v>50</v>
      </c>
      <c r="H1497" s="2" t="s">
        <v>207</v>
      </c>
      <c r="I1497" s="13">
        <v>2</v>
      </c>
      <c r="J1497" s="10">
        <v>4846.25</v>
      </c>
      <c r="K1497" s="10">
        <f t="shared" si="47"/>
        <v>9692.5</v>
      </c>
      <c r="L1497" s="2">
        <v>0.15</v>
      </c>
      <c r="M1497" s="2" t="s">
        <v>41</v>
      </c>
      <c r="N1497" s="2" t="s">
        <v>35</v>
      </c>
    </row>
    <row r="1498" spans="1:14" x14ac:dyDescent="0.2">
      <c r="A1498" s="13">
        <v>101646</v>
      </c>
      <c r="B1498" s="5">
        <v>45547</v>
      </c>
      <c r="C1498" s="5" t="str">
        <f t="shared" si="46"/>
        <v>Sep</v>
      </c>
      <c r="D1498" s="2" t="s">
        <v>853</v>
      </c>
      <c r="E1498" s="2" t="s">
        <v>61</v>
      </c>
      <c r="F1498" s="2" t="s">
        <v>119</v>
      </c>
      <c r="G1498" s="2" t="s">
        <v>50</v>
      </c>
      <c r="H1498" s="2" t="s">
        <v>207</v>
      </c>
      <c r="I1498" s="13">
        <v>-2</v>
      </c>
      <c r="J1498" s="10">
        <v>9116.9699999999993</v>
      </c>
      <c r="K1498" s="10">
        <f t="shared" si="47"/>
        <v>-18233.939999999999</v>
      </c>
      <c r="L1498" s="2">
        <v>0.1</v>
      </c>
      <c r="M1498" s="2" t="s">
        <v>29</v>
      </c>
      <c r="N1498" s="2" t="s">
        <v>35</v>
      </c>
    </row>
    <row r="1499" spans="1:14" x14ac:dyDescent="0.2">
      <c r="A1499" s="13">
        <v>100001</v>
      </c>
      <c r="B1499" s="5">
        <v>45562</v>
      </c>
      <c r="C1499" s="5" t="str">
        <f t="shared" si="46"/>
        <v>Sep</v>
      </c>
      <c r="D1499" s="2" t="s">
        <v>402</v>
      </c>
      <c r="E1499" s="2" t="s">
        <v>140</v>
      </c>
      <c r="F1499" s="2" t="s">
        <v>49</v>
      </c>
      <c r="G1499" s="2" t="s">
        <v>15</v>
      </c>
      <c r="H1499" s="2" t="s">
        <v>205</v>
      </c>
      <c r="I1499" s="13">
        <v>2</v>
      </c>
      <c r="J1499" s="10">
        <v>18938.84</v>
      </c>
      <c r="K1499" s="10">
        <f t="shared" si="47"/>
        <v>37877.68</v>
      </c>
      <c r="L1499" s="2">
        <v>0</v>
      </c>
      <c r="M1499" s="2" t="s">
        <v>66</v>
      </c>
      <c r="N1499" s="2" t="s">
        <v>25</v>
      </c>
    </row>
    <row r="1500" spans="1:14" x14ac:dyDescent="0.2">
      <c r="A1500" s="13">
        <v>101419</v>
      </c>
      <c r="B1500" s="5">
        <v>45456</v>
      </c>
      <c r="C1500" s="5" t="str">
        <f t="shared" si="46"/>
        <v>Jun</v>
      </c>
      <c r="D1500" s="2" t="s">
        <v>962</v>
      </c>
      <c r="E1500" s="2" t="s">
        <v>140</v>
      </c>
      <c r="F1500" s="2" t="s">
        <v>49</v>
      </c>
      <c r="G1500" s="2" t="s">
        <v>106</v>
      </c>
      <c r="H1500" s="2" t="s">
        <v>156</v>
      </c>
      <c r="I1500" s="13">
        <v>12</v>
      </c>
      <c r="J1500" s="10">
        <v>2051.62</v>
      </c>
      <c r="K1500" s="10">
        <f t="shared" si="47"/>
        <v>24619.439999999999</v>
      </c>
      <c r="L1500" s="2">
        <v>0</v>
      </c>
      <c r="M1500" s="2" t="s">
        <v>66</v>
      </c>
      <c r="N1500" s="2" t="s">
        <v>18</v>
      </c>
    </row>
    <row r="1501" spans="1:14" x14ac:dyDescent="0.2">
      <c r="A1501" s="13">
        <v>100402</v>
      </c>
      <c r="B1501" s="5">
        <v>45488</v>
      </c>
      <c r="C1501" s="5" t="str">
        <f t="shared" si="46"/>
        <v>Jul</v>
      </c>
      <c r="D1501" s="2" t="s">
        <v>969</v>
      </c>
      <c r="E1501" s="2" t="s">
        <v>61</v>
      </c>
      <c r="F1501" s="2" t="s">
        <v>14</v>
      </c>
      <c r="G1501" s="2" t="s">
        <v>64</v>
      </c>
      <c r="H1501" s="2" t="s">
        <v>40</v>
      </c>
      <c r="I1501" s="13">
        <v>11</v>
      </c>
      <c r="J1501" s="10">
        <v>874.92</v>
      </c>
      <c r="K1501" s="10">
        <f t="shared" si="47"/>
        <v>9624.119999999999</v>
      </c>
      <c r="L1501" s="2">
        <v>0</v>
      </c>
      <c r="M1501" s="2" t="s">
        <v>83</v>
      </c>
      <c r="N1501" s="2" t="s">
        <v>18</v>
      </c>
    </row>
    <row r="1502" spans="1:14" x14ac:dyDescent="0.2">
      <c r="A1502" s="13">
        <v>101429</v>
      </c>
      <c r="B1502" s="5">
        <v>45519</v>
      </c>
      <c r="C1502" s="5" t="str">
        <f t="shared" si="46"/>
        <v>Aug</v>
      </c>
      <c r="D1502" s="2" t="s">
        <v>1069</v>
      </c>
      <c r="E1502" s="2" t="s">
        <v>61</v>
      </c>
      <c r="F1502" s="2" t="s">
        <v>119</v>
      </c>
      <c r="G1502" s="2" t="s">
        <v>106</v>
      </c>
      <c r="H1502" s="2" t="s">
        <v>137</v>
      </c>
      <c r="I1502" s="13">
        <v>9</v>
      </c>
      <c r="J1502" s="10">
        <v>2100.92</v>
      </c>
      <c r="K1502" s="10">
        <f t="shared" si="47"/>
        <v>18908.28</v>
      </c>
      <c r="L1502" s="2">
        <v>0</v>
      </c>
      <c r="M1502" s="2" t="s">
        <v>24</v>
      </c>
      <c r="N1502" s="2" t="s">
        <v>25</v>
      </c>
    </row>
    <row r="1503" spans="1:14" x14ac:dyDescent="0.2">
      <c r="A1503" s="13">
        <v>101104</v>
      </c>
      <c r="B1503" s="5">
        <v>45396</v>
      </c>
      <c r="C1503" s="5" t="str">
        <f t="shared" si="46"/>
        <v>Apr</v>
      </c>
      <c r="D1503" s="2" t="s">
        <v>1069</v>
      </c>
      <c r="E1503" s="2" t="s">
        <v>37</v>
      </c>
      <c r="F1503" s="2" t="s">
        <v>38</v>
      </c>
      <c r="G1503" s="2" t="s">
        <v>33</v>
      </c>
      <c r="H1503" s="2" t="s">
        <v>93</v>
      </c>
      <c r="I1503" s="13">
        <v>10</v>
      </c>
      <c r="J1503" s="10">
        <v>41.33</v>
      </c>
      <c r="K1503" s="10">
        <f t="shared" si="47"/>
        <v>413.29999999999995</v>
      </c>
      <c r="L1503" s="2">
        <v>0</v>
      </c>
      <c r="M1503" s="2" t="s">
        <v>29</v>
      </c>
      <c r="N1503" s="2" t="s">
        <v>143</v>
      </c>
    </row>
    <row r="1504" spans="1:14" x14ac:dyDescent="0.2">
      <c r="A1504" s="13">
        <v>100085</v>
      </c>
      <c r="B1504" s="5">
        <v>45456</v>
      </c>
      <c r="C1504" s="5" t="str">
        <f t="shared" si="46"/>
        <v>Jun</v>
      </c>
      <c r="D1504" s="2" t="s">
        <v>636</v>
      </c>
      <c r="E1504" s="2" t="s">
        <v>27</v>
      </c>
      <c r="F1504" s="2" t="s">
        <v>133</v>
      </c>
      <c r="G1504" s="2" t="s">
        <v>106</v>
      </c>
      <c r="H1504" s="2" t="s">
        <v>135</v>
      </c>
      <c r="I1504" s="13">
        <v>8</v>
      </c>
      <c r="J1504" s="10">
        <v>1259.3399999999999</v>
      </c>
      <c r="K1504" s="10">
        <f t="shared" si="47"/>
        <v>10074.719999999999</v>
      </c>
      <c r="L1504" s="2">
        <v>0</v>
      </c>
      <c r="M1504" s="2" t="s">
        <v>41</v>
      </c>
      <c r="N1504" s="2" t="s">
        <v>52</v>
      </c>
    </row>
    <row r="1505" spans="1:14" x14ac:dyDescent="0.2">
      <c r="A1505" s="13">
        <v>100163</v>
      </c>
      <c r="B1505" s="5">
        <v>45297</v>
      </c>
      <c r="C1505" s="5" t="str">
        <f t="shared" si="46"/>
        <v>Jan</v>
      </c>
      <c r="D1505" s="2" t="s">
        <v>970</v>
      </c>
      <c r="E1505" s="2" t="s">
        <v>27</v>
      </c>
      <c r="F1505" s="2" t="s">
        <v>21</v>
      </c>
      <c r="G1505" s="2" t="s">
        <v>22</v>
      </c>
      <c r="H1505" s="2" t="s">
        <v>75</v>
      </c>
      <c r="I1505" s="13">
        <v>-1</v>
      </c>
      <c r="J1505" s="10">
        <v>1991.17</v>
      </c>
      <c r="K1505" s="10">
        <f t="shared" si="47"/>
        <v>-1991.17</v>
      </c>
      <c r="L1505" s="2">
        <v>0</v>
      </c>
      <c r="M1505" s="2" t="s">
        <v>83</v>
      </c>
      <c r="N1505" s="2" t="s">
        <v>35</v>
      </c>
    </row>
    <row r="1506" spans="1:14" x14ac:dyDescent="0.2">
      <c r="A1506" s="13">
        <v>100115</v>
      </c>
      <c r="B1506" s="5">
        <v>45507</v>
      </c>
      <c r="C1506" s="5" t="str">
        <f t="shared" si="46"/>
        <v>Aug</v>
      </c>
      <c r="D1506" s="2" t="s">
        <v>943</v>
      </c>
      <c r="E1506" s="2" t="s">
        <v>37</v>
      </c>
      <c r="F1506" s="2" t="s">
        <v>69</v>
      </c>
      <c r="G1506" s="2" t="s">
        <v>15</v>
      </c>
      <c r="H1506" s="2" t="s">
        <v>205</v>
      </c>
      <c r="I1506" s="13">
        <v>2</v>
      </c>
      <c r="J1506" s="10">
        <v>11997.55</v>
      </c>
      <c r="K1506" s="10">
        <f t="shared" si="47"/>
        <v>23995.1</v>
      </c>
      <c r="L1506" s="2">
        <v>0.25</v>
      </c>
      <c r="M1506" s="2" t="s">
        <v>66</v>
      </c>
      <c r="N1506" s="2" t="s">
        <v>25</v>
      </c>
    </row>
    <row r="1507" spans="1:14" x14ac:dyDescent="0.2">
      <c r="A1507" s="13">
        <v>100671</v>
      </c>
      <c r="B1507" s="5">
        <v>45362</v>
      </c>
      <c r="C1507" s="5" t="str">
        <f t="shared" si="46"/>
        <v>Mar</v>
      </c>
      <c r="D1507" s="2" t="s">
        <v>1069</v>
      </c>
      <c r="E1507" s="2" t="s">
        <v>31</v>
      </c>
      <c r="F1507" s="2" t="s">
        <v>32</v>
      </c>
      <c r="G1507" s="2" t="s">
        <v>22</v>
      </c>
      <c r="H1507" s="2" t="s">
        <v>232</v>
      </c>
      <c r="I1507" s="13">
        <v>3</v>
      </c>
      <c r="J1507" s="10">
        <v>2256.2600000000002</v>
      </c>
      <c r="K1507" s="10">
        <f t="shared" si="47"/>
        <v>6768.7800000000007</v>
      </c>
      <c r="L1507" s="2">
        <v>0.05</v>
      </c>
      <c r="M1507" s="2" t="s">
        <v>41</v>
      </c>
      <c r="N1507" s="2" t="s">
        <v>52</v>
      </c>
    </row>
    <row r="1508" spans="1:14" x14ac:dyDescent="0.2">
      <c r="A1508" s="13">
        <v>101175</v>
      </c>
      <c r="B1508" s="5">
        <v>45310</v>
      </c>
      <c r="C1508" s="5" t="str">
        <f t="shared" si="46"/>
        <v>Jan</v>
      </c>
      <c r="D1508" s="2" t="s">
        <v>397</v>
      </c>
      <c r="E1508" s="2" t="s">
        <v>31</v>
      </c>
      <c r="F1508" s="2" t="s">
        <v>32</v>
      </c>
      <c r="G1508" s="2" t="s">
        <v>64</v>
      </c>
      <c r="H1508" s="2" t="s">
        <v>114</v>
      </c>
      <c r="I1508" s="13">
        <v>11</v>
      </c>
      <c r="J1508" s="10">
        <v>572.70000000000005</v>
      </c>
      <c r="K1508" s="10">
        <f t="shared" si="47"/>
        <v>6299.7000000000007</v>
      </c>
      <c r="L1508" s="2">
        <v>0</v>
      </c>
      <c r="M1508" s="2" t="s">
        <v>29</v>
      </c>
      <c r="N1508" s="2" t="s">
        <v>35</v>
      </c>
    </row>
    <row r="1509" spans="1:14" x14ac:dyDescent="0.2">
      <c r="A1509" s="13">
        <v>101545</v>
      </c>
      <c r="B1509" s="5">
        <v>45537</v>
      </c>
      <c r="C1509" s="5" t="str">
        <f t="shared" si="46"/>
        <v>Sep</v>
      </c>
      <c r="D1509" s="2" t="s">
        <v>411</v>
      </c>
      <c r="E1509" s="2" t="s">
        <v>27</v>
      </c>
      <c r="F1509" s="2" t="s">
        <v>21</v>
      </c>
      <c r="G1509" s="2" t="s">
        <v>45</v>
      </c>
      <c r="H1509" s="2" t="s">
        <v>71</v>
      </c>
      <c r="I1509" s="13"/>
      <c r="J1509" s="10">
        <v>34097.22</v>
      </c>
      <c r="K1509" s="10">
        <f t="shared" si="47"/>
        <v>0</v>
      </c>
      <c r="L1509" s="2">
        <v>0.05</v>
      </c>
      <c r="M1509" s="2" t="s">
        <v>83</v>
      </c>
      <c r="N1509" s="2" t="s">
        <v>18</v>
      </c>
    </row>
    <row r="1510" spans="1:14" x14ac:dyDescent="0.2">
      <c r="A1510" s="13">
        <v>101534</v>
      </c>
      <c r="B1510" s="5">
        <v>45571</v>
      </c>
      <c r="C1510" s="5" t="str">
        <f t="shared" si="46"/>
        <v>Oct</v>
      </c>
      <c r="D1510" s="2" t="s">
        <v>972</v>
      </c>
      <c r="E1510" s="2" t="s">
        <v>31</v>
      </c>
      <c r="F1510" s="2" t="s">
        <v>54</v>
      </c>
      <c r="G1510" s="2" t="s">
        <v>106</v>
      </c>
      <c r="H1510" s="2" t="s">
        <v>156</v>
      </c>
      <c r="I1510" s="13">
        <v>11</v>
      </c>
      <c r="J1510" s="10">
        <v>1281.69</v>
      </c>
      <c r="K1510" s="10">
        <f t="shared" si="47"/>
        <v>14098.59</v>
      </c>
      <c r="L1510" s="2">
        <v>0</v>
      </c>
      <c r="M1510" s="2" t="s">
        <v>66</v>
      </c>
      <c r="N1510" s="2" t="s">
        <v>121</v>
      </c>
    </row>
    <row r="1511" spans="1:14" x14ac:dyDescent="0.2">
      <c r="A1511" s="13">
        <v>101393</v>
      </c>
      <c r="B1511" s="5">
        <v>45463</v>
      </c>
      <c r="C1511" s="5" t="str">
        <f t="shared" si="46"/>
        <v>Jun</v>
      </c>
      <c r="D1511" s="2" t="s">
        <v>435</v>
      </c>
      <c r="E1511" s="2" t="s">
        <v>140</v>
      </c>
      <c r="F1511" s="2" t="s">
        <v>79</v>
      </c>
      <c r="G1511" s="2" t="s">
        <v>15</v>
      </c>
      <c r="H1511" s="2" t="s">
        <v>16</v>
      </c>
      <c r="I1511" s="13">
        <v>4</v>
      </c>
      <c r="J1511" s="10">
        <v>0</v>
      </c>
      <c r="K1511" s="10">
        <f t="shared" si="47"/>
        <v>0</v>
      </c>
      <c r="L1511" s="2">
        <v>0.2</v>
      </c>
      <c r="M1511" s="2" t="s">
        <v>24</v>
      </c>
      <c r="N1511" s="2" t="s">
        <v>52</v>
      </c>
    </row>
    <row r="1512" spans="1:14" x14ac:dyDescent="0.2">
      <c r="A1512" s="13">
        <v>100890</v>
      </c>
      <c r="B1512" s="5">
        <v>45375</v>
      </c>
      <c r="C1512" s="5" t="str">
        <f t="shared" si="46"/>
        <v>Mar</v>
      </c>
      <c r="D1512" s="2" t="s">
        <v>353</v>
      </c>
      <c r="E1512" s="2" t="s">
        <v>140</v>
      </c>
      <c r="F1512" s="2" t="s">
        <v>49</v>
      </c>
      <c r="G1512" s="2" t="s">
        <v>15</v>
      </c>
      <c r="H1512" s="2" t="s">
        <v>205</v>
      </c>
      <c r="I1512" s="13">
        <v>12</v>
      </c>
      <c r="J1512" s="10">
        <v>22002.95</v>
      </c>
      <c r="K1512" s="10">
        <f t="shared" si="47"/>
        <v>264035.40000000002</v>
      </c>
      <c r="L1512" s="2">
        <v>0</v>
      </c>
      <c r="M1512" s="2" t="s">
        <v>83</v>
      </c>
      <c r="N1512" s="2" t="s">
        <v>25</v>
      </c>
    </row>
    <row r="1513" spans="1:14" x14ac:dyDescent="0.2">
      <c r="A1513" s="13">
        <v>101502</v>
      </c>
      <c r="B1513" s="5">
        <v>45646</v>
      </c>
      <c r="C1513" s="5" t="str">
        <f t="shared" si="46"/>
        <v>Dec</v>
      </c>
      <c r="D1513" s="2" t="s">
        <v>430</v>
      </c>
      <c r="E1513" s="2" t="s">
        <v>31</v>
      </c>
      <c r="F1513" s="2" t="s">
        <v>54</v>
      </c>
      <c r="G1513" s="2" t="s">
        <v>22</v>
      </c>
      <c r="H1513" s="2" t="s">
        <v>141</v>
      </c>
      <c r="I1513" s="13">
        <v>4</v>
      </c>
      <c r="J1513" s="10">
        <v>1039.4000000000001</v>
      </c>
      <c r="K1513" s="10">
        <f t="shared" si="47"/>
        <v>4157.6000000000004</v>
      </c>
      <c r="L1513" s="2">
        <v>0.2</v>
      </c>
      <c r="M1513" s="2" t="s">
        <v>29</v>
      </c>
      <c r="N1513" s="2" t="s">
        <v>143</v>
      </c>
    </row>
    <row r="1514" spans="1:14" x14ac:dyDescent="0.2">
      <c r="A1514" s="13">
        <v>100626</v>
      </c>
      <c r="B1514" s="5">
        <v>45494</v>
      </c>
      <c r="C1514" s="5" t="str">
        <f t="shared" si="46"/>
        <v>Jul</v>
      </c>
      <c r="D1514" s="2" t="s">
        <v>241</v>
      </c>
      <c r="E1514" s="2" t="s">
        <v>61</v>
      </c>
      <c r="F1514" s="2" t="s">
        <v>14</v>
      </c>
      <c r="G1514" s="2" t="s">
        <v>22</v>
      </c>
      <c r="H1514" s="2" t="s">
        <v>75</v>
      </c>
      <c r="I1514" s="13">
        <v>7</v>
      </c>
      <c r="J1514" s="10">
        <v>2766.92</v>
      </c>
      <c r="K1514" s="10">
        <f t="shared" si="47"/>
        <v>19368.440000000002</v>
      </c>
      <c r="L1514" s="2">
        <v>0</v>
      </c>
      <c r="M1514" s="2" t="s">
        <v>83</v>
      </c>
      <c r="N1514" s="2" t="s">
        <v>143</v>
      </c>
    </row>
    <row r="1515" spans="1:14" x14ac:dyDescent="0.2">
      <c r="A1515" s="13">
        <v>101982</v>
      </c>
      <c r="B1515" s="5">
        <v>45335</v>
      </c>
      <c r="C1515" s="5" t="str">
        <f t="shared" si="46"/>
        <v>Feb</v>
      </c>
      <c r="D1515" s="2" t="s">
        <v>810</v>
      </c>
      <c r="E1515" s="2" t="s">
        <v>140</v>
      </c>
      <c r="F1515" s="2" t="s">
        <v>49</v>
      </c>
      <c r="G1515" s="2" t="s">
        <v>64</v>
      </c>
      <c r="H1515" s="2" t="s">
        <v>114</v>
      </c>
      <c r="I1515" s="13">
        <v>9</v>
      </c>
      <c r="J1515" s="10">
        <v>563.5</v>
      </c>
      <c r="K1515" s="10">
        <f t="shared" si="47"/>
        <v>5071.5</v>
      </c>
      <c r="L1515" s="2">
        <v>0</v>
      </c>
      <c r="M1515" s="2" t="s">
        <v>17</v>
      </c>
      <c r="N1515" s="2" t="s">
        <v>18</v>
      </c>
    </row>
    <row r="1516" spans="1:14" x14ac:dyDescent="0.2">
      <c r="A1516" s="13">
        <v>100953</v>
      </c>
      <c r="B1516" s="5">
        <v>45636</v>
      </c>
      <c r="C1516" s="5" t="str">
        <f t="shared" si="46"/>
        <v>Dec</v>
      </c>
      <c r="D1516" s="2" t="s">
        <v>91</v>
      </c>
      <c r="E1516" s="2" t="s">
        <v>37</v>
      </c>
      <c r="F1516" s="2" t="s">
        <v>69</v>
      </c>
      <c r="G1516" s="2" t="s">
        <v>15</v>
      </c>
      <c r="H1516" s="2" t="s">
        <v>59</v>
      </c>
      <c r="I1516" s="13">
        <v>4</v>
      </c>
      <c r="J1516" s="10">
        <v>0</v>
      </c>
      <c r="K1516" s="10">
        <f t="shared" si="47"/>
        <v>0</v>
      </c>
      <c r="L1516" s="2">
        <v>0.05</v>
      </c>
      <c r="M1516" s="2" t="s">
        <v>29</v>
      </c>
      <c r="N1516" s="2" t="s">
        <v>121</v>
      </c>
    </row>
    <row r="1517" spans="1:14" x14ac:dyDescent="0.2">
      <c r="A1517" s="13">
        <v>100808</v>
      </c>
      <c r="B1517" s="5">
        <v>45587</v>
      </c>
      <c r="C1517" s="5" t="str">
        <f t="shared" si="46"/>
        <v>Oct</v>
      </c>
      <c r="D1517" s="2" t="s">
        <v>1069</v>
      </c>
      <c r="E1517" s="2" t="s">
        <v>37</v>
      </c>
      <c r="F1517" s="2" t="s">
        <v>69</v>
      </c>
      <c r="G1517" s="2" t="s">
        <v>106</v>
      </c>
      <c r="H1517" s="2" t="s">
        <v>135</v>
      </c>
      <c r="I1517" s="13">
        <v>6</v>
      </c>
      <c r="J1517" s="10">
        <v>2271.25</v>
      </c>
      <c r="K1517" s="10">
        <f t="shared" si="47"/>
        <v>13627.5</v>
      </c>
      <c r="L1517" s="2">
        <v>0.05</v>
      </c>
      <c r="M1517" s="2" t="s">
        <v>41</v>
      </c>
      <c r="N1517" s="2" t="s">
        <v>87</v>
      </c>
    </row>
    <row r="1518" spans="1:14" x14ac:dyDescent="0.2">
      <c r="A1518" s="13">
        <v>100259</v>
      </c>
      <c r="B1518" s="5">
        <v>45442</v>
      </c>
      <c r="C1518" s="5" t="str">
        <f t="shared" si="46"/>
        <v>May</v>
      </c>
      <c r="D1518" s="2" t="s">
        <v>973</v>
      </c>
      <c r="E1518" s="2" t="s">
        <v>61</v>
      </c>
      <c r="F1518" s="2" t="s">
        <v>119</v>
      </c>
      <c r="G1518" s="2" t="s">
        <v>22</v>
      </c>
      <c r="H1518" s="2" t="s">
        <v>145</v>
      </c>
      <c r="I1518" s="13">
        <v>2</v>
      </c>
      <c r="J1518" s="10">
        <v>1362.11</v>
      </c>
      <c r="K1518" s="10">
        <f t="shared" si="47"/>
        <v>2724.22</v>
      </c>
      <c r="L1518" s="2">
        <v>0</v>
      </c>
      <c r="M1518" s="2" t="s">
        <v>41</v>
      </c>
      <c r="N1518" s="2" t="s">
        <v>87</v>
      </c>
    </row>
    <row r="1519" spans="1:14" x14ac:dyDescent="0.2">
      <c r="A1519" s="13">
        <v>100625</v>
      </c>
      <c r="B1519" s="5">
        <v>45515</v>
      </c>
      <c r="C1519" s="5" t="str">
        <f t="shared" si="46"/>
        <v>Aug</v>
      </c>
      <c r="D1519" s="2" t="s">
        <v>554</v>
      </c>
      <c r="E1519" s="2" t="s">
        <v>61</v>
      </c>
      <c r="F1519" s="2" t="s">
        <v>14</v>
      </c>
      <c r="G1519" s="2" t="s">
        <v>45</v>
      </c>
      <c r="H1519" s="2" t="s">
        <v>153</v>
      </c>
      <c r="I1519" s="13">
        <v>8</v>
      </c>
      <c r="J1519" s="10">
        <v>12210.66</v>
      </c>
      <c r="K1519" s="10">
        <f t="shared" si="47"/>
        <v>97685.28</v>
      </c>
      <c r="L1519" s="2">
        <v>0.15</v>
      </c>
      <c r="M1519" s="2" t="s">
        <v>66</v>
      </c>
      <c r="N1519" s="2" t="s">
        <v>25</v>
      </c>
    </row>
    <row r="1520" spans="1:14" x14ac:dyDescent="0.2">
      <c r="A1520" s="13">
        <v>100827</v>
      </c>
      <c r="B1520" s="5">
        <v>45468</v>
      </c>
      <c r="C1520" s="5" t="str">
        <f t="shared" si="46"/>
        <v>Jun</v>
      </c>
      <c r="D1520" s="2" t="s">
        <v>793</v>
      </c>
      <c r="E1520" s="2" t="s">
        <v>61</v>
      </c>
      <c r="F1520" s="2" t="s">
        <v>119</v>
      </c>
      <c r="G1520" s="2" t="s">
        <v>22</v>
      </c>
      <c r="H1520" s="2" t="s">
        <v>75</v>
      </c>
      <c r="I1520" s="13">
        <v>4</v>
      </c>
      <c r="J1520" s="10">
        <v>1239.7</v>
      </c>
      <c r="K1520" s="10">
        <f t="shared" si="47"/>
        <v>4958.8</v>
      </c>
      <c r="L1520" s="2">
        <v>0.2</v>
      </c>
      <c r="M1520" s="2" t="s">
        <v>29</v>
      </c>
      <c r="N1520" s="2" t="s">
        <v>25</v>
      </c>
    </row>
    <row r="1521" spans="1:14" x14ac:dyDescent="0.2">
      <c r="A1521" s="13">
        <v>100235</v>
      </c>
      <c r="B1521" s="5">
        <v>45354</v>
      </c>
      <c r="C1521" s="5" t="str">
        <f t="shared" si="46"/>
        <v>Mar</v>
      </c>
      <c r="D1521" s="2" t="s">
        <v>147</v>
      </c>
      <c r="E1521" s="2" t="s">
        <v>140</v>
      </c>
      <c r="F1521" s="2" t="s">
        <v>49</v>
      </c>
      <c r="G1521" s="2" t="s">
        <v>15</v>
      </c>
      <c r="H1521" s="2" t="s">
        <v>16</v>
      </c>
      <c r="I1521" s="13">
        <v>1</v>
      </c>
      <c r="J1521" s="10">
        <v>20848.849999999999</v>
      </c>
      <c r="K1521" s="10">
        <f t="shared" si="47"/>
        <v>20848.849999999999</v>
      </c>
      <c r="L1521" s="2">
        <v>0</v>
      </c>
      <c r="M1521" s="2" t="s">
        <v>17</v>
      </c>
      <c r="N1521" s="2" t="s">
        <v>143</v>
      </c>
    </row>
    <row r="1522" spans="1:14" x14ac:dyDescent="0.2">
      <c r="A1522" s="13">
        <v>100136</v>
      </c>
      <c r="B1522" s="5">
        <v>45591</v>
      </c>
      <c r="C1522" s="5" t="str">
        <f t="shared" si="46"/>
        <v>Oct</v>
      </c>
      <c r="D1522" s="2" t="s">
        <v>764</v>
      </c>
      <c r="E1522" s="2" t="s">
        <v>27</v>
      </c>
      <c r="F1522" s="2" t="s">
        <v>133</v>
      </c>
      <c r="G1522" s="2" t="s">
        <v>45</v>
      </c>
      <c r="H1522" s="2" t="s">
        <v>97</v>
      </c>
      <c r="I1522" s="13"/>
      <c r="J1522" s="10">
        <v>27984.21</v>
      </c>
      <c r="K1522" s="10">
        <f t="shared" si="47"/>
        <v>0</v>
      </c>
      <c r="L1522" s="2">
        <v>0</v>
      </c>
      <c r="M1522" s="2" t="s">
        <v>83</v>
      </c>
      <c r="N1522" s="2" t="s">
        <v>121</v>
      </c>
    </row>
    <row r="1523" spans="1:14" x14ac:dyDescent="0.2">
      <c r="A1523" s="13">
        <v>100617</v>
      </c>
      <c r="B1523" s="5">
        <v>45609</v>
      </c>
      <c r="C1523" s="5" t="str">
        <f t="shared" si="46"/>
        <v>Nov</v>
      </c>
      <c r="D1523" s="2" t="s">
        <v>218</v>
      </c>
      <c r="E1523" s="2" t="s">
        <v>31</v>
      </c>
      <c r="F1523" s="2" t="s">
        <v>54</v>
      </c>
      <c r="G1523" s="2" t="s">
        <v>33</v>
      </c>
      <c r="H1523" s="2" t="s">
        <v>81</v>
      </c>
      <c r="I1523" s="13">
        <v>5</v>
      </c>
      <c r="J1523" s="10">
        <v>432.85</v>
      </c>
      <c r="K1523" s="10">
        <f t="shared" si="47"/>
        <v>2164.25</v>
      </c>
      <c r="L1523" s="2">
        <v>0.05</v>
      </c>
      <c r="M1523" s="2" t="s">
        <v>41</v>
      </c>
      <c r="N1523" s="2" t="s">
        <v>35</v>
      </c>
    </row>
    <row r="1524" spans="1:14" x14ac:dyDescent="0.2">
      <c r="A1524" s="13">
        <v>101948</v>
      </c>
      <c r="B1524" s="5">
        <v>45321</v>
      </c>
      <c r="C1524" s="5" t="str">
        <f t="shared" si="46"/>
        <v>Jan</v>
      </c>
      <c r="D1524" s="2" t="s">
        <v>974</v>
      </c>
      <c r="E1524" s="2" t="s">
        <v>61</v>
      </c>
      <c r="F1524" s="2" t="s">
        <v>14</v>
      </c>
      <c r="G1524" s="2" t="s">
        <v>106</v>
      </c>
      <c r="H1524" s="2" t="s">
        <v>135</v>
      </c>
      <c r="I1524" s="13"/>
      <c r="J1524" s="10">
        <v>3427.19</v>
      </c>
      <c r="K1524" s="10">
        <f t="shared" si="47"/>
        <v>0</v>
      </c>
      <c r="L1524" s="2">
        <v>0</v>
      </c>
      <c r="M1524" s="2" t="s">
        <v>17</v>
      </c>
      <c r="N1524" s="2" t="s">
        <v>143</v>
      </c>
    </row>
    <row r="1525" spans="1:14" x14ac:dyDescent="0.2">
      <c r="A1525" s="13">
        <v>101983</v>
      </c>
      <c r="B1525" s="5">
        <v>45564</v>
      </c>
      <c r="C1525" s="5" t="str">
        <f t="shared" si="46"/>
        <v>Sep</v>
      </c>
      <c r="D1525" s="2" t="s">
        <v>882</v>
      </c>
      <c r="E1525" s="2" t="s">
        <v>61</v>
      </c>
      <c r="F1525" s="2" t="s">
        <v>119</v>
      </c>
      <c r="G1525" s="2" t="s">
        <v>15</v>
      </c>
      <c r="H1525" s="2" t="s">
        <v>116</v>
      </c>
      <c r="I1525" s="13">
        <v>9</v>
      </c>
      <c r="J1525" s="10">
        <v>22966.61</v>
      </c>
      <c r="K1525" s="10">
        <f t="shared" si="47"/>
        <v>206699.49</v>
      </c>
      <c r="L1525" s="2">
        <v>0</v>
      </c>
      <c r="M1525" s="2" t="s">
        <v>24</v>
      </c>
      <c r="N1525" s="2" t="s">
        <v>143</v>
      </c>
    </row>
    <row r="1526" spans="1:14" x14ac:dyDescent="0.2">
      <c r="A1526" s="13">
        <v>100837</v>
      </c>
      <c r="B1526" s="5">
        <v>45550</v>
      </c>
      <c r="C1526" s="5" t="str">
        <f t="shared" si="46"/>
        <v>Sep</v>
      </c>
      <c r="D1526" s="2" t="s">
        <v>471</v>
      </c>
      <c r="E1526" s="2" t="s">
        <v>37</v>
      </c>
      <c r="F1526" s="2" t="s">
        <v>38</v>
      </c>
      <c r="G1526" s="2" t="s">
        <v>50</v>
      </c>
      <c r="H1526" s="2" t="s">
        <v>207</v>
      </c>
      <c r="I1526" s="13">
        <v>8</v>
      </c>
      <c r="J1526" s="10">
        <v>2453.38</v>
      </c>
      <c r="K1526" s="10">
        <f t="shared" si="47"/>
        <v>19627.04</v>
      </c>
      <c r="L1526" s="2">
        <v>0.25</v>
      </c>
      <c r="M1526" s="2" t="s">
        <v>83</v>
      </c>
      <c r="N1526" s="2" t="s">
        <v>121</v>
      </c>
    </row>
    <row r="1527" spans="1:14" x14ac:dyDescent="0.2">
      <c r="A1527" s="13">
        <v>100843</v>
      </c>
      <c r="B1527" s="5">
        <v>45534</v>
      </c>
      <c r="C1527" s="5" t="str">
        <f t="shared" si="46"/>
        <v>Aug</v>
      </c>
      <c r="D1527" s="2" t="s">
        <v>488</v>
      </c>
      <c r="E1527" s="2" t="s">
        <v>27</v>
      </c>
      <c r="F1527" s="2" t="s">
        <v>21</v>
      </c>
      <c r="G1527" s="2" t="s">
        <v>15</v>
      </c>
      <c r="H1527" s="2" t="s">
        <v>16</v>
      </c>
      <c r="I1527" s="13">
        <v>10</v>
      </c>
      <c r="J1527" s="10">
        <v>13499.29</v>
      </c>
      <c r="K1527" s="10">
        <f t="shared" si="47"/>
        <v>134992.90000000002</v>
      </c>
      <c r="L1527" s="2">
        <v>0</v>
      </c>
      <c r="M1527" s="2" t="s">
        <v>41</v>
      </c>
      <c r="N1527" s="2" t="s">
        <v>121</v>
      </c>
    </row>
    <row r="1528" spans="1:14" x14ac:dyDescent="0.2">
      <c r="A1528" s="13">
        <v>100960</v>
      </c>
      <c r="B1528" s="5">
        <v>45474</v>
      </c>
      <c r="C1528" s="5" t="str">
        <f t="shared" si="46"/>
        <v>Jul</v>
      </c>
      <c r="D1528" s="2" t="s">
        <v>953</v>
      </c>
      <c r="E1528" s="2" t="s">
        <v>61</v>
      </c>
      <c r="F1528" s="2" t="s">
        <v>119</v>
      </c>
      <c r="G1528" s="2" t="s">
        <v>45</v>
      </c>
      <c r="H1528" s="2" t="s">
        <v>111</v>
      </c>
      <c r="I1528" s="13">
        <v>9</v>
      </c>
      <c r="J1528" s="10">
        <v>10967.24</v>
      </c>
      <c r="K1528" s="10">
        <f t="shared" si="47"/>
        <v>98705.16</v>
      </c>
      <c r="L1528" s="2">
        <v>0</v>
      </c>
      <c r="M1528" s="2" t="s">
        <v>83</v>
      </c>
      <c r="N1528" s="2" t="s">
        <v>143</v>
      </c>
    </row>
    <row r="1529" spans="1:14" x14ac:dyDescent="0.2">
      <c r="A1529" s="13">
        <v>100593</v>
      </c>
      <c r="B1529" s="5">
        <v>45618</v>
      </c>
      <c r="C1529" s="5" t="str">
        <f t="shared" si="46"/>
        <v>Nov</v>
      </c>
      <c r="D1529" s="2" t="s">
        <v>1069</v>
      </c>
      <c r="E1529" s="2" t="s">
        <v>37</v>
      </c>
      <c r="F1529" s="2" t="s">
        <v>69</v>
      </c>
      <c r="G1529" s="2" t="s">
        <v>33</v>
      </c>
      <c r="H1529" s="2" t="s">
        <v>81</v>
      </c>
      <c r="I1529" s="13">
        <v>9</v>
      </c>
      <c r="J1529" s="10">
        <v>71.62</v>
      </c>
      <c r="K1529" s="10">
        <f t="shared" si="47"/>
        <v>644.58000000000004</v>
      </c>
      <c r="L1529" s="2">
        <v>0.2</v>
      </c>
      <c r="M1529" s="2" t="s">
        <v>24</v>
      </c>
      <c r="N1529" s="2" t="s">
        <v>121</v>
      </c>
    </row>
    <row r="1530" spans="1:14" x14ac:dyDescent="0.2">
      <c r="A1530" s="13">
        <v>101315</v>
      </c>
      <c r="B1530" s="5">
        <v>45360</v>
      </c>
      <c r="C1530" s="5" t="str">
        <f t="shared" si="46"/>
        <v>Mar</v>
      </c>
      <c r="D1530" s="2" t="s">
        <v>1042</v>
      </c>
      <c r="E1530" s="2" t="s">
        <v>31</v>
      </c>
      <c r="F1530" s="2" t="s">
        <v>54</v>
      </c>
      <c r="G1530" s="2" t="s">
        <v>106</v>
      </c>
      <c r="H1530" s="2" t="s">
        <v>156</v>
      </c>
      <c r="I1530" s="13">
        <v>1</v>
      </c>
      <c r="J1530" s="10">
        <v>3314.37</v>
      </c>
      <c r="K1530" s="10">
        <f t="shared" si="47"/>
        <v>3314.37</v>
      </c>
      <c r="L1530" s="2">
        <v>0.05</v>
      </c>
      <c r="M1530" s="2" t="s">
        <v>17</v>
      </c>
      <c r="N1530" s="2" t="s">
        <v>18</v>
      </c>
    </row>
    <row r="1531" spans="1:14" x14ac:dyDescent="0.2">
      <c r="A1531" s="13">
        <v>101526</v>
      </c>
      <c r="B1531" s="5">
        <v>45370</v>
      </c>
      <c r="C1531" s="5" t="str">
        <f t="shared" si="46"/>
        <v>Mar</v>
      </c>
      <c r="D1531" s="2" t="s">
        <v>98</v>
      </c>
      <c r="E1531" s="2" t="s">
        <v>37</v>
      </c>
      <c r="F1531" s="2" t="s">
        <v>69</v>
      </c>
      <c r="G1531" s="2" t="s">
        <v>50</v>
      </c>
      <c r="H1531" s="2" t="s">
        <v>62</v>
      </c>
      <c r="I1531" s="13">
        <v>11</v>
      </c>
      <c r="J1531" s="10">
        <v>2888.47</v>
      </c>
      <c r="K1531" s="10">
        <f t="shared" si="47"/>
        <v>31773.17</v>
      </c>
      <c r="L1531" s="2">
        <v>0.2</v>
      </c>
      <c r="M1531" s="2" t="s">
        <v>83</v>
      </c>
      <c r="N1531" s="2" t="s">
        <v>35</v>
      </c>
    </row>
    <row r="1532" spans="1:14" x14ac:dyDescent="0.2">
      <c r="A1532" s="13">
        <v>101292</v>
      </c>
      <c r="B1532" s="5">
        <v>45387</v>
      </c>
      <c r="C1532" s="5" t="str">
        <f t="shared" si="46"/>
        <v>Apr</v>
      </c>
      <c r="D1532" s="2" t="s">
        <v>836</v>
      </c>
      <c r="E1532" s="2" t="s">
        <v>140</v>
      </c>
      <c r="F1532" s="2" t="s">
        <v>49</v>
      </c>
      <c r="G1532" s="2" t="s">
        <v>50</v>
      </c>
      <c r="H1532" s="2" t="s">
        <v>62</v>
      </c>
      <c r="I1532" s="13">
        <v>10</v>
      </c>
      <c r="J1532" s="10">
        <v>10918.31</v>
      </c>
      <c r="K1532" s="10">
        <f t="shared" si="47"/>
        <v>109183.09999999999</v>
      </c>
      <c r="L1532" s="2">
        <v>0</v>
      </c>
      <c r="M1532" s="2" t="s">
        <v>83</v>
      </c>
      <c r="N1532" s="2" t="s">
        <v>42</v>
      </c>
    </row>
    <row r="1533" spans="1:14" x14ac:dyDescent="0.2">
      <c r="A1533" s="13">
        <v>100344</v>
      </c>
      <c r="B1533" s="5">
        <v>45533</v>
      </c>
      <c r="C1533" s="5" t="str">
        <f t="shared" si="46"/>
        <v>Aug</v>
      </c>
      <c r="D1533" s="2" t="s">
        <v>183</v>
      </c>
      <c r="E1533" s="2" t="s">
        <v>140</v>
      </c>
      <c r="F1533" s="2" t="s">
        <v>49</v>
      </c>
      <c r="G1533" s="2" t="s">
        <v>15</v>
      </c>
      <c r="H1533" s="2" t="s">
        <v>116</v>
      </c>
      <c r="I1533" s="13">
        <v>12</v>
      </c>
      <c r="J1533" s="10">
        <v>2501.79</v>
      </c>
      <c r="K1533" s="10">
        <f t="shared" si="47"/>
        <v>30021.48</v>
      </c>
      <c r="L1533" s="2">
        <v>0</v>
      </c>
      <c r="M1533" s="2" t="s">
        <v>41</v>
      </c>
      <c r="N1533" s="2" t="s">
        <v>18</v>
      </c>
    </row>
    <row r="1534" spans="1:14" x14ac:dyDescent="0.2">
      <c r="A1534" s="13">
        <v>101669</v>
      </c>
      <c r="B1534" s="5">
        <v>45398</v>
      </c>
      <c r="C1534" s="5" t="str">
        <f t="shared" si="46"/>
        <v>Apr</v>
      </c>
      <c r="D1534" s="2" t="s">
        <v>420</v>
      </c>
      <c r="E1534" s="2" t="s">
        <v>61</v>
      </c>
      <c r="F1534" s="2" t="s">
        <v>119</v>
      </c>
      <c r="G1534" s="2" t="s">
        <v>15</v>
      </c>
      <c r="H1534" s="2" t="s">
        <v>205</v>
      </c>
      <c r="I1534" s="13">
        <v>10</v>
      </c>
      <c r="J1534" s="10">
        <v>3733.88</v>
      </c>
      <c r="K1534" s="10">
        <f t="shared" si="47"/>
        <v>37338.800000000003</v>
      </c>
      <c r="L1534" s="2">
        <v>0.15</v>
      </c>
      <c r="M1534" s="2" t="s">
        <v>66</v>
      </c>
      <c r="N1534" s="2" t="s">
        <v>143</v>
      </c>
    </row>
    <row r="1535" spans="1:14" x14ac:dyDescent="0.2">
      <c r="A1535" s="13">
        <v>101594</v>
      </c>
      <c r="B1535" s="5">
        <v>45330</v>
      </c>
      <c r="C1535" s="5" t="str">
        <f t="shared" si="46"/>
        <v>Feb</v>
      </c>
      <c r="D1535" s="2" t="s">
        <v>963</v>
      </c>
      <c r="E1535" s="2" t="s">
        <v>61</v>
      </c>
      <c r="F1535" s="2" t="s">
        <v>14</v>
      </c>
      <c r="G1535" s="2" t="s">
        <v>50</v>
      </c>
      <c r="H1535" s="2" t="s">
        <v>99</v>
      </c>
      <c r="I1535" s="13">
        <v>8</v>
      </c>
      <c r="J1535" s="10">
        <v>5935.95</v>
      </c>
      <c r="K1535" s="10">
        <f t="shared" si="47"/>
        <v>47487.6</v>
      </c>
      <c r="L1535" s="2">
        <v>0.05</v>
      </c>
      <c r="M1535" s="2" t="s">
        <v>83</v>
      </c>
      <c r="N1535" s="2" t="s">
        <v>25</v>
      </c>
    </row>
    <row r="1536" spans="1:14" x14ac:dyDescent="0.2">
      <c r="A1536" s="13">
        <v>100294</v>
      </c>
      <c r="B1536" s="5">
        <v>45512</v>
      </c>
      <c r="C1536" s="5" t="str">
        <f t="shared" si="46"/>
        <v>Aug</v>
      </c>
      <c r="D1536" s="2" t="s">
        <v>683</v>
      </c>
      <c r="E1536" s="2" t="s">
        <v>27</v>
      </c>
      <c r="F1536" s="2" t="s">
        <v>133</v>
      </c>
      <c r="G1536" s="2" t="s">
        <v>22</v>
      </c>
      <c r="H1536" s="2" t="s">
        <v>75</v>
      </c>
      <c r="I1536" s="13">
        <v>6</v>
      </c>
      <c r="J1536" s="10">
        <v>1259.1500000000001</v>
      </c>
      <c r="K1536" s="10">
        <f t="shared" si="47"/>
        <v>7554.9000000000005</v>
      </c>
      <c r="L1536" s="2">
        <v>0</v>
      </c>
      <c r="M1536" s="2" t="s">
        <v>29</v>
      </c>
      <c r="N1536" s="2" t="s">
        <v>87</v>
      </c>
    </row>
    <row r="1537" spans="1:14" x14ac:dyDescent="0.2">
      <c r="A1537" s="13">
        <v>100365</v>
      </c>
      <c r="B1537" s="5">
        <v>45450</v>
      </c>
      <c r="C1537" s="5" t="str">
        <f t="shared" si="46"/>
        <v>Jun</v>
      </c>
      <c r="D1537" s="2" t="s">
        <v>805</v>
      </c>
      <c r="E1537" s="2" t="s">
        <v>61</v>
      </c>
      <c r="F1537" s="2" t="s">
        <v>119</v>
      </c>
      <c r="G1537" s="2" t="s">
        <v>15</v>
      </c>
      <c r="H1537" s="2" t="s">
        <v>16</v>
      </c>
      <c r="I1537" s="13">
        <v>2</v>
      </c>
      <c r="J1537" s="10">
        <v>14950.88</v>
      </c>
      <c r="K1537" s="10">
        <f t="shared" si="47"/>
        <v>29901.759999999998</v>
      </c>
      <c r="L1537" s="2">
        <v>0.1</v>
      </c>
      <c r="M1537" s="2" t="s">
        <v>29</v>
      </c>
      <c r="N1537" s="2" t="s">
        <v>35</v>
      </c>
    </row>
    <row r="1538" spans="1:14" x14ac:dyDescent="0.2">
      <c r="A1538" s="13">
        <v>100179</v>
      </c>
      <c r="B1538" s="5">
        <v>45626</v>
      </c>
      <c r="C1538" s="5" t="str">
        <f t="shared" ref="C1538:C1601" si="48">TEXT(B1538,"mmm")</f>
        <v>Nov</v>
      </c>
      <c r="D1538" s="2" t="s">
        <v>518</v>
      </c>
      <c r="E1538" s="2" t="s">
        <v>140</v>
      </c>
      <c r="F1538" s="2" t="s">
        <v>49</v>
      </c>
      <c r="G1538" s="2" t="s">
        <v>106</v>
      </c>
      <c r="H1538" s="2" t="s">
        <v>156</v>
      </c>
      <c r="I1538" s="13">
        <v>1</v>
      </c>
      <c r="J1538" s="10">
        <v>3118.38</v>
      </c>
      <c r="K1538" s="10">
        <f t="shared" ref="K1538:K1601" si="49">I1538*J1538</f>
        <v>3118.38</v>
      </c>
      <c r="L1538" s="2">
        <v>0.15</v>
      </c>
      <c r="M1538" s="2" t="s">
        <v>17</v>
      </c>
      <c r="N1538" s="2" t="s">
        <v>143</v>
      </c>
    </row>
    <row r="1539" spans="1:14" x14ac:dyDescent="0.2">
      <c r="A1539" s="13">
        <v>100660</v>
      </c>
      <c r="B1539" s="5">
        <v>45630</v>
      </c>
      <c r="C1539" s="5" t="str">
        <f t="shared" si="48"/>
        <v>Dec</v>
      </c>
      <c r="D1539" s="2" t="s">
        <v>411</v>
      </c>
      <c r="E1539" s="2" t="s">
        <v>37</v>
      </c>
      <c r="F1539" s="2" t="s">
        <v>38</v>
      </c>
      <c r="G1539" s="2" t="s">
        <v>106</v>
      </c>
      <c r="H1539" s="2" t="s">
        <v>156</v>
      </c>
      <c r="I1539" s="13">
        <v>2</v>
      </c>
      <c r="J1539" s="10">
        <v>2486.71</v>
      </c>
      <c r="K1539" s="10">
        <f t="shared" si="49"/>
        <v>4973.42</v>
      </c>
      <c r="L1539" s="2">
        <v>0.05</v>
      </c>
      <c r="M1539" s="2" t="s">
        <v>24</v>
      </c>
      <c r="N1539" s="2" t="s">
        <v>143</v>
      </c>
    </row>
    <row r="1540" spans="1:14" x14ac:dyDescent="0.2">
      <c r="A1540" s="13">
        <v>100997</v>
      </c>
      <c r="B1540" s="5">
        <v>45493</v>
      </c>
      <c r="C1540" s="5" t="str">
        <f t="shared" si="48"/>
        <v>Jul</v>
      </c>
      <c r="D1540" s="2" t="s">
        <v>351</v>
      </c>
      <c r="E1540" s="2" t="s">
        <v>27</v>
      </c>
      <c r="F1540" s="2" t="s">
        <v>133</v>
      </c>
      <c r="G1540" s="2" t="s">
        <v>50</v>
      </c>
      <c r="H1540" s="2" t="s">
        <v>99</v>
      </c>
      <c r="I1540" s="13">
        <v>7</v>
      </c>
      <c r="J1540" s="10">
        <v>1495.49</v>
      </c>
      <c r="K1540" s="10">
        <f t="shared" si="49"/>
        <v>10468.43</v>
      </c>
      <c r="L1540" s="2">
        <v>0</v>
      </c>
      <c r="M1540" s="2" t="s">
        <v>17</v>
      </c>
      <c r="N1540" s="2" t="s">
        <v>18</v>
      </c>
    </row>
    <row r="1541" spans="1:14" x14ac:dyDescent="0.2">
      <c r="A1541" s="13">
        <v>100015</v>
      </c>
      <c r="B1541" s="5">
        <v>45584</v>
      </c>
      <c r="C1541" s="5" t="str">
        <f t="shared" si="48"/>
        <v>Oct</v>
      </c>
      <c r="D1541" s="2" t="s">
        <v>631</v>
      </c>
      <c r="E1541" s="2" t="s">
        <v>37</v>
      </c>
      <c r="F1541" s="2" t="s">
        <v>69</v>
      </c>
      <c r="G1541" s="2" t="s">
        <v>50</v>
      </c>
      <c r="H1541" s="2" t="s">
        <v>51</v>
      </c>
      <c r="I1541" s="13">
        <v>11</v>
      </c>
      <c r="J1541" s="10">
        <v>11820.77</v>
      </c>
      <c r="K1541" s="10">
        <f t="shared" si="49"/>
        <v>130028.47</v>
      </c>
      <c r="L1541" s="2">
        <v>0</v>
      </c>
      <c r="M1541" s="2" t="s">
        <v>83</v>
      </c>
      <c r="N1541" s="2" t="s">
        <v>42</v>
      </c>
    </row>
    <row r="1542" spans="1:14" x14ac:dyDescent="0.2">
      <c r="A1542" s="13">
        <v>101111</v>
      </c>
      <c r="B1542" s="5">
        <v>45396</v>
      </c>
      <c r="C1542" s="5" t="str">
        <f t="shared" si="48"/>
        <v>Apr</v>
      </c>
      <c r="D1542" s="2" t="s">
        <v>294</v>
      </c>
      <c r="E1542" s="2" t="s">
        <v>61</v>
      </c>
      <c r="F1542" s="2" t="s">
        <v>14</v>
      </c>
      <c r="G1542" s="2" t="s">
        <v>50</v>
      </c>
      <c r="H1542" s="2" t="s">
        <v>62</v>
      </c>
      <c r="I1542" s="13">
        <v>7</v>
      </c>
      <c r="J1542" s="10">
        <v>10038.950000000001</v>
      </c>
      <c r="K1542" s="10">
        <f t="shared" si="49"/>
        <v>70272.650000000009</v>
      </c>
      <c r="L1542" s="2">
        <v>0</v>
      </c>
      <c r="M1542" s="2" t="s">
        <v>24</v>
      </c>
      <c r="N1542" s="2" t="s">
        <v>87</v>
      </c>
    </row>
    <row r="1543" spans="1:14" x14ac:dyDescent="0.2">
      <c r="A1543" s="13">
        <v>101395</v>
      </c>
      <c r="B1543" s="5">
        <v>45568</v>
      </c>
      <c r="C1543" s="5" t="str">
        <f t="shared" si="48"/>
        <v>Oct</v>
      </c>
      <c r="D1543" s="2" t="s">
        <v>619</v>
      </c>
      <c r="E1543" s="2" t="s">
        <v>27</v>
      </c>
      <c r="F1543" s="2" t="s">
        <v>21</v>
      </c>
      <c r="G1543" s="2" t="s">
        <v>50</v>
      </c>
      <c r="H1543" s="2" t="s">
        <v>62</v>
      </c>
      <c r="I1543" s="13">
        <v>10</v>
      </c>
      <c r="J1543" s="10">
        <v>9835.98</v>
      </c>
      <c r="K1543" s="10">
        <f t="shared" si="49"/>
        <v>98359.799999999988</v>
      </c>
      <c r="L1543" s="2">
        <v>0.15</v>
      </c>
      <c r="M1543" s="2" t="s">
        <v>83</v>
      </c>
      <c r="N1543" s="2" t="s">
        <v>52</v>
      </c>
    </row>
    <row r="1544" spans="1:14" x14ac:dyDescent="0.2">
      <c r="A1544" s="13">
        <v>100166</v>
      </c>
      <c r="B1544" s="5">
        <v>45514</v>
      </c>
      <c r="C1544" s="5" t="str">
        <f t="shared" si="48"/>
        <v>Aug</v>
      </c>
      <c r="D1544" s="2" t="s">
        <v>359</v>
      </c>
      <c r="E1544" s="2" t="s">
        <v>61</v>
      </c>
      <c r="F1544" s="2" t="s">
        <v>14</v>
      </c>
      <c r="G1544" s="2" t="s">
        <v>33</v>
      </c>
      <c r="H1544" s="2" t="s">
        <v>93</v>
      </c>
      <c r="I1544" s="13">
        <v>3</v>
      </c>
      <c r="J1544" s="10">
        <v>546.72</v>
      </c>
      <c r="K1544" s="10">
        <f t="shared" si="49"/>
        <v>1640.16</v>
      </c>
      <c r="L1544" s="2">
        <v>0</v>
      </c>
      <c r="M1544" s="2" t="s">
        <v>17</v>
      </c>
      <c r="N1544" s="2" t="s">
        <v>18</v>
      </c>
    </row>
    <row r="1545" spans="1:14" x14ac:dyDescent="0.2">
      <c r="A1545" s="13">
        <v>101901</v>
      </c>
      <c r="B1545" s="5">
        <v>45555</v>
      </c>
      <c r="C1545" s="5" t="str">
        <f t="shared" si="48"/>
        <v>Sep</v>
      </c>
      <c r="D1545" s="2" t="s">
        <v>816</v>
      </c>
      <c r="E1545" s="2" t="s">
        <v>27</v>
      </c>
      <c r="F1545" s="2" t="s">
        <v>21</v>
      </c>
      <c r="G1545" s="2" t="s">
        <v>45</v>
      </c>
      <c r="H1545" s="2" t="s">
        <v>149</v>
      </c>
      <c r="I1545" s="13">
        <v>2</v>
      </c>
      <c r="J1545" s="10">
        <v>40734.449999999997</v>
      </c>
      <c r="K1545" s="10">
        <f t="shared" si="49"/>
        <v>81468.899999999994</v>
      </c>
      <c r="L1545" s="2">
        <v>0</v>
      </c>
      <c r="M1545" s="2" t="s">
        <v>29</v>
      </c>
      <c r="N1545" s="2" t="s">
        <v>18</v>
      </c>
    </row>
    <row r="1546" spans="1:14" x14ac:dyDescent="0.2">
      <c r="A1546" s="13">
        <v>101360</v>
      </c>
      <c r="B1546" s="5">
        <v>45387</v>
      </c>
      <c r="C1546" s="5" t="str">
        <f t="shared" si="48"/>
        <v>Apr</v>
      </c>
      <c r="D1546" s="2" t="s">
        <v>315</v>
      </c>
      <c r="E1546" s="2" t="s">
        <v>31</v>
      </c>
      <c r="F1546" s="2" t="s">
        <v>54</v>
      </c>
      <c r="G1546" s="2" t="s">
        <v>64</v>
      </c>
      <c r="H1546" s="2" t="s">
        <v>242</v>
      </c>
      <c r="I1546" s="13"/>
      <c r="J1546" s="10">
        <v>864.97</v>
      </c>
      <c r="K1546" s="10">
        <f t="shared" si="49"/>
        <v>0</v>
      </c>
      <c r="L1546" s="2">
        <v>0.2</v>
      </c>
      <c r="M1546" s="2" t="s">
        <v>17</v>
      </c>
      <c r="N1546" s="2" t="s">
        <v>18</v>
      </c>
    </row>
    <row r="1547" spans="1:14" x14ac:dyDescent="0.2">
      <c r="A1547" s="13">
        <v>100060</v>
      </c>
      <c r="B1547" s="5">
        <v>45336</v>
      </c>
      <c r="C1547" s="5" t="str">
        <f t="shared" si="48"/>
        <v>Feb</v>
      </c>
      <c r="D1547" s="2" t="s">
        <v>857</v>
      </c>
      <c r="E1547" s="2" t="s">
        <v>61</v>
      </c>
      <c r="F1547" s="2" t="s">
        <v>119</v>
      </c>
      <c r="G1547" s="2" t="s">
        <v>15</v>
      </c>
      <c r="H1547" s="2" t="s">
        <v>16</v>
      </c>
      <c r="I1547" s="13">
        <v>3</v>
      </c>
      <c r="J1547" s="10">
        <v>3259.99</v>
      </c>
      <c r="K1547" s="10">
        <f t="shared" si="49"/>
        <v>9779.9699999999993</v>
      </c>
      <c r="L1547" s="2">
        <v>0</v>
      </c>
      <c r="M1547" s="2" t="s">
        <v>66</v>
      </c>
      <c r="N1547" s="2" t="s">
        <v>18</v>
      </c>
    </row>
    <row r="1548" spans="1:14" x14ac:dyDescent="0.2">
      <c r="A1548" s="13">
        <v>100710</v>
      </c>
      <c r="B1548" s="5">
        <v>45567</v>
      </c>
      <c r="C1548" s="5" t="str">
        <f t="shared" si="48"/>
        <v>Oct</v>
      </c>
      <c r="D1548" s="2" t="s">
        <v>337</v>
      </c>
      <c r="E1548" s="2" t="s">
        <v>31</v>
      </c>
      <c r="F1548" s="2" t="s">
        <v>54</v>
      </c>
      <c r="G1548" s="2" t="s">
        <v>45</v>
      </c>
      <c r="H1548" s="2" t="s">
        <v>153</v>
      </c>
      <c r="I1548" s="13">
        <v>6</v>
      </c>
      <c r="J1548" s="10">
        <v>30427.87</v>
      </c>
      <c r="K1548" s="10">
        <f t="shared" si="49"/>
        <v>182567.22</v>
      </c>
      <c r="L1548" s="2">
        <v>0.2</v>
      </c>
      <c r="M1548" s="2" t="s">
        <v>41</v>
      </c>
      <c r="N1548" s="2" t="s">
        <v>87</v>
      </c>
    </row>
    <row r="1549" spans="1:14" x14ac:dyDescent="0.2">
      <c r="A1549" s="13">
        <v>100677</v>
      </c>
      <c r="B1549" s="5">
        <v>45647</v>
      </c>
      <c r="C1549" s="5" t="str">
        <f t="shared" si="48"/>
        <v>Dec</v>
      </c>
      <c r="D1549" s="2" t="s">
        <v>1069</v>
      </c>
      <c r="E1549" s="2" t="s">
        <v>37</v>
      </c>
      <c r="F1549" s="2" t="s">
        <v>38</v>
      </c>
      <c r="G1549" s="2" t="s">
        <v>22</v>
      </c>
      <c r="H1549" s="2" t="s">
        <v>141</v>
      </c>
      <c r="I1549" s="13">
        <v>2</v>
      </c>
      <c r="J1549" s="10">
        <v>1722.87</v>
      </c>
      <c r="K1549" s="10">
        <f t="shared" si="49"/>
        <v>3445.74</v>
      </c>
      <c r="L1549" s="2">
        <v>0</v>
      </c>
      <c r="M1549" s="2" t="s">
        <v>83</v>
      </c>
      <c r="N1549" s="2" t="s">
        <v>35</v>
      </c>
    </row>
    <row r="1550" spans="1:14" x14ac:dyDescent="0.2">
      <c r="A1550" s="13">
        <v>101379</v>
      </c>
      <c r="B1550" s="5">
        <v>45537</v>
      </c>
      <c r="C1550" s="5" t="str">
        <f t="shared" si="48"/>
        <v>Sep</v>
      </c>
      <c r="D1550" s="2" t="s">
        <v>603</v>
      </c>
      <c r="E1550" s="2" t="s">
        <v>61</v>
      </c>
      <c r="F1550" s="2" t="s">
        <v>119</v>
      </c>
      <c r="G1550" s="2" t="s">
        <v>45</v>
      </c>
      <c r="H1550" s="2" t="s">
        <v>149</v>
      </c>
      <c r="I1550" s="13">
        <v>7</v>
      </c>
      <c r="J1550" s="10">
        <v>12926.41</v>
      </c>
      <c r="K1550" s="10">
        <f t="shared" si="49"/>
        <v>90484.87</v>
      </c>
      <c r="L1550" s="2">
        <v>0</v>
      </c>
      <c r="M1550" s="2" t="s">
        <v>83</v>
      </c>
      <c r="N1550" s="2" t="s">
        <v>143</v>
      </c>
    </row>
    <row r="1551" spans="1:14" x14ac:dyDescent="0.2">
      <c r="A1551" s="13">
        <v>100781</v>
      </c>
      <c r="B1551" s="5">
        <v>45440</v>
      </c>
      <c r="C1551" s="5" t="str">
        <f t="shared" si="48"/>
        <v>May</v>
      </c>
      <c r="D1551" s="2" t="s">
        <v>686</v>
      </c>
      <c r="E1551" s="2" t="s">
        <v>61</v>
      </c>
      <c r="F1551" s="2" t="s">
        <v>119</v>
      </c>
      <c r="G1551" s="2" t="s">
        <v>33</v>
      </c>
      <c r="H1551" s="2" t="s">
        <v>158</v>
      </c>
      <c r="I1551" s="13">
        <v>6</v>
      </c>
      <c r="J1551" s="10">
        <v>189.37</v>
      </c>
      <c r="K1551" s="10">
        <f t="shared" si="49"/>
        <v>1136.22</v>
      </c>
      <c r="L1551" s="2">
        <v>0</v>
      </c>
      <c r="M1551" s="2" t="s">
        <v>66</v>
      </c>
      <c r="N1551" s="2" t="s">
        <v>52</v>
      </c>
    </row>
    <row r="1552" spans="1:14" x14ac:dyDescent="0.2">
      <c r="A1552" s="13">
        <v>100425</v>
      </c>
      <c r="B1552" s="5">
        <v>45480</v>
      </c>
      <c r="C1552" s="5" t="str">
        <f t="shared" si="48"/>
        <v>Jul</v>
      </c>
      <c r="D1552" s="2" t="s">
        <v>650</v>
      </c>
      <c r="E1552" s="2" t="s">
        <v>27</v>
      </c>
      <c r="F1552" s="2" t="s">
        <v>21</v>
      </c>
      <c r="G1552" s="2" t="s">
        <v>45</v>
      </c>
      <c r="H1552" s="2" t="s">
        <v>46</v>
      </c>
      <c r="I1552" s="13">
        <v>3</v>
      </c>
      <c r="J1552" s="10">
        <v>17970.509999999998</v>
      </c>
      <c r="K1552" s="10">
        <f t="shared" si="49"/>
        <v>53911.53</v>
      </c>
      <c r="L1552" s="2">
        <v>0.25</v>
      </c>
      <c r="M1552" s="2" t="s">
        <v>17</v>
      </c>
      <c r="N1552" s="2" t="s">
        <v>18</v>
      </c>
    </row>
    <row r="1553" spans="1:14" x14ac:dyDescent="0.2">
      <c r="A1553" s="13">
        <v>100293</v>
      </c>
      <c r="B1553" s="5">
        <v>45400</v>
      </c>
      <c r="C1553" s="5" t="str">
        <f t="shared" si="48"/>
        <v>Apr</v>
      </c>
      <c r="D1553" s="2" t="s">
        <v>218</v>
      </c>
      <c r="E1553" s="2" t="s">
        <v>140</v>
      </c>
      <c r="F1553" s="2" t="s">
        <v>49</v>
      </c>
      <c r="G1553" s="2" t="s">
        <v>33</v>
      </c>
      <c r="H1553" s="2" t="s">
        <v>81</v>
      </c>
      <c r="I1553" s="13">
        <v>10</v>
      </c>
      <c r="J1553" s="10">
        <v>536.15</v>
      </c>
      <c r="K1553" s="10">
        <f t="shared" si="49"/>
        <v>5361.5</v>
      </c>
      <c r="L1553" s="2">
        <v>0</v>
      </c>
      <c r="M1553" s="2" t="s">
        <v>29</v>
      </c>
      <c r="N1553" s="2" t="s">
        <v>42</v>
      </c>
    </row>
    <row r="1554" spans="1:14" x14ac:dyDescent="0.2">
      <c r="A1554" s="13">
        <v>101066</v>
      </c>
      <c r="B1554" s="5">
        <v>45299</v>
      </c>
      <c r="C1554" s="5" t="str">
        <f t="shared" si="48"/>
        <v>Jan</v>
      </c>
      <c r="D1554" s="2" t="s">
        <v>596</v>
      </c>
      <c r="E1554" s="2" t="s">
        <v>27</v>
      </c>
      <c r="F1554" s="2" t="s">
        <v>21</v>
      </c>
      <c r="G1554" s="2" t="s">
        <v>45</v>
      </c>
      <c r="H1554" s="2" t="s">
        <v>97</v>
      </c>
      <c r="I1554" s="13">
        <v>11</v>
      </c>
      <c r="J1554" s="10">
        <v>36801.440000000002</v>
      </c>
      <c r="K1554" s="10">
        <f t="shared" si="49"/>
        <v>404815.84</v>
      </c>
      <c r="L1554" s="2">
        <v>0</v>
      </c>
      <c r="M1554" s="2" t="s">
        <v>17</v>
      </c>
      <c r="N1554" s="2" t="s">
        <v>121</v>
      </c>
    </row>
    <row r="1555" spans="1:14" x14ac:dyDescent="0.2">
      <c r="A1555" s="13">
        <v>100330</v>
      </c>
      <c r="B1555" s="5">
        <v>45657</v>
      </c>
      <c r="C1555" s="5" t="str">
        <f t="shared" si="48"/>
        <v>Dec</v>
      </c>
      <c r="D1555" s="2" t="s">
        <v>328</v>
      </c>
      <c r="E1555" s="2" t="s">
        <v>27</v>
      </c>
      <c r="F1555" s="2" t="s">
        <v>21</v>
      </c>
      <c r="G1555" s="2" t="s">
        <v>45</v>
      </c>
      <c r="H1555" s="2" t="s">
        <v>97</v>
      </c>
      <c r="I1555" s="13">
        <v>6</v>
      </c>
      <c r="J1555" s="10">
        <v>20157.3</v>
      </c>
      <c r="K1555" s="10">
        <f t="shared" si="49"/>
        <v>120943.79999999999</v>
      </c>
      <c r="L1555" s="2">
        <v>0</v>
      </c>
      <c r="M1555" s="2" t="s">
        <v>17</v>
      </c>
      <c r="N1555" s="2" t="s">
        <v>52</v>
      </c>
    </row>
    <row r="1556" spans="1:14" x14ac:dyDescent="0.2">
      <c r="A1556" s="13">
        <v>100430</v>
      </c>
      <c r="B1556" s="5">
        <v>45409</v>
      </c>
      <c r="C1556" s="5" t="str">
        <f t="shared" si="48"/>
        <v>Apr</v>
      </c>
      <c r="D1556" s="2" t="s">
        <v>168</v>
      </c>
      <c r="E1556" s="2" t="s">
        <v>61</v>
      </c>
      <c r="F1556" s="2" t="s">
        <v>14</v>
      </c>
      <c r="G1556" s="2" t="s">
        <v>22</v>
      </c>
      <c r="H1556" s="2" t="s">
        <v>141</v>
      </c>
      <c r="I1556" s="13">
        <v>11</v>
      </c>
      <c r="J1556" s="10">
        <v>1220.73</v>
      </c>
      <c r="K1556" s="10">
        <f t="shared" si="49"/>
        <v>13428.03</v>
      </c>
      <c r="L1556" s="2">
        <v>0.1</v>
      </c>
      <c r="M1556" s="2" t="s">
        <v>41</v>
      </c>
      <c r="N1556" s="2" t="s">
        <v>18</v>
      </c>
    </row>
    <row r="1557" spans="1:14" x14ac:dyDescent="0.2">
      <c r="A1557" s="13">
        <v>101013</v>
      </c>
      <c r="B1557" s="5">
        <v>45511</v>
      </c>
      <c r="C1557" s="5" t="str">
        <f t="shared" si="48"/>
        <v>Aug</v>
      </c>
      <c r="D1557" s="2" t="s">
        <v>855</v>
      </c>
      <c r="E1557" s="2" t="s">
        <v>61</v>
      </c>
      <c r="F1557" s="2" t="s">
        <v>14</v>
      </c>
      <c r="G1557" s="2" t="s">
        <v>33</v>
      </c>
      <c r="H1557" s="2" t="s">
        <v>93</v>
      </c>
      <c r="I1557" s="13">
        <v>7</v>
      </c>
      <c r="J1557" s="10">
        <v>58.39</v>
      </c>
      <c r="K1557" s="10">
        <f t="shared" si="49"/>
        <v>408.73</v>
      </c>
      <c r="L1557" s="2">
        <v>0</v>
      </c>
      <c r="M1557" s="2" t="s">
        <v>24</v>
      </c>
      <c r="N1557" s="2" t="s">
        <v>52</v>
      </c>
    </row>
    <row r="1558" spans="1:14" x14ac:dyDescent="0.2">
      <c r="A1558" s="13">
        <v>100080</v>
      </c>
      <c r="B1558" s="5">
        <v>45553</v>
      </c>
      <c r="C1558" s="5" t="str">
        <f t="shared" si="48"/>
        <v>Sep</v>
      </c>
      <c r="D1558" s="2" t="s">
        <v>853</v>
      </c>
      <c r="E1558" s="2" t="s">
        <v>37</v>
      </c>
      <c r="F1558" s="2" t="s">
        <v>38</v>
      </c>
      <c r="G1558" s="2" t="s">
        <v>15</v>
      </c>
      <c r="H1558" s="2" t="s">
        <v>205</v>
      </c>
      <c r="I1558" s="13">
        <v>9</v>
      </c>
      <c r="J1558" s="10">
        <v>20178.580000000002</v>
      </c>
      <c r="K1558" s="10">
        <f t="shared" si="49"/>
        <v>181607.22000000003</v>
      </c>
      <c r="L1558" s="2">
        <v>0</v>
      </c>
      <c r="M1558" s="2" t="s">
        <v>66</v>
      </c>
      <c r="N1558" s="2" t="s">
        <v>25</v>
      </c>
    </row>
    <row r="1559" spans="1:14" x14ac:dyDescent="0.2">
      <c r="A1559" s="13">
        <v>101053</v>
      </c>
      <c r="B1559" s="5">
        <v>45497</v>
      </c>
      <c r="C1559" s="5" t="str">
        <f t="shared" si="48"/>
        <v>Jul</v>
      </c>
      <c r="D1559" s="2" t="s">
        <v>533</v>
      </c>
      <c r="E1559" s="2" t="s">
        <v>37</v>
      </c>
      <c r="F1559" s="2" t="s">
        <v>38</v>
      </c>
      <c r="G1559" s="2" t="s">
        <v>22</v>
      </c>
      <c r="H1559" s="2" t="s">
        <v>145</v>
      </c>
      <c r="I1559" s="13">
        <v>4</v>
      </c>
      <c r="J1559" s="10">
        <v>3228.63</v>
      </c>
      <c r="K1559" s="10">
        <f t="shared" si="49"/>
        <v>12914.52</v>
      </c>
      <c r="L1559" s="2">
        <v>0</v>
      </c>
      <c r="M1559" s="2" t="s">
        <v>24</v>
      </c>
      <c r="N1559" s="2" t="s">
        <v>25</v>
      </c>
    </row>
    <row r="1560" spans="1:14" x14ac:dyDescent="0.2">
      <c r="A1560" s="13">
        <v>100938</v>
      </c>
      <c r="B1560" s="5">
        <v>45448</v>
      </c>
      <c r="C1560" s="5" t="str">
        <f t="shared" si="48"/>
        <v>Jun</v>
      </c>
      <c r="D1560" s="2" t="s">
        <v>504</v>
      </c>
      <c r="E1560" s="2" t="s">
        <v>61</v>
      </c>
      <c r="F1560" s="2" t="s">
        <v>119</v>
      </c>
      <c r="G1560" s="2" t="s">
        <v>33</v>
      </c>
      <c r="H1560" s="2" t="s">
        <v>81</v>
      </c>
      <c r="I1560" s="13">
        <v>3</v>
      </c>
      <c r="J1560" s="10">
        <v>171</v>
      </c>
      <c r="K1560" s="10">
        <f t="shared" si="49"/>
        <v>513</v>
      </c>
      <c r="L1560" s="2">
        <v>0.2</v>
      </c>
      <c r="M1560" s="2" t="s">
        <v>29</v>
      </c>
      <c r="N1560" s="2" t="s">
        <v>42</v>
      </c>
    </row>
    <row r="1561" spans="1:14" x14ac:dyDescent="0.2">
      <c r="A1561" s="13">
        <v>100835</v>
      </c>
      <c r="B1561" s="5">
        <v>45434</v>
      </c>
      <c r="C1561" s="5" t="str">
        <f t="shared" si="48"/>
        <v>May</v>
      </c>
      <c r="D1561" s="2" t="s">
        <v>309</v>
      </c>
      <c r="E1561" s="2" t="s">
        <v>31</v>
      </c>
      <c r="F1561" s="2" t="s">
        <v>54</v>
      </c>
      <c r="G1561" s="2" t="s">
        <v>50</v>
      </c>
      <c r="H1561" s="2" t="s">
        <v>56</v>
      </c>
      <c r="I1561" s="13">
        <v>2</v>
      </c>
      <c r="J1561" s="10">
        <v>7988.39</v>
      </c>
      <c r="K1561" s="10">
        <f t="shared" si="49"/>
        <v>15976.78</v>
      </c>
      <c r="L1561" s="2">
        <v>0.1</v>
      </c>
      <c r="M1561" s="2" t="s">
        <v>24</v>
      </c>
      <c r="N1561" s="2" t="s">
        <v>143</v>
      </c>
    </row>
    <row r="1562" spans="1:14" x14ac:dyDescent="0.2">
      <c r="A1562" s="13">
        <v>100750</v>
      </c>
      <c r="B1562" s="5">
        <v>45485</v>
      </c>
      <c r="C1562" s="5" t="str">
        <f t="shared" si="48"/>
        <v>Jul</v>
      </c>
      <c r="D1562" s="2" t="s">
        <v>463</v>
      </c>
      <c r="E1562" s="2" t="s">
        <v>140</v>
      </c>
      <c r="F1562" s="2" t="s">
        <v>49</v>
      </c>
      <c r="G1562" s="2" t="s">
        <v>50</v>
      </c>
      <c r="H1562" s="2" t="s">
        <v>99</v>
      </c>
      <c r="I1562" s="13">
        <v>-1</v>
      </c>
      <c r="J1562" s="10">
        <v>4673.2299999999996</v>
      </c>
      <c r="K1562" s="10">
        <f t="shared" si="49"/>
        <v>-4673.2299999999996</v>
      </c>
      <c r="L1562" s="2">
        <v>0.1</v>
      </c>
      <c r="M1562" s="2" t="s">
        <v>17</v>
      </c>
      <c r="N1562" s="2" t="s">
        <v>87</v>
      </c>
    </row>
    <row r="1563" spans="1:14" x14ac:dyDescent="0.2">
      <c r="A1563" s="13">
        <v>100891</v>
      </c>
      <c r="B1563" s="5">
        <v>45538</v>
      </c>
      <c r="C1563" s="5" t="str">
        <f t="shared" si="48"/>
        <v>Sep</v>
      </c>
      <c r="D1563" s="2" t="s">
        <v>761</v>
      </c>
      <c r="E1563" s="2" t="s">
        <v>27</v>
      </c>
      <c r="F1563" s="2" t="s">
        <v>133</v>
      </c>
      <c r="G1563" s="2" t="s">
        <v>45</v>
      </c>
      <c r="H1563" s="2" t="s">
        <v>153</v>
      </c>
      <c r="I1563" s="13">
        <v>11</v>
      </c>
      <c r="J1563" s="10">
        <v>0</v>
      </c>
      <c r="K1563" s="10">
        <f t="shared" si="49"/>
        <v>0</v>
      </c>
      <c r="L1563" s="2">
        <v>0</v>
      </c>
      <c r="M1563" s="2" t="s">
        <v>41</v>
      </c>
      <c r="N1563" s="2" t="s">
        <v>121</v>
      </c>
    </row>
    <row r="1564" spans="1:14" x14ac:dyDescent="0.2">
      <c r="A1564" s="13">
        <v>100255</v>
      </c>
      <c r="B1564" s="5">
        <v>45573</v>
      </c>
      <c r="C1564" s="5" t="str">
        <f t="shared" si="48"/>
        <v>Oct</v>
      </c>
      <c r="D1564" s="2" t="s">
        <v>187</v>
      </c>
      <c r="E1564" s="2" t="s">
        <v>37</v>
      </c>
      <c r="F1564" s="2" t="s">
        <v>38</v>
      </c>
      <c r="G1564" s="2" t="s">
        <v>45</v>
      </c>
      <c r="H1564" s="2" t="s">
        <v>71</v>
      </c>
      <c r="I1564" s="13">
        <v>10</v>
      </c>
      <c r="J1564" s="10">
        <v>28707.54</v>
      </c>
      <c r="K1564" s="10">
        <f t="shared" si="49"/>
        <v>287075.40000000002</v>
      </c>
      <c r="L1564" s="2">
        <v>0.15</v>
      </c>
      <c r="M1564" s="2" t="s">
        <v>41</v>
      </c>
      <c r="N1564" s="2" t="s">
        <v>52</v>
      </c>
    </row>
    <row r="1565" spans="1:14" x14ac:dyDescent="0.2">
      <c r="A1565" s="13">
        <v>101755</v>
      </c>
      <c r="B1565" s="5">
        <v>45478</v>
      </c>
      <c r="C1565" s="5" t="str">
        <f t="shared" si="48"/>
        <v>Jul</v>
      </c>
      <c r="D1565" s="2" t="s">
        <v>346</v>
      </c>
      <c r="E1565" s="2" t="s">
        <v>27</v>
      </c>
      <c r="F1565" s="2" t="s">
        <v>21</v>
      </c>
      <c r="G1565" s="2" t="s">
        <v>22</v>
      </c>
      <c r="H1565" s="2" t="s">
        <v>145</v>
      </c>
      <c r="I1565" s="13">
        <v>1</v>
      </c>
      <c r="J1565" s="10">
        <v>0</v>
      </c>
      <c r="K1565" s="10">
        <f t="shared" si="49"/>
        <v>0</v>
      </c>
      <c r="L1565" s="2">
        <v>0.2</v>
      </c>
      <c r="M1565" s="2" t="s">
        <v>41</v>
      </c>
      <c r="N1565" s="2" t="s">
        <v>52</v>
      </c>
    </row>
    <row r="1566" spans="1:14" x14ac:dyDescent="0.2">
      <c r="A1566" s="13">
        <v>101980</v>
      </c>
      <c r="B1566" s="5">
        <v>45357</v>
      </c>
      <c r="C1566" s="5" t="str">
        <f t="shared" si="48"/>
        <v>Mar</v>
      </c>
      <c r="D1566" s="2" t="s">
        <v>296</v>
      </c>
      <c r="E1566" s="2" t="s">
        <v>37</v>
      </c>
      <c r="F1566" s="2" t="s">
        <v>69</v>
      </c>
      <c r="G1566" s="2" t="s">
        <v>22</v>
      </c>
      <c r="H1566" s="2" t="s">
        <v>75</v>
      </c>
      <c r="I1566" s="13">
        <v>11</v>
      </c>
      <c r="J1566" s="10">
        <v>877.9</v>
      </c>
      <c r="K1566" s="10">
        <f t="shared" si="49"/>
        <v>9656.9</v>
      </c>
      <c r="L1566" s="2">
        <v>0</v>
      </c>
      <c r="M1566" s="2" t="s">
        <v>41</v>
      </c>
      <c r="N1566" s="2" t="s">
        <v>35</v>
      </c>
    </row>
    <row r="1567" spans="1:14" x14ac:dyDescent="0.2">
      <c r="A1567" s="13">
        <v>101408</v>
      </c>
      <c r="B1567" s="5">
        <v>45549</v>
      </c>
      <c r="C1567" s="5" t="str">
        <f t="shared" si="48"/>
        <v>Sep</v>
      </c>
      <c r="D1567" s="2" t="s">
        <v>760</v>
      </c>
      <c r="E1567" s="2" t="s">
        <v>27</v>
      </c>
      <c r="F1567" s="2" t="s">
        <v>21</v>
      </c>
      <c r="G1567" s="2" t="s">
        <v>22</v>
      </c>
      <c r="H1567" s="2" t="s">
        <v>145</v>
      </c>
      <c r="I1567" s="13">
        <v>5</v>
      </c>
      <c r="J1567" s="10">
        <v>998.63</v>
      </c>
      <c r="K1567" s="10">
        <f t="shared" si="49"/>
        <v>4993.1499999999996</v>
      </c>
      <c r="L1567" s="2">
        <v>0</v>
      </c>
      <c r="M1567" s="2" t="s">
        <v>29</v>
      </c>
      <c r="N1567" s="2" t="s">
        <v>42</v>
      </c>
    </row>
    <row r="1568" spans="1:14" x14ac:dyDescent="0.2">
      <c r="A1568" s="13">
        <v>101338</v>
      </c>
      <c r="B1568" s="5">
        <v>45335</v>
      </c>
      <c r="C1568" s="5" t="str">
        <f t="shared" si="48"/>
        <v>Feb</v>
      </c>
      <c r="D1568" s="2" t="s">
        <v>151</v>
      </c>
      <c r="E1568" s="2" t="s">
        <v>27</v>
      </c>
      <c r="F1568" s="2" t="s">
        <v>133</v>
      </c>
      <c r="G1568" s="2" t="s">
        <v>50</v>
      </c>
      <c r="H1568" s="2" t="s">
        <v>62</v>
      </c>
      <c r="I1568" s="13">
        <v>9</v>
      </c>
      <c r="J1568" s="10">
        <v>7084.15</v>
      </c>
      <c r="K1568" s="10">
        <f t="shared" si="49"/>
        <v>63757.35</v>
      </c>
      <c r="L1568" s="2">
        <v>0.2</v>
      </c>
      <c r="M1568" s="2" t="s">
        <v>24</v>
      </c>
      <c r="N1568" s="2" t="s">
        <v>143</v>
      </c>
    </row>
    <row r="1569" spans="1:14" x14ac:dyDescent="0.2">
      <c r="A1569" s="13">
        <v>101109</v>
      </c>
      <c r="B1569" s="5">
        <v>45624</v>
      </c>
      <c r="C1569" s="5" t="str">
        <f t="shared" si="48"/>
        <v>Nov</v>
      </c>
      <c r="D1569" s="2" t="s">
        <v>614</v>
      </c>
      <c r="E1569" s="2" t="s">
        <v>27</v>
      </c>
      <c r="F1569" s="2" t="s">
        <v>21</v>
      </c>
      <c r="G1569" s="2" t="s">
        <v>50</v>
      </c>
      <c r="H1569" s="2" t="s">
        <v>51</v>
      </c>
      <c r="I1569" s="13">
        <v>5</v>
      </c>
      <c r="J1569" s="10">
        <v>10599.09</v>
      </c>
      <c r="K1569" s="10">
        <f t="shared" si="49"/>
        <v>52995.45</v>
      </c>
      <c r="L1569" s="2">
        <v>0.05</v>
      </c>
      <c r="M1569" s="2" t="s">
        <v>66</v>
      </c>
      <c r="N1569" s="2" t="s">
        <v>52</v>
      </c>
    </row>
    <row r="1570" spans="1:14" x14ac:dyDescent="0.2">
      <c r="A1570" s="13">
        <v>100137</v>
      </c>
      <c r="B1570" s="5">
        <v>45626</v>
      </c>
      <c r="C1570" s="5" t="str">
        <f t="shared" si="48"/>
        <v>Nov</v>
      </c>
      <c r="D1570" s="2" t="s">
        <v>521</v>
      </c>
      <c r="E1570" s="2" t="s">
        <v>37</v>
      </c>
      <c r="F1570" s="2" t="s">
        <v>69</v>
      </c>
      <c r="G1570" s="2" t="s">
        <v>33</v>
      </c>
      <c r="H1570" s="2" t="s">
        <v>34</v>
      </c>
      <c r="I1570" s="13">
        <v>5</v>
      </c>
      <c r="J1570" s="10">
        <v>220.96</v>
      </c>
      <c r="K1570" s="10">
        <f t="shared" si="49"/>
        <v>1104.8</v>
      </c>
      <c r="L1570" s="2">
        <v>0</v>
      </c>
      <c r="M1570" s="2" t="s">
        <v>17</v>
      </c>
      <c r="N1570" s="2" t="s">
        <v>52</v>
      </c>
    </row>
    <row r="1571" spans="1:14" x14ac:dyDescent="0.2">
      <c r="A1571" s="13">
        <v>101136</v>
      </c>
      <c r="B1571" s="5">
        <v>45600</v>
      </c>
      <c r="C1571" s="5" t="str">
        <f t="shared" si="48"/>
        <v>Nov</v>
      </c>
      <c r="D1571" s="2" t="s">
        <v>526</v>
      </c>
      <c r="E1571" s="2" t="s">
        <v>37</v>
      </c>
      <c r="F1571" s="2" t="s">
        <v>38</v>
      </c>
      <c r="G1571" s="2" t="s">
        <v>22</v>
      </c>
      <c r="H1571" s="2" t="s">
        <v>23</v>
      </c>
      <c r="I1571" s="13">
        <v>2</v>
      </c>
      <c r="J1571" s="10">
        <v>1651.52</v>
      </c>
      <c r="K1571" s="10">
        <f t="shared" si="49"/>
        <v>3303.04</v>
      </c>
      <c r="L1571" s="2">
        <v>0</v>
      </c>
      <c r="M1571" s="2" t="s">
        <v>17</v>
      </c>
      <c r="N1571" s="2" t="s">
        <v>121</v>
      </c>
    </row>
    <row r="1572" spans="1:14" x14ac:dyDescent="0.2">
      <c r="A1572" s="13">
        <v>101219</v>
      </c>
      <c r="B1572" s="5">
        <v>45544</v>
      </c>
      <c r="C1572" s="5" t="str">
        <f t="shared" si="48"/>
        <v>Sep</v>
      </c>
      <c r="D1572" s="2" t="s">
        <v>739</v>
      </c>
      <c r="E1572" s="2" t="s">
        <v>27</v>
      </c>
      <c r="F1572" s="2" t="s">
        <v>133</v>
      </c>
      <c r="G1572" s="2" t="s">
        <v>50</v>
      </c>
      <c r="H1572" s="2" t="s">
        <v>99</v>
      </c>
      <c r="I1572" s="13">
        <v>10</v>
      </c>
      <c r="J1572" s="10">
        <v>4238.5</v>
      </c>
      <c r="K1572" s="10">
        <f t="shared" si="49"/>
        <v>42385</v>
      </c>
      <c r="L1572" s="2">
        <v>0</v>
      </c>
      <c r="M1572" s="2" t="s">
        <v>66</v>
      </c>
      <c r="N1572" s="2" t="s">
        <v>121</v>
      </c>
    </row>
    <row r="1573" spans="1:14" x14ac:dyDescent="0.2">
      <c r="A1573" s="13">
        <v>100853</v>
      </c>
      <c r="B1573" s="5">
        <v>45549</v>
      </c>
      <c r="C1573" s="5" t="str">
        <f t="shared" si="48"/>
        <v>Sep</v>
      </c>
      <c r="D1573" s="2" t="s">
        <v>877</v>
      </c>
      <c r="E1573" s="2" t="s">
        <v>140</v>
      </c>
      <c r="F1573" s="2" t="s">
        <v>79</v>
      </c>
      <c r="G1573" s="2" t="s">
        <v>33</v>
      </c>
      <c r="H1573" s="2" t="s">
        <v>34</v>
      </c>
      <c r="I1573" s="13">
        <v>6</v>
      </c>
      <c r="J1573" s="10">
        <v>390.31</v>
      </c>
      <c r="K1573" s="10">
        <f t="shared" si="49"/>
        <v>2341.86</v>
      </c>
      <c r="L1573" s="2">
        <v>0.25</v>
      </c>
      <c r="M1573" s="2" t="s">
        <v>83</v>
      </c>
      <c r="N1573" s="2" t="s">
        <v>52</v>
      </c>
    </row>
    <row r="1574" spans="1:14" x14ac:dyDescent="0.2">
      <c r="A1574" s="13">
        <v>101203</v>
      </c>
      <c r="B1574" s="5">
        <v>45610</v>
      </c>
      <c r="C1574" s="5" t="str">
        <f t="shared" si="48"/>
        <v>Nov</v>
      </c>
      <c r="D1574" s="2" t="s">
        <v>415</v>
      </c>
      <c r="E1574" s="2" t="s">
        <v>31</v>
      </c>
      <c r="F1574" s="2" t="s">
        <v>54</v>
      </c>
      <c r="G1574" s="2" t="s">
        <v>45</v>
      </c>
      <c r="H1574" s="2" t="s">
        <v>149</v>
      </c>
      <c r="I1574" s="13">
        <v>1</v>
      </c>
      <c r="J1574" s="10">
        <v>31480.47</v>
      </c>
      <c r="K1574" s="10">
        <f t="shared" si="49"/>
        <v>31480.47</v>
      </c>
      <c r="L1574" s="2">
        <v>0</v>
      </c>
      <c r="M1574" s="2" t="s">
        <v>83</v>
      </c>
      <c r="N1574" s="2" t="s">
        <v>52</v>
      </c>
    </row>
    <row r="1575" spans="1:14" x14ac:dyDescent="0.2">
      <c r="A1575" s="13">
        <v>101907</v>
      </c>
      <c r="B1575" s="5">
        <v>45414</v>
      </c>
      <c r="C1575" s="5" t="str">
        <f t="shared" si="48"/>
        <v>May</v>
      </c>
      <c r="D1575" s="2" t="s">
        <v>500</v>
      </c>
      <c r="E1575" s="2" t="s">
        <v>61</v>
      </c>
      <c r="F1575" s="2" t="s">
        <v>119</v>
      </c>
      <c r="G1575" s="2" t="s">
        <v>22</v>
      </c>
      <c r="H1575" s="2" t="s">
        <v>145</v>
      </c>
      <c r="I1575" s="13">
        <v>-1</v>
      </c>
      <c r="J1575" s="10">
        <v>455.46</v>
      </c>
      <c r="K1575" s="10">
        <f t="shared" si="49"/>
        <v>-455.46</v>
      </c>
      <c r="L1575" s="2">
        <v>0.2</v>
      </c>
      <c r="M1575" s="2" t="s">
        <v>24</v>
      </c>
      <c r="N1575" s="2" t="s">
        <v>52</v>
      </c>
    </row>
    <row r="1576" spans="1:14" x14ac:dyDescent="0.2">
      <c r="A1576" s="13">
        <v>100724</v>
      </c>
      <c r="B1576" s="5">
        <v>45496</v>
      </c>
      <c r="C1576" s="5" t="str">
        <f t="shared" si="48"/>
        <v>Jul</v>
      </c>
      <c r="D1576" s="2" t="s">
        <v>987</v>
      </c>
      <c r="E1576" s="2" t="s">
        <v>37</v>
      </c>
      <c r="F1576" s="2" t="s">
        <v>38</v>
      </c>
      <c r="G1576" s="2" t="s">
        <v>15</v>
      </c>
      <c r="H1576" s="2" t="s">
        <v>205</v>
      </c>
      <c r="I1576" s="13">
        <v>1</v>
      </c>
      <c r="J1576" s="10">
        <v>15391.25</v>
      </c>
      <c r="K1576" s="10">
        <f t="shared" si="49"/>
        <v>15391.25</v>
      </c>
      <c r="L1576" s="2">
        <v>0</v>
      </c>
      <c r="M1576" s="2" t="s">
        <v>83</v>
      </c>
      <c r="N1576" s="2" t="s">
        <v>87</v>
      </c>
    </row>
    <row r="1577" spans="1:14" x14ac:dyDescent="0.2">
      <c r="A1577" s="13">
        <v>100860</v>
      </c>
      <c r="B1577" s="5">
        <v>45296</v>
      </c>
      <c r="C1577" s="5" t="str">
        <f t="shared" si="48"/>
        <v>Jan</v>
      </c>
      <c r="D1577" s="2" t="s">
        <v>200</v>
      </c>
      <c r="E1577" s="2" t="s">
        <v>37</v>
      </c>
      <c r="F1577" s="2" t="s">
        <v>38</v>
      </c>
      <c r="G1577" s="2" t="s">
        <v>106</v>
      </c>
      <c r="H1577" s="2" t="s">
        <v>135</v>
      </c>
      <c r="I1577" s="13">
        <v>5</v>
      </c>
      <c r="J1577" s="10">
        <v>1835.97</v>
      </c>
      <c r="K1577" s="10">
        <f t="shared" si="49"/>
        <v>9179.85</v>
      </c>
      <c r="L1577" s="2">
        <v>0.25</v>
      </c>
      <c r="M1577" s="2" t="s">
        <v>41</v>
      </c>
      <c r="N1577" s="2" t="s">
        <v>143</v>
      </c>
    </row>
    <row r="1578" spans="1:14" x14ac:dyDescent="0.2">
      <c r="A1578" s="13">
        <v>100970</v>
      </c>
      <c r="B1578" s="5">
        <v>45347</v>
      </c>
      <c r="C1578" s="5" t="str">
        <f t="shared" si="48"/>
        <v>Feb</v>
      </c>
      <c r="D1578" s="2" t="s">
        <v>695</v>
      </c>
      <c r="E1578" s="2" t="s">
        <v>27</v>
      </c>
      <c r="F1578" s="2" t="s">
        <v>21</v>
      </c>
      <c r="G1578" s="2" t="s">
        <v>106</v>
      </c>
      <c r="H1578" s="2" t="s">
        <v>137</v>
      </c>
      <c r="I1578" s="13">
        <v>11</v>
      </c>
      <c r="J1578" s="10">
        <v>2529.0300000000002</v>
      </c>
      <c r="K1578" s="10">
        <f t="shared" si="49"/>
        <v>27819.33</v>
      </c>
      <c r="L1578" s="2">
        <v>0.05</v>
      </c>
      <c r="M1578" s="2" t="s">
        <v>29</v>
      </c>
      <c r="N1578" s="2" t="s">
        <v>143</v>
      </c>
    </row>
    <row r="1579" spans="1:14" x14ac:dyDescent="0.2">
      <c r="A1579" s="13">
        <v>100497</v>
      </c>
      <c r="B1579" s="5">
        <v>45389</v>
      </c>
      <c r="C1579" s="5" t="str">
        <f t="shared" si="48"/>
        <v>Apr</v>
      </c>
      <c r="D1579" s="2" t="s">
        <v>463</v>
      </c>
      <c r="E1579" s="2" t="s">
        <v>61</v>
      </c>
      <c r="F1579" s="2" t="s">
        <v>14</v>
      </c>
      <c r="G1579" s="2" t="s">
        <v>22</v>
      </c>
      <c r="H1579" s="2" t="s">
        <v>75</v>
      </c>
      <c r="I1579" s="13">
        <v>-2</v>
      </c>
      <c r="J1579" s="10">
        <v>0</v>
      </c>
      <c r="K1579" s="10">
        <f t="shared" si="49"/>
        <v>0</v>
      </c>
      <c r="L1579" s="2">
        <v>0</v>
      </c>
      <c r="M1579" s="2" t="s">
        <v>66</v>
      </c>
      <c r="N1579" s="2" t="s">
        <v>52</v>
      </c>
    </row>
    <row r="1580" spans="1:14" x14ac:dyDescent="0.2">
      <c r="A1580" s="13">
        <v>100951</v>
      </c>
      <c r="B1580" s="5">
        <v>45317</v>
      </c>
      <c r="C1580" s="5" t="str">
        <f t="shared" si="48"/>
        <v>Jan</v>
      </c>
      <c r="D1580" s="2" t="s">
        <v>462</v>
      </c>
      <c r="E1580" s="2" t="s">
        <v>61</v>
      </c>
      <c r="F1580" s="2" t="s">
        <v>14</v>
      </c>
      <c r="G1580" s="2" t="s">
        <v>33</v>
      </c>
      <c r="H1580" s="2" t="s">
        <v>81</v>
      </c>
      <c r="I1580" s="13">
        <v>11</v>
      </c>
      <c r="J1580" s="10">
        <v>127.45</v>
      </c>
      <c r="K1580" s="10">
        <f t="shared" si="49"/>
        <v>1401.95</v>
      </c>
      <c r="L1580" s="2">
        <v>0.15</v>
      </c>
      <c r="M1580" s="2" t="s">
        <v>41</v>
      </c>
      <c r="N1580" s="2" t="s">
        <v>18</v>
      </c>
    </row>
    <row r="1581" spans="1:14" x14ac:dyDescent="0.2">
      <c r="A1581" s="13">
        <v>100806</v>
      </c>
      <c r="B1581" s="5">
        <v>45376</v>
      </c>
      <c r="C1581" s="5" t="str">
        <f t="shared" si="48"/>
        <v>Mar</v>
      </c>
      <c r="D1581" s="2" t="s">
        <v>1069</v>
      </c>
      <c r="E1581" s="2" t="s">
        <v>140</v>
      </c>
      <c r="F1581" s="2" t="s">
        <v>49</v>
      </c>
      <c r="G1581" s="2" t="s">
        <v>45</v>
      </c>
      <c r="H1581" s="2" t="s">
        <v>149</v>
      </c>
      <c r="I1581" s="13">
        <v>8</v>
      </c>
      <c r="J1581" s="10">
        <v>17239.28</v>
      </c>
      <c r="K1581" s="10">
        <f t="shared" si="49"/>
        <v>137914.23999999999</v>
      </c>
      <c r="L1581" s="2">
        <v>0</v>
      </c>
      <c r="M1581" s="2" t="s">
        <v>17</v>
      </c>
      <c r="N1581" s="2" t="s">
        <v>52</v>
      </c>
    </row>
    <row r="1582" spans="1:14" x14ac:dyDescent="0.2">
      <c r="A1582" s="13">
        <v>100130</v>
      </c>
      <c r="B1582" s="5">
        <v>45603</v>
      </c>
      <c r="C1582" s="5" t="str">
        <f t="shared" si="48"/>
        <v>Nov</v>
      </c>
      <c r="D1582" s="2" t="s">
        <v>508</v>
      </c>
      <c r="E1582" s="2" t="s">
        <v>31</v>
      </c>
      <c r="F1582" s="2" t="s">
        <v>54</v>
      </c>
      <c r="G1582" s="2" t="s">
        <v>15</v>
      </c>
      <c r="H1582" s="2" t="s">
        <v>205</v>
      </c>
      <c r="I1582" s="13">
        <v>5</v>
      </c>
      <c r="J1582" s="10">
        <v>22289.4</v>
      </c>
      <c r="K1582" s="10">
        <f t="shared" si="49"/>
        <v>111447</v>
      </c>
      <c r="L1582" s="2">
        <v>0</v>
      </c>
      <c r="M1582" s="2" t="s">
        <v>17</v>
      </c>
      <c r="N1582" s="2" t="s">
        <v>25</v>
      </c>
    </row>
    <row r="1583" spans="1:14" x14ac:dyDescent="0.2">
      <c r="A1583" s="13">
        <v>100338</v>
      </c>
      <c r="B1583" s="5">
        <v>45498</v>
      </c>
      <c r="C1583" s="5" t="str">
        <f t="shared" si="48"/>
        <v>Jul</v>
      </c>
      <c r="D1583" s="2" t="s">
        <v>563</v>
      </c>
      <c r="E1583" s="2" t="s">
        <v>61</v>
      </c>
      <c r="F1583" s="2" t="s">
        <v>119</v>
      </c>
      <c r="G1583" s="2" t="s">
        <v>64</v>
      </c>
      <c r="H1583" s="2" t="s">
        <v>242</v>
      </c>
      <c r="I1583" s="13">
        <v>1</v>
      </c>
      <c r="J1583" s="10">
        <v>254.07</v>
      </c>
      <c r="K1583" s="10">
        <f t="shared" si="49"/>
        <v>254.07</v>
      </c>
      <c r="L1583" s="2">
        <v>0.2</v>
      </c>
      <c r="M1583" s="2" t="s">
        <v>83</v>
      </c>
      <c r="N1583" s="2" t="s">
        <v>121</v>
      </c>
    </row>
    <row r="1584" spans="1:14" x14ac:dyDescent="0.2">
      <c r="A1584" s="13">
        <v>100609</v>
      </c>
      <c r="B1584" s="5">
        <v>45309</v>
      </c>
      <c r="C1584" s="5" t="str">
        <f t="shared" si="48"/>
        <v>Jan</v>
      </c>
      <c r="D1584" s="2" t="s">
        <v>861</v>
      </c>
      <c r="E1584" s="2" t="s">
        <v>37</v>
      </c>
      <c r="F1584" s="2" t="s">
        <v>69</v>
      </c>
      <c r="G1584" s="2" t="s">
        <v>50</v>
      </c>
      <c r="H1584" s="2" t="s">
        <v>207</v>
      </c>
      <c r="I1584" s="13">
        <v>12</v>
      </c>
      <c r="J1584" s="10">
        <v>7858.57</v>
      </c>
      <c r="K1584" s="10">
        <f t="shared" si="49"/>
        <v>94302.84</v>
      </c>
      <c r="L1584" s="2">
        <v>0.1</v>
      </c>
      <c r="M1584" s="2" t="s">
        <v>24</v>
      </c>
      <c r="N1584" s="2" t="s">
        <v>25</v>
      </c>
    </row>
    <row r="1585" spans="1:14" x14ac:dyDescent="0.2">
      <c r="A1585" s="13">
        <v>101149</v>
      </c>
      <c r="B1585" s="5">
        <v>45465</v>
      </c>
      <c r="C1585" s="5" t="str">
        <f t="shared" si="48"/>
        <v>Jun</v>
      </c>
      <c r="D1585" s="2" t="s">
        <v>704</v>
      </c>
      <c r="E1585" s="2" t="s">
        <v>31</v>
      </c>
      <c r="F1585" s="2" t="s">
        <v>54</v>
      </c>
      <c r="G1585" s="2" t="s">
        <v>106</v>
      </c>
      <c r="H1585" s="2" t="s">
        <v>135</v>
      </c>
      <c r="I1585" s="13">
        <v>5</v>
      </c>
      <c r="J1585" s="10">
        <v>682.36</v>
      </c>
      <c r="K1585" s="10">
        <f t="shared" si="49"/>
        <v>3411.8</v>
      </c>
      <c r="L1585" s="2">
        <v>0</v>
      </c>
      <c r="M1585" s="2" t="s">
        <v>66</v>
      </c>
      <c r="N1585" s="2" t="s">
        <v>87</v>
      </c>
    </row>
    <row r="1586" spans="1:14" x14ac:dyDescent="0.2">
      <c r="A1586" s="13">
        <v>100196</v>
      </c>
      <c r="B1586" s="5">
        <v>45476</v>
      </c>
      <c r="C1586" s="5" t="str">
        <f t="shared" si="48"/>
        <v>Jul</v>
      </c>
      <c r="D1586" s="2" t="s">
        <v>862</v>
      </c>
      <c r="E1586" s="2" t="s">
        <v>61</v>
      </c>
      <c r="F1586" s="2" t="s">
        <v>14</v>
      </c>
      <c r="G1586" s="2" t="s">
        <v>33</v>
      </c>
      <c r="H1586" s="2" t="s">
        <v>81</v>
      </c>
      <c r="I1586" s="13">
        <v>5</v>
      </c>
      <c r="J1586" s="10">
        <v>253.72</v>
      </c>
      <c r="K1586" s="10">
        <f t="shared" si="49"/>
        <v>1268.5999999999999</v>
      </c>
      <c r="L1586" s="2">
        <v>0</v>
      </c>
      <c r="M1586" s="2" t="s">
        <v>66</v>
      </c>
      <c r="N1586" s="2" t="s">
        <v>121</v>
      </c>
    </row>
    <row r="1587" spans="1:14" x14ac:dyDescent="0.2">
      <c r="A1587" s="13">
        <v>101251</v>
      </c>
      <c r="B1587" s="5">
        <v>45373</v>
      </c>
      <c r="C1587" s="5" t="str">
        <f t="shared" si="48"/>
        <v>Mar</v>
      </c>
      <c r="D1587" s="2" t="s">
        <v>590</v>
      </c>
      <c r="E1587" s="2" t="s">
        <v>61</v>
      </c>
      <c r="F1587" s="2" t="s">
        <v>14</v>
      </c>
      <c r="G1587" s="2" t="s">
        <v>15</v>
      </c>
      <c r="H1587" s="2" t="s">
        <v>59</v>
      </c>
      <c r="I1587" s="13">
        <v>1</v>
      </c>
      <c r="J1587" s="10">
        <v>10961.07</v>
      </c>
      <c r="K1587" s="10">
        <f t="shared" si="49"/>
        <v>10961.07</v>
      </c>
      <c r="L1587" s="2">
        <v>0.2</v>
      </c>
      <c r="M1587" s="2" t="s">
        <v>83</v>
      </c>
      <c r="N1587" s="2" t="s">
        <v>35</v>
      </c>
    </row>
    <row r="1588" spans="1:14" x14ac:dyDescent="0.2">
      <c r="A1588" s="13">
        <v>101293</v>
      </c>
      <c r="B1588" s="5">
        <v>45522</v>
      </c>
      <c r="C1588" s="5" t="str">
        <f t="shared" si="48"/>
        <v>Aug</v>
      </c>
      <c r="D1588" s="2" t="s">
        <v>718</v>
      </c>
      <c r="E1588" s="2" t="s">
        <v>61</v>
      </c>
      <c r="F1588" s="2" t="s">
        <v>14</v>
      </c>
      <c r="G1588" s="2" t="s">
        <v>22</v>
      </c>
      <c r="H1588" s="2" t="s">
        <v>145</v>
      </c>
      <c r="I1588" s="13">
        <v>10</v>
      </c>
      <c r="J1588" s="10">
        <v>2605.02</v>
      </c>
      <c r="K1588" s="10">
        <f t="shared" si="49"/>
        <v>26050.2</v>
      </c>
      <c r="L1588" s="2">
        <v>0.05</v>
      </c>
      <c r="M1588" s="2" t="s">
        <v>17</v>
      </c>
      <c r="N1588" s="2" t="s">
        <v>143</v>
      </c>
    </row>
    <row r="1589" spans="1:14" x14ac:dyDescent="0.2">
      <c r="A1589" s="13">
        <v>102000</v>
      </c>
      <c r="B1589" s="5">
        <v>45636</v>
      </c>
      <c r="C1589" s="5" t="str">
        <f t="shared" si="48"/>
        <v>Dec</v>
      </c>
      <c r="D1589" s="2" t="s">
        <v>211</v>
      </c>
      <c r="E1589" s="2" t="s">
        <v>27</v>
      </c>
      <c r="F1589" s="2" t="s">
        <v>133</v>
      </c>
      <c r="G1589" s="2" t="s">
        <v>106</v>
      </c>
      <c r="H1589" s="2" t="s">
        <v>156</v>
      </c>
      <c r="I1589" s="13">
        <v>9</v>
      </c>
      <c r="J1589" s="10">
        <v>2521.9499999999998</v>
      </c>
      <c r="K1589" s="10">
        <f t="shared" si="49"/>
        <v>22697.55</v>
      </c>
      <c r="L1589" s="2">
        <v>0</v>
      </c>
      <c r="M1589" s="2" t="s">
        <v>24</v>
      </c>
      <c r="N1589" s="2" t="s">
        <v>143</v>
      </c>
    </row>
    <row r="1590" spans="1:14" x14ac:dyDescent="0.2">
      <c r="A1590" s="13">
        <v>100910</v>
      </c>
      <c r="B1590" s="5">
        <v>45337</v>
      </c>
      <c r="C1590" s="5" t="str">
        <f t="shared" si="48"/>
        <v>Feb</v>
      </c>
      <c r="D1590" s="2" t="s">
        <v>353</v>
      </c>
      <c r="E1590" s="2" t="s">
        <v>27</v>
      </c>
      <c r="F1590" s="2" t="s">
        <v>21</v>
      </c>
      <c r="G1590" s="2" t="s">
        <v>106</v>
      </c>
      <c r="H1590" s="2" t="s">
        <v>103</v>
      </c>
      <c r="I1590" s="13">
        <v>4</v>
      </c>
      <c r="J1590" s="10">
        <v>1013.21</v>
      </c>
      <c r="K1590" s="10">
        <f t="shared" si="49"/>
        <v>4052.84</v>
      </c>
      <c r="L1590" s="2">
        <v>0.1</v>
      </c>
      <c r="M1590" s="2" t="s">
        <v>24</v>
      </c>
      <c r="N1590" s="2" t="s">
        <v>143</v>
      </c>
    </row>
    <row r="1591" spans="1:14" x14ac:dyDescent="0.2">
      <c r="A1591" s="13">
        <v>100585</v>
      </c>
      <c r="B1591" s="5">
        <v>45561</v>
      </c>
      <c r="C1591" s="5" t="str">
        <f t="shared" si="48"/>
        <v>Sep</v>
      </c>
      <c r="D1591" s="2" t="s">
        <v>183</v>
      </c>
      <c r="E1591" s="2" t="s">
        <v>140</v>
      </c>
      <c r="F1591" s="2" t="s">
        <v>49</v>
      </c>
      <c r="G1591" s="2" t="s">
        <v>64</v>
      </c>
      <c r="H1591" s="2" t="s">
        <v>242</v>
      </c>
      <c r="I1591" s="13">
        <v>8</v>
      </c>
      <c r="J1591" s="10">
        <v>105.73</v>
      </c>
      <c r="K1591" s="10">
        <f t="shared" si="49"/>
        <v>845.84</v>
      </c>
      <c r="L1591" s="2">
        <v>0</v>
      </c>
      <c r="M1591" s="2" t="s">
        <v>66</v>
      </c>
      <c r="N1591" s="2" t="s">
        <v>35</v>
      </c>
    </row>
    <row r="1592" spans="1:14" x14ac:dyDescent="0.2">
      <c r="A1592" s="13">
        <v>100104</v>
      </c>
      <c r="B1592" s="5">
        <v>45303</v>
      </c>
      <c r="C1592" s="5" t="str">
        <f t="shared" si="48"/>
        <v>Jan</v>
      </c>
      <c r="D1592" s="2" t="s">
        <v>732</v>
      </c>
      <c r="E1592" s="2" t="s">
        <v>31</v>
      </c>
      <c r="F1592" s="2" t="s">
        <v>54</v>
      </c>
      <c r="G1592" s="2" t="s">
        <v>64</v>
      </c>
      <c r="H1592" s="2" t="s">
        <v>292</v>
      </c>
      <c r="I1592" s="13">
        <v>11</v>
      </c>
      <c r="J1592" s="10">
        <v>163.98</v>
      </c>
      <c r="K1592" s="10">
        <f t="shared" si="49"/>
        <v>1803.78</v>
      </c>
      <c r="L1592" s="2">
        <v>0.15</v>
      </c>
      <c r="M1592" s="2" t="s">
        <v>41</v>
      </c>
      <c r="N1592" s="2" t="s">
        <v>42</v>
      </c>
    </row>
    <row r="1593" spans="1:14" x14ac:dyDescent="0.2">
      <c r="A1593" s="13">
        <v>101618</v>
      </c>
      <c r="B1593" s="5">
        <v>45390</v>
      </c>
      <c r="C1593" s="5" t="str">
        <f t="shared" si="48"/>
        <v>Apr</v>
      </c>
      <c r="D1593" s="2" t="s">
        <v>314</v>
      </c>
      <c r="E1593" s="2" t="s">
        <v>27</v>
      </c>
      <c r="F1593" s="2" t="s">
        <v>21</v>
      </c>
      <c r="G1593" s="2" t="s">
        <v>22</v>
      </c>
      <c r="H1593" s="2" t="s">
        <v>75</v>
      </c>
      <c r="I1593" s="13">
        <v>6</v>
      </c>
      <c r="J1593" s="10">
        <v>3230.52</v>
      </c>
      <c r="K1593" s="10">
        <f t="shared" si="49"/>
        <v>19383.12</v>
      </c>
      <c r="L1593" s="2">
        <v>0</v>
      </c>
      <c r="M1593" s="2" t="s">
        <v>41</v>
      </c>
      <c r="N1593" s="2" t="s">
        <v>143</v>
      </c>
    </row>
    <row r="1594" spans="1:14" x14ac:dyDescent="0.2">
      <c r="A1594" s="13">
        <v>101870</v>
      </c>
      <c r="B1594" s="5">
        <v>45329</v>
      </c>
      <c r="C1594" s="5" t="str">
        <f t="shared" si="48"/>
        <v>Feb</v>
      </c>
      <c r="D1594" s="2" t="s">
        <v>1069</v>
      </c>
      <c r="E1594" s="2" t="s">
        <v>27</v>
      </c>
      <c r="F1594" s="2" t="s">
        <v>21</v>
      </c>
      <c r="G1594" s="2" t="s">
        <v>106</v>
      </c>
      <c r="H1594" s="2" t="s">
        <v>135</v>
      </c>
      <c r="I1594" s="13">
        <v>9</v>
      </c>
      <c r="J1594" s="10">
        <v>502.07</v>
      </c>
      <c r="K1594" s="10">
        <f t="shared" si="49"/>
        <v>4518.63</v>
      </c>
      <c r="L1594" s="2">
        <v>0</v>
      </c>
      <c r="M1594" s="2" t="s">
        <v>41</v>
      </c>
      <c r="N1594" s="2" t="s">
        <v>52</v>
      </c>
    </row>
    <row r="1595" spans="1:14" x14ac:dyDescent="0.2">
      <c r="A1595" s="13">
        <v>101889</v>
      </c>
      <c r="B1595" s="5">
        <v>45465</v>
      </c>
      <c r="C1595" s="5" t="str">
        <f t="shared" si="48"/>
        <v>Jun</v>
      </c>
      <c r="D1595" s="2" t="s">
        <v>990</v>
      </c>
      <c r="E1595" s="2" t="s">
        <v>37</v>
      </c>
      <c r="F1595" s="2" t="s">
        <v>69</v>
      </c>
      <c r="G1595" s="2" t="s">
        <v>45</v>
      </c>
      <c r="H1595" s="2" t="s">
        <v>46</v>
      </c>
      <c r="I1595" s="13">
        <v>11</v>
      </c>
      <c r="J1595" s="10">
        <v>16702.3</v>
      </c>
      <c r="K1595" s="10">
        <f t="shared" si="49"/>
        <v>183725.3</v>
      </c>
      <c r="L1595" s="2">
        <v>0.2</v>
      </c>
      <c r="M1595" s="2" t="s">
        <v>17</v>
      </c>
      <c r="N1595" s="2" t="s">
        <v>143</v>
      </c>
    </row>
    <row r="1596" spans="1:14" x14ac:dyDescent="0.2">
      <c r="A1596" s="13">
        <v>100720</v>
      </c>
      <c r="B1596" s="5">
        <v>45522</v>
      </c>
      <c r="C1596" s="5" t="str">
        <f t="shared" si="48"/>
        <v>Aug</v>
      </c>
      <c r="D1596" s="2" t="s">
        <v>200</v>
      </c>
      <c r="E1596" s="2" t="s">
        <v>27</v>
      </c>
      <c r="F1596" s="2" t="s">
        <v>133</v>
      </c>
      <c r="G1596" s="2" t="s">
        <v>15</v>
      </c>
      <c r="H1596" s="2" t="s">
        <v>16</v>
      </c>
      <c r="I1596" s="13">
        <v>-2</v>
      </c>
      <c r="J1596" s="10">
        <v>6465.92</v>
      </c>
      <c r="K1596" s="10">
        <f t="shared" si="49"/>
        <v>-12931.84</v>
      </c>
      <c r="L1596" s="2">
        <v>0.2</v>
      </c>
      <c r="M1596" s="2" t="s">
        <v>66</v>
      </c>
      <c r="N1596" s="2" t="s">
        <v>87</v>
      </c>
    </row>
    <row r="1597" spans="1:14" x14ac:dyDescent="0.2">
      <c r="A1597" s="13">
        <v>100885</v>
      </c>
      <c r="B1597" s="5">
        <v>45399</v>
      </c>
      <c r="C1597" s="5" t="str">
        <f t="shared" si="48"/>
        <v>Apr</v>
      </c>
      <c r="D1597" s="2" t="s">
        <v>504</v>
      </c>
      <c r="E1597" s="2" t="s">
        <v>31</v>
      </c>
      <c r="F1597" s="2" t="s">
        <v>54</v>
      </c>
      <c r="G1597" s="2" t="s">
        <v>64</v>
      </c>
      <c r="H1597" s="2" t="s">
        <v>40</v>
      </c>
      <c r="I1597" s="13">
        <v>5</v>
      </c>
      <c r="J1597" s="10">
        <v>391.17</v>
      </c>
      <c r="K1597" s="10">
        <f t="shared" si="49"/>
        <v>1955.8500000000001</v>
      </c>
      <c r="L1597" s="2">
        <v>0.15</v>
      </c>
      <c r="M1597" s="2" t="s">
        <v>24</v>
      </c>
      <c r="N1597" s="2" t="s">
        <v>25</v>
      </c>
    </row>
    <row r="1598" spans="1:14" x14ac:dyDescent="0.2">
      <c r="A1598" s="13">
        <v>100777</v>
      </c>
      <c r="B1598" s="5">
        <v>45529</v>
      </c>
      <c r="C1598" s="5" t="str">
        <f t="shared" si="48"/>
        <v>Aug</v>
      </c>
      <c r="D1598" s="2" t="s">
        <v>586</v>
      </c>
      <c r="E1598" s="2" t="s">
        <v>31</v>
      </c>
      <c r="F1598" s="2" t="s">
        <v>54</v>
      </c>
      <c r="G1598" s="2" t="s">
        <v>15</v>
      </c>
      <c r="H1598" s="2" t="s">
        <v>16</v>
      </c>
      <c r="I1598" s="13">
        <v>1</v>
      </c>
      <c r="J1598" s="10">
        <v>16006.11</v>
      </c>
      <c r="K1598" s="10">
        <f t="shared" si="49"/>
        <v>16006.11</v>
      </c>
      <c r="L1598" s="2">
        <v>0</v>
      </c>
      <c r="M1598" s="2" t="s">
        <v>29</v>
      </c>
      <c r="N1598" s="2" t="s">
        <v>52</v>
      </c>
    </row>
    <row r="1599" spans="1:14" x14ac:dyDescent="0.2">
      <c r="A1599" s="13">
        <v>101570</v>
      </c>
      <c r="B1599" s="5">
        <v>45341</v>
      </c>
      <c r="C1599" s="5" t="str">
        <f t="shared" si="48"/>
        <v>Feb</v>
      </c>
      <c r="D1599" s="2" t="s">
        <v>1069</v>
      </c>
      <c r="E1599" s="2" t="s">
        <v>61</v>
      </c>
      <c r="F1599" s="2" t="s">
        <v>119</v>
      </c>
      <c r="G1599" s="2" t="s">
        <v>106</v>
      </c>
      <c r="H1599" s="2" t="s">
        <v>156</v>
      </c>
      <c r="I1599" s="13">
        <v>7</v>
      </c>
      <c r="J1599" s="10">
        <v>3983.29</v>
      </c>
      <c r="K1599" s="10">
        <f t="shared" si="49"/>
        <v>27883.03</v>
      </c>
      <c r="L1599" s="2">
        <v>0</v>
      </c>
      <c r="M1599" s="2" t="s">
        <v>66</v>
      </c>
      <c r="N1599" s="2" t="s">
        <v>25</v>
      </c>
    </row>
    <row r="1600" spans="1:14" x14ac:dyDescent="0.2">
      <c r="A1600" s="13">
        <v>100850</v>
      </c>
      <c r="B1600" s="5">
        <v>45586</v>
      </c>
      <c r="C1600" s="5" t="str">
        <f t="shared" si="48"/>
        <v>Oct</v>
      </c>
      <c r="D1600" s="2" t="s">
        <v>803</v>
      </c>
      <c r="E1600" s="2" t="s">
        <v>61</v>
      </c>
      <c r="F1600" s="2" t="s">
        <v>14</v>
      </c>
      <c r="G1600" s="2" t="s">
        <v>45</v>
      </c>
      <c r="H1600" s="2" t="s">
        <v>149</v>
      </c>
      <c r="I1600" s="13">
        <v>10</v>
      </c>
      <c r="J1600" s="10">
        <v>25568.38</v>
      </c>
      <c r="K1600" s="10">
        <f t="shared" si="49"/>
        <v>255683.80000000002</v>
      </c>
      <c r="L1600" s="2">
        <v>0</v>
      </c>
      <c r="M1600" s="2" t="s">
        <v>24</v>
      </c>
      <c r="N1600" s="2" t="s">
        <v>35</v>
      </c>
    </row>
    <row r="1601" spans="1:14" x14ac:dyDescent="0.2">
      <c r="A1601" s="13">
        <v>100895</v>
      </c>
      <c r="B1601" s="5">
        <v>45504</v>
      </c>
      <c r="C1601" s="5" t="str">
        <f t="shared" si="48"/>
        <v>Jul</v>
      </c>
      <c r="D1601" s="2" t="s">
        <v>522</v>
      </c>
      <c r="E1601" s="2" t="s">
        <v>140</v>
      </c>
      <c r="F1601" s="2" t="s">
        <v>49</v>
      </c>
      <c r="G1601" s="2" t="s">
        <v>45</v>
      </c>
      <c r="H1601" s="2" t="s">
        <v>97</v>
      </c>
      <c r="I1601" s="13">
        <v>3</v>
      </c>
      <c r="J1601" s="10">
        <v>43961.36</v>
      </c>
      <c r="K1601" s="10">
        <f t="shared" si="49"/>
        <v>131884.08000000002</v>
      </c>
      <c r="L1601" s="2">
        <v>0</v>
      </c>
      <c r="M1601" s="2" t="s">
        <v>17</v>
      </c>
      <c r="N1601" s="2" t="s">
        <v>25</v>
      </c>
    </row>
    <row r="1602" spans="1:14" x14ac:dyDescent="0.2">
      <c r="A1602" s="13">
        <v>100228</v>
      </c>
      <c r="B1602" s="5">
        <v>45586</v>
      </c>
      <c r="C1602" s="5" t="str">
        <f t="shared" ref="C1602:C1665" si="50">TEXT(B1602,"mmm")</f>
        <v>Oct</v>
      </c>
      <c r="D1602" s="2" t="s">
        <v>351</v>
      </c>
      <c r="E1602" s="2" t="s">
        <v>31</v>
      </c>
      <c r="F1602" s="2" t="s">
        <v>54</v>
      </c>
      <c r="G1602" s="2" t="s">
        <v>15</v>
      </c>
      <c r="H1602" s="2" t="s">
        <v>205</v>
      </c>
      <c r="I1602" s="13">
        <v>10</v>
      </c>
      <c r="J1602" s="10">
        <v>14503.27</v>
      </c>
      <c r="K1602" s="10">
        <f t="shared" ref="K1602:K1665" si="51">I1602*J1602</f>
        <v>145032.70000000001</v>
      </c>
      <c r="L1602" s="2">
        <v>0</v>
      </c>
      <c r="M1602" s="2" t="s">
        <v>29</v>
      </c>
      <c r="N1602" s="2" t="s">
        <v>25</v>
      </c>
    </row>
    <row r="1603" spans="1:14" x14ac:dyDescent="0.2">
      <c r="A1603" s="13">
        <v>101903</v>
      </c>
      <c r="B1603" s="5">
        <v>45548</v>
      </c>
      <c r="C1603" s="5" t="str">
        <f t="shared" si="50"/>
        <v>Sep</v>
      </c>
      <c r="D1603" s="2" t="s">
        <v>1069</v>
      </c>
      <c r="E1603" s="2" t="s">
        <v>140</v>
      </c>
      <c r="F1603" s="2" t="s">
        <v>49</v>
      </c>
      <c r="G1603" s="2" t="s">
        <v>50</v>
      </c>
      <c r="H1603" s="2" t="s">
        <v>51</v>
      </c>
      <c r="I1603" s="13">
        <v>4</v>
      </c>
      <c r="J1603" s="10">
        <v>6272.67</v>
      </c>
      <c r="K1603" s="10">
        <f t="shared" si="51"/>
        <v>25090.68</v>
      </c>
      <c r="L1603" s="2">
        <v>0</v>
      </c>
      <c r="M1603" s="2" t="s">
        <v>17</v>
      </c>
      <c r="N1603" s="2" t="s">
        <v>42</v>
      </c>
    </row>
    <row r="1604" spans="1:14" x14ac:dyDescent="0.2">
      <c r="A1604" s="13">
        <v>101326</v>
      </c>
      <c r="B1604" s="5">
        <v>45572</v>
      </c>
      <c r="C1604" s="5" t="str">
        <f t="shared" si="50"/>
        <v>Oct</v>
      </c>
      <c r="D1604" s="2" t="s">
        <v>47</v>
      </c>
      <c r="E1604" s="2" t="s">
        <v>140</v>
      </c>
      <c r="F1604" s="2" t="s">
        <v>49</v>
      </c>
      <c r="G1604" s="2" t="s">
        <v>22</v>
      </c>
      <c r="H1604" s="2" t="s">
        <v>75</v>
      </c>
      <c r="I1604" s="13">
        <v>-1</v>
      </c>
      <c r="J1604" s="10">
        <v>2179.12</v>
      </c>
      <c r="K1604" s="10">
        <f t="shared" si="51"/>
        <v>-2179.12</v>
      </c>
      <c r="L1604" s="2">
        <v>0.1</v>
      </c>
      <c r="M1604" s="2" t="s">
        <v>83</v>
      </c>
      <c r="N1604" s="2" t="s">
        <v>18</v>
      </c>
    </row>
    <row r="1605" spans="1:14" x14ac:dyDescent="0.2">
      <c r="A1605" s="13">
        <v>101300</v>
      </c>
      <c r="B1605" s="5">
        <v>45455</v>
      </c>
      <c r="C1605" s="5" t="str">
        <f t="shared" si="50"/>
        <v>Jun</v>
      </c>
      <c r="D1605" s="2" t="s">
        <v>884</v>
      </c>
      <c r="E1605" s="2" t="s">
        <v>31</v>
      </c>
      <c r="F1605" s="2" t="s">
        <v>32</v>
      </c>
      <c r="G1605" s="2" t="s">
        <v>50</v>
      </c>
      <c r="H1605" s="2" t="s">
        <v>99</v>
      </c>
      <c r="I1605" s="13">
        <v>-2</v>
      </c>
      <c r="J1605" s="10">
        <v>989.98</v>
      </c>
      <c r="K1605" s="10">
        <f t="shared" si="51"/>
        <v>-1979.96</v>
      </c>
      <c r="L1605" s="2">
        <v>0.25</v>
      </c>
      <c r="M1605" s="2" t="s">
        <v>83</v>
      </c>
      <c r="N1605" s="2" t="s">
        <v>52</v>
      </c>
    </row>
    <row r="1606" spans="1:14" x14ac:dyDescent="0.2">
      <c r="A1606" s="13">
        <v>100127</v>
      </c>
      <c r="B1606" s="5">
        <v>45407</v>
      </c>
      <c r="C1606" s="5" t="str">
        <f t="shared" si="50"/>
        <v>Apr</v>
      </c>
      <c r="D1606" s="2" t="s">
        <v>775</v>
      </c>
      <c r="E1606" s="2" t="s">
        <v>61</v>
      </c>
      <c r="F1606" s="2" t="s">
        <v>119</v>
      </c>
      <c r="G1606" s="2" t="s">
        <v>22</v>
      </c>
      <c r="H1606" s="2" t="s">
        <v>141</v>
      </c>
      <c r="I1606" s="13">
        <v>11</v>
      </c>
      <c r="J1606" s="10">
        <v>1296.93</v>
      </c>
      <c r="K1606" s="10">
        <f t="shared" si="51"/>
        <v>14266.230000000001</v>
      </c>
      <c r="L1606" s="2">
        <v>0.2</v>
      </c>
      <c r="M1606" s="2" t="s">
        <v>17</v>
      </c>
      <c r="N1606" s="2" t="s">
        <v>25</v>
      </c>
    </row>
    <row r="1607" spans="1:14" x14ac:dyDescent="0.2">
      <c r="A1607" s="13">
        <v>100406</v>
      </c>
      <c r="B1607" s="5">
        <v>45574</v>
      </c>
      <c r="C1607" s="5" t="str">
        <f t="shared" si="50"/>
        <v>Oct</v>
      </c>
      <c r="D1607" s="2" t="s">
        <v>147</v>
      </c>
      <c r="E1607" s="2" t="s">
        <v>37</v>
      </c>
      <c r="F1607" s="2" t="s">
        <v>38</v>
      </c>
      <c r="G1607" s="2" t="s">
        <v>15</v>
      </c>
      <c r="H1607" s="2" t="s">
        <v>205</v>
      </c>
      <c r="I1607" s="13">
        <v>4</v>
      </c>
      <c r="J1607" s="10">
        <v>13560.12</v>
      </c>
      <c r="K1607" s="10">
        <f t="shared" si="51"/>
        <v>54240.480000000003</v>
      </c>
      <c r="L1607" s="2">
        <v>0</v>
      </c>
      <c r="M1607" s="2" t="s">
        <v>41</v>
      </c>
      <c r="N1607" s="2" t="s">
        <v>121</v>
      </c>
    </row>
    <row r="1608" spans="1:14" x14ac:dyDescent="0.2">
      <c r="A1608" s="13">
        <v>100776</v>
      </c>
      <c r="B1608" s="5">
        <v>45646</v>
      </c>
      <c r="C1608" s="5" t="str">
        <f t="shared" si="50"/>
        <v>Dec</v>
      </c>
      <c r="D1608" s="2" t="s">
        <v>500</v>
      </c>
      <c r="E1608" s="2" t="s">
        <v>37</v>
      </c>
      <c r="F1608" s="2" t="s">
        <v>38</v>
      </c>
      <c r="G1608" s="2" t="s">
        <v>45</v>
      </c>
      <c r="H1608" s="2" t="s">
        <v>111</v>
      </c>
      <c r="I1608" s="13">
        <v>9</v>
      </c>
      <c r="J1608" s="10">
        <v>39495.11</v>
      </c>
      <c r="K1608" s="10">
        <f t="shared" si="51"/>
        <v>355455.99</v>
      </c>
      <c r="L1608" s="2">
        <v>0.1</v>
      </c>
      <c r="M1608" s="2" t="s">
        <v>83</v>
      </c>
      <c r="N1608" s="2" t="s">
        <v>25</v>
      </c>
    </row>
    <row r="1609" spans="1:14" x14ac:dyDescent="0.2">
      <c r="A1609" s="13">
        <v>100822</v>
      </c>
      <c r="B1609" s="5">
        <v>45560</v>
      </c>
      <c r="C1609" s="5" t="str">
        <f t="shared" si="50"/>
        <v>Sep</v>
      </c>
      <c r="D1609" s="2" t="s">
        <v>281</v>
      </c>
      <c r="E1609" s="2" t="s">
        <v>37</v>
      </c>
      <c r="F1609" s="2" t="s">
        <v>69</v>
      </c>
      <c r="G1609" s="2" t="s">
        <v>106</v>
      </c>
      <c r="H1609" s="2" t="s">
        <v>135</v>
      </c>
      <c r="I1609" s="13">
        <v>9</v>
      </c>
      <c r="J1609" s="10">
        <v>4242.2299999999996</v>
      </c>
      <c r="K1609" s="10">
        <f t="shared" si="51"/>
        <v>38180.069999999992</v>
      </c>
      <c r="L1609" s="2">
        <v>0</v>
      </c>
      <c r="M1609" s="2" t="s">
        <v>66</v>
      </c>
      <c r="N1609" s="2" t="s">
        <v>42</v>
      </c>
    </row>
    <row r="1610" spans="1:14" x14ac:dyDescent="0.2">
      <c r="A1610" s="13">
        <v>100712</v>
      </c>
      <c r="B1610" s="5">
        <v>45566</v>
      </c>
      <c r="C1610" s="5" t="str">
        <f t="shared" si="50"/>
        <v>Oct</v>
      </c>
      <c r="D1610" s="2" t="s">
        <v>995</v>
      </c>
      <c r="E1610" s="2" t="s">
        <v>37</v>
      </c>
      <c r="F1610" s="2" t="s">
        <v>69</v>
      </c>
      <c r="G1610" s="2" t="s">
        <v>15</v>
      </c>
      <c r="H1610" s="2" t="s">
        <v>152</v>
      </c>
      <c r="I1610" s="13">
        <v>7</v>
      </c>
      <c r="J1610" s="10">
        <v>3124.98</v>
      </c>
      <c r="K1610" s="10">
        <f t="shared" si="51"/>
        <v>21874.86</v>
      </c>
      <c r="L1610" s="2">
        <v>0.2</v>
      </c>
      <c r="M1610" s="2" t="s">
        <v>29</v>
      </c>
      <c r="N1610" s="2" t="s">
        <v>18</v>
      </c>
    </row>
    <row r="1611" spans="1:14" x14ac:dyDescent="0.2">
      <c r="A1611" s="13">
        <v>101911</v>
      </c>
      <c r="B1611" s="5">
        <v>45491</v>
      </c>
      <c r="C1611" s="5" t="str">
        <f t="shared" si="50"/>
        <v>Jul</v>
      </c>
      <c r="D1611" s="2" t="s">
        <v>250</v>
      </c>
      <c r="E1611" s="2" t="s">
        <v>31</v>
      </c>
      <c r="F1611" s="2" t="s">
        <v>32</v>
      </c>
      <c r="G1611" s="2" t="s">
        <v>33</v>
      </c>
      <c r="H1611" s="2" t="s">
        <v>34</v>
      </c>
      <c r="I1611" s="13">
        <v>2</v>
      </c>
      <c r="J1611" s="10">
        <v>282.97000000000003</v>
      </c>
      <c r="K1611" s="10">
        <f t="shared" si="51"/>
        <v>565.94000000000005</v>
      </c>
      <c r="L1611" s="2">
        <v>0</v>
      </c>
      <c r="M1611" s="2" t="s">
        <v>83</v>
      </c>
      <c r="N1611" s="2" t="s">
        <v>143</v>
      </c>
    </row>
    <row r="1612" spans="1:14" x14ac:dyDescent="0.2">
      <c r="A1612" s="13">
        <v>101061</v>
      </c>
      <c r="B1612" s="5">
        <v>45457</v>
      </c>
      <c r="C1612" s="5" t="str">
        <f t="shared" si="50"/>
        <v>Jun</v>
      </c>
      <c r="D1612" s="2" t="s">
        <v>257</v>
      </c>
      <c r="E1612" s="2" t="s">
        <v>140</v>
      </c>
      <c r="F1612" s="2" t="s">
        <v>49</v>
      </c>
      <c r="G1612" s="2" t="s">
        <v>64</v>
      </c>
      <c r="H1612" s="2" t="s">
        <v>292</v>
      </c>
      <c r="I1612" s="13">
        <v>3</v>
      </c>
      <c r="J1612" s="10">
        <v>364.02</v>
      </c>
      <c r="K1612" s="10">
        <f t="shared" si="51"/>
        <v>1092.06</v>
      </c>
      <c r="L1612" s="2">
        <v>0.05</v>
      </c>
      <c r="M1612" s="2" t="s">
        <v>66</v>
      </c>
      <c r="N1612" s="2" t="s">
        <v>87</v>
      </c>
    </row>
    <row r="1613" spans="1:14" x14ac:dyDescent="0.2">
      <c r="A1613" s="13">
        <v>101164</v>
      </c>
      <c r="B1613" s="5">
        <v>45392</v>
      </c>
      <c r="C1613" s="5" t="str">
        <f t="shared" si="50"/>
        <v>Apr</v>
      </c>
      <c r="D1613" s="2" t="s">
        <v>212</v>
      </c>
      <c r="E1613" s="2" t="s">
        <v>140</v>
      </c>
      <c r="F1613" s="2" t="s">
        <v>79</v>
      </c>
      <c r="G1613" s="2" t="s">
        <v>50</v>
      </c>
      <c r="H1613" s="2" t="s">
        <v>62</v>
      </c>
      <c r="I1613" s="13">
        <v>1</v>
      </c>
      <c r="J1613" s="10">
        <v>11792.86</v>
      </c>
      <c r="K1613" s="10">
        <f t="shared" si="51"/>
        <v>11792.86</v>
      </c>
      <c r="L1613" s="2">
        <v>0</v>
      </c>
      <c r="M1613" s="2" t="s">
        <v>83</v>
      </c>
      <c r="N1613" s="2" t="s">
        <v>42</v>
      </c>
    </row>
    <row r="1614" spans="1:14" x14ac:dyDescent="0.2">
      <c r="A1614" s="13">
        <v>100304</v>
      </c>
      <c r="B1614" s="5">
        <v>45624</v>
      </c>
      <c r="C1614" s="5" t="str">
        <f t="shared" si="50"/>
        <v>Nov</v>
      </c>
      <c r="D1614" s="2" t="s">
        <v>94</v>
      </c>
      <c r="E1614" s="2" t="s">
        <v>37</v>
      </c>
      <c r="F1614" s="2" t="s">
        <v>38</v>
      </c>
      <c r="G1614" s="2" t="s">
        <v>106</v>
      </c>
      <c r="H1614" s="2" t="s">
        <v>135</v>
      </c>
      <c r="I1614" s="13">
        <v>11</v>
      </c>
      <c r="J1614" s="10">
        <v>2824.26</v>
      </c>
      <c r="K1614" s="10">
        <f t="shared" si="51"/>
        <v>31066.86</v>
      </c>
      <c r="L1614" s="2">
        <v>0</v>
      </c>
      <c r="M1614" s="2" t="s">
        <v>83</v>
      </c>
      <c r="N1614" s="2" t="s">
        <v>35</v>
      </c>
    </row>
    <row r="1615" spans="1:14" x14ac:dyDescent="0.2">
      <c r="A1615" s="13">
        <v>100268</v>
      </c>
      <c r="B1615" s="5">
        <v>45636</v>
      </c>
      <c r="C1615" s="5" t="str">
        <f t="shared" si="50"/>
        <v>Dec</v>
      </c>
      <c r="D1615" s="2" t="s">
        <v>723</v>
      </c>
      <c r="E1615" s="2" t="s">
        <v>27</v>
      </c>
      <c r="F1615" s="2" t="s">
        <v>21</v>
      </c>
      <c r="G1615" s="2" t="s">
        <v>15</v>
      </c>
      <c r="H1615" s="2" t="s">
        <v>152</v>
      </c>
      <c r="I1615" s="13">
        <v>11</v>
      </c>
      <c r="J1615" s="10">
        <v>16912.95</v>
      </c>
      <c r="K1615" s="10">
        <f t="shared" si="51"/>
        <v>186042.45</v>
      </c>
      <c r="L1615" s="2">
        <v>0</v>
      </c>
      <c r="M1615" s="2" t="s">
        <v>24</v>
      </c>
      <c r="N1615" s="2" t="s">
        <v>25</v>
      </c>
    </row>
    <row r="1616" spans="1:14" x14ac:dyDescent="0.2">
      <c r="A1616" s="13">
        <v>101558</v>
      </c>
      <c r="B1616" s="5">
        <v>45388</v>
      </c>
      <c r="C1616" s="5" t="str">
        <f t="shared" si="50"/>
        <v>Apr</v>
      </c>
      <c r="D1616" s="2" t="s">
        <v>1069</v>
      </c>
      <c r="E1616" s="2" t="s">
        <v>140</v>
      </c>
      <c r="F1616" s="2" t="s">
        <v>79</v>
      </c>
      <c r="G1616" s="2" t="s">
        <v>50</v>
      </c>
      <c r="H1616" s="2" t="s">
        <v>62</v>
      </c>
      <c r="I1616" s="13">
        <v>5</v>
      </c>
      <c r="J1616" s="10">
        <v>3081.88</v>
      </c>
      <c r="K1616" s="10">
        <f t="shared" si="51"/>
        <v>15409.400000000001</v>
      </c>
      <c r="L1616" s="2">
        <v>0</v>
      </c>
      <c r="M1616" s="2" t="s">
        <v>17</v>
      </c>
      <c r="N1616" s="2" t="s">
        <v>35</v>
      </c>
    </row>
    <row r="1617" spans="1:14" x14ac:dyDescent="0.2">
      <c r="A1617" s="13">
        <v>100546</v>
      </c>
      <c r="B1617" s="5">
        <v>45635</v>
      </c>
      <c r="C1617" s="5" t="str">
        <f t="shared" si="50"/>
        <v>Dec</v>
      </c>
      <c r="D1617" s="2" t="s">
        <v>233</v>
      </c>
      <c r="E1617" s="2" t="s">
        <v>27</v>
      </c>
      <c r="F1617" s="2" t="s">
        <v>21</v>
      </c>
      <c r="G1617" s="2" t="s">
        <v>50</v>
      </c>
      <c r="H1617" s="2" t="s">
        <v>56</v>
      </c>
      <c r="I1617" s="13">
        <v>1</v>
      </c>
      <c r="J1617" s="10">
        <v>2729.48</v>
      </c>
      <c r="K1617" s="10">
        <f t="shared" si="51"/>
        <v>2729.48</v>
      </c>
      <c r="L1617" s="2">
        <v>0.2</v>
      </c>
      <c r="M1617" s="2" t="s">
        <v>29</v>
      </c>
      <c r="N1617" s="2" t="s">
        <v>35</v>
      </c>
    </row>
    <row r="1618" spans="1:14" x14ac:dyDescent="0.2">
      <c r="A1618" s="13">
        <v>100213</v>
      </c>
      <c r="B1618" s="5">
        <v>45398</v>
      </c>
      <c r="C1618" s="5" t="str">
        <f t="shared" si="50"/>
        <v>Apr</v>
      </c>
      <c r="D1618" s="2" t="s">
        <v>219</v>
      </c>
      <c r="E1618" s="2" t="s">
        <v>31</v>
      </c>
      <c r="F1618" s="2" t="s">
        <v>54</v>
      </c>
      <c r="G1618" s="2" t="s">
        <v>45</v>
      </c>
      <c r="H1618" s="2" t="s">
        <v>153</v>
      </c>
      <c r="I1618" s="13">
        <v>4</v>
      </c>
      <c r="J1618" s="10">
        <v>31480.66</v>
      </c>
      <c r="K1618" s="10">
        <f t="shared" si="51"/>
        <v>125922.64</v>
      </c>
      <c r="L1618" s="2">
        <v>0.15</v>
      </c>
      <c r="M1618" s="2" t="s">
        <v>83</v>
      </c>
      <c r="N1618" s="2" t="s">
        <v>121</v>
      </c>
    </row>
    <row r="1619" spans="1:14" x14ac:dyDescent="0.2">
      <c r="A1619" s="13">
        <v>100897</v>
      </c>
      <c r="B1619" s="5">
        <v>45518</v>
      </c>
      <c r="C1619" s="5" t="str">
        <f t="shared" si="50"/>
        <v>Aug</v>
      </c>
      <c r="D1619" s="2" t="s">
        <v>765</v>
      </c>
      <c r="E1619" s="2" t="s">
        <v>27</v>
      </c>
      <c r="F1619" s="2" t="s">
        <v>21</v>
      </c>
      <c r="G1619" s="2" t="s">
        <v>15</v>
      </c>
      <c r="H1619" s="2" t="s">
        <v>16</v>
      </c>
      <c r="I1619" s="13">
        <v>5</v>
      </c>
      <c r="J1619" s="10">
        <v>2388.41</v>
      </c>
      <c r="K1619" s="10">
        <f t="shared" si="51"/>
        <v>11942.05</v>
      </c>
      <c r="L1619" s="2">
        <v>0</v>
      </c>
      <c r="M1619" s="2" t="s">
        <v>66</v>
      </c>
      <c r="N1619" s="2" t="s">
        <v>18</v>
      </c>
    </row>
    <row r="1620" spans="1:14" x14ac:dyDescent="0.2">
      <c r="A1620" s="13">
        <v>101493</v>
      </c>
      <c r="B1620" s="5">
        <v>45622</v>
      </c>
      <c r="C1620" s="5" t="str">
        <f t="shared" si="50"/>
        <v>Nov</v>
      </c>
      <c r="D1620" s="2" t="s">
        <v>521</v>
      </c>
      <c r="E1620" s="2" t="s">
        <v>31</v>
      </c>
      <c r="F1620" s="2" t="s">
        <v>32</v>
      </c>
      <c r="G1620" s="2" t="s">
        <v>64</v>
      </c>
      <c r="H1620" s="2" t="s">
        <v>242</v>
      </c>
      <c r="I1620" s="13">
        <v>9</v>
      </c>
      <c r="J1620" s="10">
        <v>464.31</v>
      </c>
      <c r="K1620" s="10">
        <f t="shared" si="51"/>
        <v>4178.79</v>
      </c>
      <c r="L1620" s="2">
        <v>0.2</v>
      </c>
      <c r="M1620" s="2" t="s">
        <v>29</v>
      </c>
      <c r="N1620" s="2" t="s">
        <v>143</v>
      </c>
    </row>
    <row r="1621" spans="1:14" x14ac:dyDescent="0.2">
      <c r="A1621" s="13">
        <v>101223</v>
      </c>
      <c r="B1621" s="5">
        <v>45371</v>
      </c>
      <c r="C1621" s="5" t="str">
        <f t="shared" si="50"/>
        <v>Mar</v>
      </c>
      <c r="D1621" s="2" t="s">
        <v>388</v>
      </c>
      <c r="E1621" s="2" t="s">
        <v>31</v>
      </c>
      <c r="F1621" s="2" t="s">
        <v>32</v>
      </c>
      <c r="G1621" s="2" t="s">
        <v>64</v>
      </c>
      <c r="H1621" s="2" t="s">
        <v>242</v>
      </c>
      <c r="I1621" s="13">
        <v>3</v>
      </c>
      <c r="J1621" s="10">
        <v>518.66</v>
      </c>
      <c r="K1621" s="10">
        <f t="shared" si="51"/>
        <v>1555.98</v>
      </c>
      <c r="L1621" s="2">
        <v>0</v>
      </c>
      <c r="M1621" s="2" t="s">
        <v>83</v>
      </c>
      <c r="N1621" s="2" t="s">
        <v>52</v>
      </c>
    </row>
    <row r="1622" spans="1:14" x14ac:dyDescent="0.2">
      <c r="A1622" s="13">
        <v>100917</v>
      </c>
      <c r="B1622" s="5">
        <v>45651</v>
      </c>
      <c r="C1622" s="5" t="str">
        <f t="shared" si="50"/>
        <v>Dec</v>
      </c>
      <c r="D1622" s="2" t="s">
        <v>998</v>
      </c>
      <c r="E1622" s="2" t="s">
        <v>140</v>
      </c>
      <c r="F1622" s="2" t="s">
        <v>79</v>
      </c>
      <c r="G1622" s="2" t="s">
        <v>15</v>
      </c>
      <c r="H1622" s="2" t="s">
        <v>116</v>
      </c>
      <c r="I1622" s="13">
        <v>1</v>
      </c>
      <c r="J1622" s="10">
        <v>15193.19</v>
      </c>
      <c r="K1622" s="10">
        <f t="shared" si="51"/>
        <v>15193.19</v>
      </c>
      <c r="L1622" s="2">
        <v>0.1</v>
      </c>
      <c r="M1622" s="2" t="s">
        <v>41</v>
      </c>
      <c r="N1622" s="2" t="s">
        <v>35</v>
      </c>
    </row>
    <row r="1623" spans="1:14" x14ac:dyDescent="0.2">
      <c r="A1623" s="13">
        <v>101552</v>
      </c>
      <c r="B1623" s="5">
        <v>45355</v>
      </c>
      <c r="C1623" s="5" t="str">
        <f t="shared" si="50"/>
        <v>Mar</v>
      </c>
      <c r="D1623" s="2" t="s">
        <v>528</v>
      </c>
      <c r="E1623" s="2" t="s">
        <v>31</v>
      </c>
      <c r="F1623" s="2" t="s">
        <v>32</v>
      </c>
      <c r="G1623" s="2" t="s">
        <v>33</v>
      </c>
      <c r="H1623" s="2" t="s">
        <v>93</v>
      </c>
      <c r="I1623" s="13">
        <v>6</v>
      </c>
      <c r="J1623" s="10">
        <v>32.619999999999997</v>
      </c>
      <c r="K1623" s="10">
        <f t="shared" si="51"/>
        <v>195.71999999999997</v>
      </c>
      <c r="L1623" s="2">
        <v>0</v>
      </c>
      <c r="M1623" s="2" t="s">
        <v>66</v>
      </c>
      <c r="N1623" s="2" t="s">
        <v>25</v>
      </c>
    </row>
    <row r="1624" spans="1:14" x14ac:dyDescent="0.2">
      <c r="A1624" s="13">
        <v>100676</v>
      </c>
      <c r="B1624" s="5">
        <v>45361</v>
      </c>
      <c r="C1624" s="5" t="str">
        <f t="shared" si="50"/>
        <v>Mar</v>
      </c>
      <c r="D1624" s="2" t="s">
        <v>666</v>
      </c>
      <c r="E1624" s="2" t="s">
        <v>27</v>
      </c>
      <c r="F1624" s="2" t="s">
        <v>133</v>
      </c>
      <c r="G1624" s="2" t="s">
        <v>45</v>
      </c>
      <c r="H1624" s="2" t="s">
        <v>111</v>
      </c>
      <c r="I1624" s="13">
        <v>9</v>
      </c>
      <c r="J1624" s="10">
        <v>7084.71</v>
      </c>
      <c r="K1624" s="10">
        <f t="shared" si="51"/>
        <v>63762.39</v>
      </c>
      <c r="L1624" s="2">
        <v>0.25</v>
      </c>
      <c r="M1624" s="2" t="s">
        <v>17</v>
      </c>
      <c r="N1624" s="2" t="s">
        <v>35</v>
      </c>
    </row>
    <row r="1625" spans="1:14" x14ac:dyDescent="0.2">
      <c r="A1625" s="13">
        <v>101290</v>
      </c>
      <c r="B1625" s="5">
        <v>45652</v>
      </c>
      <c r="C1625" s="5" t="str">
        <f t="shared" si="50"/>
        <v>Dec</v>
      </c>
      <c r="D1625" s="2" t="s">
        <v>819</v>
      </c>
      <c r="E1625" s="2" t="s">
        <v>61</v>
      </c>
      <c r="F1625" s="2" t="s">
        <v>14</v>
      </c>
      <c r="G1625" s="2" t="s">
        <v>50</v>
      </c>
      <c r="H1625" s="2" t="s">
        <v>51</v>
      </c>
      <c r="I1625" s="13">
        <v>7</v>
      </c>
      <c r="J1625" s="10">
        <v>11689.78</v>
      </c>
      <c r="K1625" s="10">
        <f t="shared" si="51"/>
        <v>81828.460000000006</v>
      </c>
      <c r="L1625" s="2">
        <v>0</v>
      </c>
      <c r="M1625" s="2" t="s">
        <v>66</v>
      </c>
      <c r="N1625" s="2" t="s">
        <v>35</v>
      </c>
    </row>
    <row r="1626" spans="1:14" x14ac:dyDescent="0.2">
      <c r="A1626" s="13">
        <v>100815</v>
      </c>
      <c r="B1626" s="5">
        <v>45346</v>
      </c>
      <c r="C1626" s="5" t="str">
        <f t="shared" si="50"/>
        <v>Feb</v>
      </c>
      <c r="D1626" s="2" t="s">
        <v>200</v>
      </c>
      <c r="E1626" s="2" t="s">
        <v>31</v>
      </c>
      <c r="F1626" s="2" t="s">
        <v>54</v>
      </c>
      <c r="G1626" s="2" t="s">
        <v>45</v>
      </c>
      <c r="H1626" s="2" t="s">
        <v>71</v>
      </c>
      <c r="I1626" s="13">
        <v>1</v>
      </c>
      <c r="J1626" s="10">
        <v>43062.16</v>
      </c>
      <c r="K1626" s="10">
        <f t="shared" si="51"/>
        <v>43062.16</v>
      </c>
      <c r="L1626" s="2">
        <v>0.05</v>
      </c>
      <c r="M1626" s="2" t="s">
        <v>29</v>
      </c>
      <c r="N1626" s="2" t="s">
        <v>52</v>
      </c>
    </row>
    <row r="1627" spans="1:14" x14ac:dyDescent="0.2">
      <c r="A1627" s="13">
        <v>101266</v>
      </c>
      <c r="B1627" s="5">
        <v>45292</v>
      </c>
      <c r="C1627" s="5" t="str">
        <f t="shared" si="50"/>
        <v>Jan</v>
      </c>
      <c r="D1627" s="2" t="s">
        <v>822</v>
      </c>
      <c r="E1627" s="2" t="s">
        <v>31</v>
      </c>
      <c r="F1627" s="2" t="s">
        <v>32</v>
      </c>
      <c r="G1627" s="2" t="s">
        <v>33</v>
      </c>
      <c r="H1627" s="2" t="s">
        <v>158</v>
      </c>
      <c r="I1627" s="13">
        <v>12</v>
      </c>
      <c r="J1627" s="10">
        <v>324.86</v>
      </c>
      <c r="K1627" s="10">
        <f t="shared" si="51"/>
        <v>3898.32</v>
      </c>
      <c r="L1627" s="2">
        <v>0</v>
      </c>
      <c r="M1627" s="2" t="s">
        <v>41</v>
      </c>
      <c r="N1627" s="2" t="s">
        <v>143</v>
      </c>
    </row>
    <row r="1628" spans="1:14" x14ac:dyDescent="0.2">
      <c r="A1628" s="13">
        <v>100343</v>
      </c>
      <c r="B1628" s="5">
        <v>45352</v>
      </c>
      <c r="C1628" s="5" t="str">
        <f t="shared" si="50"/>
        <v>Mar</v>
      </c>
      <c r="D1628" s="2" t="s">
        <v>435</v>
      </c>
      <c r="E1628" s="2" t="s">
        <v>37</v>
      </c>
      <c r="F1628" s="2" t="s">
        <v>69</v>
      </c>
      <c r="G1628" s="2" t="s">
        <v>50</v>
      </c>
      <c r="H1628" s="2" t="s">
        <v>207</v>
      </c>
      <c r="I1628" s="13">
        <v>2</v>
      </c>
      <c r="J1628" s="10">
        <v>2288.4899999999998</v>
      </c>
      <c r="K1628" s="10">
        <f t="shared" si="51"/>
        <v>4576.9799999999996</v>
      </c>
      <c r="L1628" s="2">
        <v>0.05</v>
      </c>
      <c r="M1628" s="2" t="s">
        <v>66</v>
      </c>
      <c r="N1628" s="2" t="s">
        <v>42</v>
      </c>
    </row>
    <row r="1629" spans="1:14" x14ac:dyDescent="0.2">
      <c r="A1629" s="13">
        <v>100550</v>
      </c>
      <c r="B1629" s="5">
        <v>45428</v>
      </c>
      <c r="C1629" s="5" t="str">
        <f t="shared" si="50"/>
        <v>May</v>
      </c>
      <c r="D1629" s="2" t="s">
        <v>512</v>
      </c>
      <c r="E1629" s="2" t="s">
        <v>27</v>
      </c>
      <c r="F1629" s="2" t="s">
        <v>21</v>
      </c>
      <c r="G1629" s="2" t="s">
        <v>64</v>
      </c>
      <c r="H1629" s="2" t="s">
        <v>114</v>
      </c>
      <c r="I1629" s="13">
        <v>9</v>
      </c>
      <c r="J1629" s="10">
        <v>426.87</v>
      </c>
      <c r="K1629" s="10">
        <f t="shared" si="51"/>
        <v>3841.83</v>
      </c>
      <c r="L1629" s="2">
        <v>0</v>
      </c>
      <c r="M1629" s="2" t="s">
        <v>83</v>
      </c>
      <c r="N1629" s="2" t="s">
        <v>143</v>
      </c>
    </row>
    <row r="1630" spans="1:14" x14ac:dyDescent="0.2">
      <c r="A1630" s="13">
        <v>101411</v>
      </c>
      <c r="B1630" s="5">
        <v>45552</v>
      </c>
      <c r="C1630" s="5" t="str">
        <f t="shared" si="50"/>
        <v>Sep</v>
      </c>
      <c r="D1630" s="2" t="s">
        <v>728</v>
      </c>
      <c r="E1630" s="2" t="s">
        <v>37</v>
      </c>
      <c r="F1630" s="2" t="s">
        <v>69</v>
      </c>
      <c r="G1630" s="2" t="s">
        <v>33</v>
      </c>
      <c r="H1630" s="2" t="s">
        <v>158</v>
      </c>
      <c r="I1630" s="13">
        <v>7</v>
      </c>
      <c r="J1630" s="10">
        <v>55.76</v>
      </c>
      <c r="K1630" s="10">
        <f t="shared" si="51"/>
        <v>390.32</v>
      </c>
      <c r="L1630" s="2">
        <v>0</v>
      </c>
      <c r="M1630" s="2" t="s">
        <v>83</v>
      </c>
      <c r="N1630" s="2" t="s">
        <v>35</v>
      </c>
    </row>
    <row r="1631" spans="1:14" x14ac:dyDescent="0.2">
      <c r="A1631" s="13">
        <v>101215</v>
      </c>
      <c r="B1631" s="5">
        <v>45484</v>
      </c>
      <c r="C1631" s="5" t="str">
        <f t="shared" si="50"/>
        <v>Jul</v>
      </c>
      <c r="D1631" s="2" t="s">
        <v>656</v>
      </c>
      <c r="E1631" s="2" t="s">
        <v>27</v>
      </c>
      <c r="F1631" s="2" t="s">
        <v>21</v>
      </c>
      <c r="G1631" s="2" t="s">
        <v>50</v>
      </c>
      <c r="H1631" s="2" t="s">
        <v>62</v>
      </c>
      <c r="I1631" s="13">
        <v>1</v>
      </c>
      <c r="J1631" s="10">
        <v>7612.48</v>
      </c>
      <c r="K1631" s="10">
        <f t="shared" si="51"/>
        <v>7612.48</v>
      </c>
      <c r="L1631" s="2">
        <v>0</v>
      </c>
      <c r="M1631" s="2" t="s">
        <v>24</v>
      </c>
      <c r="N1631" s="2" t="s">
        <v>25</v>
      </c>
    </row>
    <row r="1632" spans="1:14" x14ac:dyDescent="0.2">
      <c r="A1632" s="13">
        <v>100967</v>
      </c>
      <c r="B1632" s="5">
        <v>45563</v>
      </c>
      <c r="C1632" s="5" t="str">
        <f t="shared" si="50"/>
        <v>Sep</v>
      </c>
      <c r="D1632" s="2" t="s">
        <v>464</v>
      </c>
      <c r="E1632" s="2" t="s">
        <v>31</v>
      </c>
      <c r="F1632" s="2" t="s">
        <v>32</v>
      </c>
      <c r="G1632" s="2" t="s">
        <v>22</v>
      </c>
      <c r="H1632" s="2" t="s">
        <v>23</v>
      </c>
      <c r="I1632" s="13"/>
      <c r="J1632" s="10">
        <v>0</v>
      </c>
      <c r="K1632" s="10">
        <f t="shared" si="51"/>
        <v>0</v>
      </c>
      <c r="L1632" s="2">
        <v>0</v>
      </c>
      <c r="M1632" s="2" t="s">
        <v>83</v>
      </c>
      <c r="N1632" s="2" t="s">
        <v>52</v>
      </c>
    </row>
    <row r="1633" spans="1:14" x14ac:dyDescent="0.2">
      <c r="A1633" s="13">
        <v>101231</v>
      </c>
      <c r="B1633" s="5">
        <v>45325</v>
      </c>
      <c r="C1633" s="5" t="str">
        <f t="shared" si="50"/>
        <v>Feb</v>
      </c>
      <c r="D1633" s="2" t="s">
        <v>366</v>
      </c>
      <c r="E1633" s="2" t="s">
        <v>27</v>
      </c>
      <c r="F1633" s="2" t="s">
        <v>21</v>
      </c>
      <c r="G1633" s="2" t="s">
        <v>33</v>
      </c>
      <c r="H1633" s="2" t="s">
        <v>93</v>
      </c>
      <c r="I1633" s="13">
        <v>10</v>
      </c>
      <c r="J1633" s="10">
        <v>160.30000000000001</v>
      </c>
      <c r="K1633" s="10">
        <f t="shared" si="51"/>
        <v>1603</v>
      </c>
      <c r="L1633" s="2">
        <v>0</v>
      </c>
      <c r="M1633" s="2" t="s">
        <v>41</v>
      </c>
      <c r="N1633" s="2" t="s">
        <v>18</v>
      </c>
    </row>
    <row r="1634" spans="1:14" x14ac:dyDescent="0.2">
      <c r="A1634" s="13">
        <v>100296</v>
      </c>
      <c r="B1634" s="5">
        <v>45527</v>
      </c>
      <c r="C1634" s="5" t="str">
        <f t="shared" si="50"/>
        <v>Aug</v>
      </c>
      <c r="D1634" s="2" t="s">
        <v>639</v>
      </c>
      <c r="E1634" s="2" t="s">
        <v>37</v>
      </c>
      <c r="F1634" s="2" t="s">
        <v>69</v>
      </c>
      <c r="G1634" s="2" t="s">
        <v>33</v>
      </c>
      <c r="H1634" s="2" t="s">
        <v>81</v>
      </c>
      <c r="I1634" s="13">
        <v>4</v>
      </c>
      <c r="J1634" s="10">
        <v>137.76</v>
      </c>
      <c r="K1634" s="10">
        <f t="shared" si="51"/>
        <v>551.04</v>
      </c>
      <c r="L1634" s="2">
        <v>0.15</v>
      </c>
      <c r="M1634" s="2" t="s">
        <v>66</v>
      </c>
      <c r="N1634" s="2" t="s">
        <v>35</v>
      </c>
    </row>
    <row r="1635" spans="1:14" x14ac:dyDescent="0.2">
      <c r="A1635" s="13">
        <v>100696</v>
      </c>
      <c r="B1635" s="5">
        <v>45407</v>
      </c>
      <c r="C1635" s="5" t="str">
        <f t="shared" si="50"/>
        <v>Apr</v>
      </c>
      <c r="D1635" s="2" t="s">
        <v>424</v>
      </c>
      <c r="E1635" s="2" t="s">
        <v>61</v>
      </c>
      <c r="F1635" s="2" t="s">
        <v>119</v>
      </c>
      <c r="G1635" s="2" t="s">
        <v>50</v>
      </c>
      <c r="H1635" s="2" t="s">
        <v>99</v>
      </c>
      <c r="I1635" s="13">
        <v>1</v>
      </c>
      <c r="J1635" s="10">
        <v>10395.02</v>
      </c>
      <c r="K1635" s="10">
        <f t="shared" si="51"/>
        <v>10395.02</v>
      </c>
      <c r="L1635" s="2">
        <v>0</v>
      </c>
      <c r="M1635" s="2" t="s">
        <v>83</v>
      </c>
      <c r="N1635" s="2" t="s">
        <v>35</v>
      </c>
    </row>
    <row r="1636" spans="1:14" x14ac:dyDescent="0.2">
      <c r="A1636" s="13">
        <v>101453</v>
      </c>
      <c r="B1636" s="5">
        <v>45416</v>
      </c>
      <c r="C1636" s="5" t="str">
        <f t="shared" si="50"/>
        <v>May</v>
      </c>
      <c r="D1636" s="2" t="s">
        <v>167</v>
      </c>
      <c r="E1636" s="2" t="s">
        <v>27</v>
      </c>
      <c r="F1636" s="2" t="s">
        <v>21</v>
      </c>
      <c r="G1636" s="2" t="s">
        <v>50</v>
      </c>
      <c r="H1636" s="2" t="s">
        <v>62</v>
      </c>
      <c r="I1636" s="13">
        <v>8</v>
      </c>
      <c r="J1636" s="10">
        <v>6704.79</v>
      </c>
      <c r="K1636" s="10">
        <f t="shared" si="51"/>
        <v>53638.32</v>
      </c>
      <c r="L1636" s="2">
        <v>0.2</v>
      </c>
      <c r="M1636" s="2" t="s">
        <v>24</v>
      </c>
      <c r="N1636" s="2" t="s">
        <v>143</v>
      </c>
    </row>
    <row r="1637" spans="1:14" x14ac:dyDescent="0.2">
      <c r="A1637" s="13">
        <v>100074</v>
      </c>
      <c r="B1637" s="5">
        <v>45386</v>
      </c>
      <c r="C1637" s="5" t="str">
        <f t="shared" si="50"/>
        <v>Apr</v>
      </c>
      <c r="D1637" s="2" t="s">
        <v>1069</v>
      </c>
      <c r="E1637" s="2" t="s">
        <v>140</v>
      </c>
      <c r="F1637" s="2" t="s">
        <v>79</v>
      </c>
      <c r="G1637" s="2" t="s">
        <v>33</v>
      </c>
      <c r="H1637" s="2" t="s">
        <v>81</v>
      </c>
      <c r="I1637" s="13">
        <v>11</v>
      </c>
      <c r="J1637" s="10">
        <v>106.04</v>
      </c>
      <c r="K1637" s="10">
        <f t="shared" si="51"/>
        <v>1166.44</v>
      </c>
      <c r="L1637" s="2">
        <v>0.25</v>
      </c>
      <c r="M1637" s="2" t="s">
        <v>17</v>
      </c>
      <c r="N1637" s="2" t="s">
        <v>143</v>
      </c>
    </row>
    <row r="1638" spans="1:14" x14ac:dyDescent="0.2">
      <c r="A1638" s="13">
        <v>100606</v>
      </c>
      <c r="B1638" s="5">
        <v>45439</v>
      </c>
      <c r="C1638" s="5" t="str">
        <f t="shared" si="50"/>
        <v>May</v>
      </c>
      <c r="D1638" s="2" t="s">
        <v>299</v>
      </c>
      <c r="E1638" s="2" t="s">
        <v>61</v>
      </c>
      <c r="F1638" s="2" t="s">
        <v>119</v>
      </c>
      <c r="G1638" s="2" t="s">
        <v>106</v>
      </c>
      <c r="H1638" s="2" t="s">
        <v>103</v>
      </c>
      <c r="I1638" s="13">
        <v>7</v>
      </c>
      <c r="J1638" s="10">
        <v>3933.18</v>
      </c>
      <c r="K1638" s="10">
        <f t="shared" si="51"/>
        <v>27532.26</v>
      </c>
      <c r="L1638" s="2">
        <v>0.2</v>
      </c>
      <c r="M1638" s="2" t="s">
        <v>83</v>
      </c>
      <c r="N1638" s="2" t="s">
        <v>42</v>
      </c>
    </row>
    <row r="1639" spans="1:14" x14ac:dyDescent="0.2">
      <c r="A1639" s="13">
        <v>100105</v>
      </c>
      <c r="B1639" s="5">
        <v>45565</v>
      </c>
      <c r="C1639" s="5" t="str">
        <f t="shared" si="50"/>
        <v>Sep</v>
      </c>
      <c r="D1639" s="2" t="s">
        <v>850</v>
      </c>
      <c r="E1639" s="2" t="s">
        <v>61</v>
      </c>
      <c r="F1639" s="2" t="s">
        <v>14</v>
      </c>
      <c r="G1639" s="2" t="s">
        <v>15</v>
      </c>
      <c r="H1639" s="2" t="s">
        <v>59</v>
      </c>
      <c r="I1639" s="13">
        <v>4</v>
      </c>
      <c r="J1639" s="10">
        <v>24011.45</v>
      </c>
      <c r="K1639" s="10">
        <f t="shared" si="51"/>
        <v>96045.8</v>
      </c>
      <c r="L1639" s="2">
        <v>0.25</v>
      </c>
      <c r="M1639" s="2" t="s">
        <v>24</v>
      </c>
      <c r="N1639" s="2" t="s">
        <v>35</v>
      </c>
    </row>
    <row r="1640" spans="1:14" x14ac:dyDescent="0.2">
      <c r="A1640" s="13">
        <v>100646</v>
      </c>
      <c r="B1640" s="5">
        <v>45323</v>
      </c>
      <c r="C1640" s="5" t="str">
        <f t="shared" si="50"/>
        <v>Feb</v>
      </c>
      <c r="D1640" s="2" t="s">
        <v>783</v>
      </c>
      <c r="E1640" s="2" t="s">
        <v>31</v>
      </c>
      <c r="F1640" s="2" t="s">
        <v>54</v>
      </c>
      <c r="G1640" s="2" t="s">
        <v>45</v>
      </c>
      <c r="H1640" s="2" t="s">
        <v>111</v>
      </c>
      <c r="I1640" s="13">
        <v>9</v>
      </c>
      <c r="J1640" s="10">
        <v>5188.6000000000004</v>
      </c>
      <c r="K1640" s="10">
        <f t="shared" si="51"/>
        <v>46697.4</v>
      </c>
      <c r="L1640" s="2">
        <v>0</v>
      </c>
      <c r="M1640" s="2" t="s">
        <v>17</v>
      </c>
      <c r="N1640" s="2" t="s">
        <v>87</v>
      </c>
    </row>
    <row r="1641" spans="1:14" x14ac:dyDescent="0.2">
      <c r="A1641" s="13">
        <v>101405</v>
      </c>
      <c r="B1641" s="5">
        <v>45471</v>
      </c>
      <c r="C1641" s="5" t="str">
        <f t="shared" si="50"/>
        <v>Jun</v>
      </c>
      <c r="D1641" s="2" t="s">
        <v>291</v>
      </c>
      <c r="E1641" s="2" t="s">
        <v>61</v>
      </c>
      <c r="F1641" s="2" t="s">
        <v>14</v>
      </c>
      <c r="G1641" s="2" t="s">
        <v>33</v>
      </c>
      <c r="H1641" s="2" t="s">
        <v>158</v>
      </c>
      <c r="I1641" s="13">
        <v>10</v>
      </c>
      <c r="J1641" s="10">
        <v>100.66</v>
      </c>
      <c r="K1641" s="10">
        <f t="shared" si="51"/>
        <v>1006.5999999999999</v>
      </c>
      <c r="L1641" s="2">
        <v>0.1</v>
      </c>
      <c r="M1641" s="2" t="s">
        <v>41</v>
      </c>
      <c r="N1641" s="2" t="s">
        <v>25</v>
      </c>
    </row>
    <row r="1642" spans="1:14" x14ac:dyDescent="0.2">
      <c r="A1642" s="13">
        <v>101987</v>
      </c>
      <c r="B1642" s="5">
        <v>45496</v>
      </c>
      <c r="C1642" s="5" t="str">
        <f t="shared" si="50"/>
        <v>Jul</v>
      </c>
      <c r="D1642" s="2" t="s">
        <v>127</v>
      </c>
      <c r="E1642" s="2" t="s">
        <v>140</v>
      </c>
      <c r="F1642" s="2" t="s">
        <v>49</v>
      </c>
      <c r="G1642" s="2" t="s">
        <v>106</v>
      </c>
      <c r="H1642" s="2" t="s">
        <v>156</v>
      </c>
      <c r="I1642" s="13">
        <v>8</v>
      </c>
      <c r="J1642" s="10">
        <v>3789.43</v>
      </c>
      <c r="K1642" s="10">
        <f t="shared" si="51"/>
        <v>30315.439999999999</v>
      </c>
      <c r="L1642" s="2">
        <v>0.05</v>
      </c>
      <c r="M1642" s="2" t="s">
        <v>83</v>
      </c>
      <c r="N1642" s="2" t="s">
        <v>52</v>
      </c>
    </row>
    <row r="1643" spans="1:14" x14ac:dyDescent="0.2">
      <c r="A1643" s="13">
        <v>101041</v>
      </c>
      <c r="B1643" s="5">
        <v>45539</v>
      </c>
      <c r="C1643" s="5" t="str">
        <f t="shared" si="50"/>
        <v>Sep</v>
      </c>
      <c r="D1643" s="2" t="s">
        <v>898</v>
      </c>
      <c r="E1643" s="2" t="s">
        <v>61</v>
      </c>
      <c r="F1643" s="2" t="s">
        <v>119</v>
      </c>
      <c r="G1643" s="2" t="s">
        <v>45</v>
      </c>
      <c r="H1643" s="2" t="s">
        <v>97</v>
      </c>
      <c r="I1643" s="13">
        <v>3</v>
      </c>
      <c r="J1643" s="10">
        <v>28274.07</v>
      </c>
      <c r="K1643" s="10">
        <f t="shared" si="51"/>
        <v>84822.209999999992</v>
      </c>
      <c r="L1643" s="2">
        <v>0.05</v>
      </c>
      <c r="M1643" s="2" t="s">
        <v>24</v>
      </c>
      <c r="N1643" s="2" t="s">
        <v>18</v>
      </c>
    </row>
    <row r="1644" spans="1:14" x14ac:dyDescent="0.2">
      <c r="A1644" s="13">
        <v>100440</v>
      </c>
      <c r="B1644" s="5">
        <v>45505</v>
      </c>
      <c r="C1644" s="5" t="str">
        <f t="shared" si="50"/>
        <v>Aug</v>
      </c>
      <c r="D1644" s="2" t="s">
        <v>421</v>
      </c>
      <c r="E1644" s="2" t="s">
        <v>61</v>
      </c>
      <c r="F1644" s="2" t="s">
        <v>119</v>
      </c>
      <c r="G1644" s="2" t="s">
        <v>22</v>
      </c>
      <c r="H1644" s="2" t="s">
        <v>145</v>
      </c>
      <c r="I1644" s="13">
        <v>7</v>
      </c>
      <c r="J1644" s="10">
        <v>588.46</v>
      </c>
      <c r="K1644" s="10">
        <f t="shared" si="51"/>
        <v>4119.22</v>
      </c>
      <c r="L1644" s="2">
        <v>0</v>
      </c>
      <c r="M1644" s="2" t="s">
        <v>17</v>
      </c>
      <c r="N1644" s="2" t="s">
        <v>143</v>
      </c>
    </row>
    <row r="1645" spans="1:14" x14ac:dyDescent="0.2">
      <c r="A1645" s="13">
        <v>101020</v>
      </c>
      <c r="B1645" s="5">
        <v>45526</v>
      </c>
      <c r="C1645" s="5" t="str">
        <f t="shared" si="50"/>
        <v>Aug</v>
      </c>
      <c r="D1645" s="2" t="s">
        <v>832</v>
      </c>
      <c r="E1645" s="2" t="s">
        <v>140</v>
      </c>
      <c r="F1645" s="2" t="s">
        <v>79</v>
      </c>
      <c r="G1645" s="2" t="s">
        <v>64</v>
      </c>
      <c r="H1645" s="2" t="s">
        <v>165</v>
      </c>
      <c r="I1645" s="13">
        <v>4</v>
      </c>
      <c r="J1645" s="10">
        <v>632.46</v>
      </c>
      <c r="K1645" s="10">
        <f t="shared" si="51"/>
        <v>2529.84</v>
      </c>
      <c r="L1645" s="2">
        <v>0.25</v>
      </c>
      <c r="M1645" s="2" t="s">
        <v>66</v>
      </c>
      <c r="N1645" s="2" t="s">
        <v>52</v>
      </c>
    </row>
    <row r="1646" spans="1:14" x14ac:dyDescent="0.2">
      <c r="A1646" s="13">
        <v>100092</v>
      </c>
      <c r="B1646" s="5">
        <v>45612</v>
      </c>
      <c r="C1646" s="5" t="str">
        <f t="shared" si="50"/>
        <v>Nov</v>
      </c>
      <c r="D1646" s="2" t="s">
        <v>1069</v>
      </c>
      <c r="E1646" s="2" t="s">
        <v>37</v>
      </c>
      <c r="F1646" s="2" t="s">
        <v>38</v>
      </c>
      <c r="G1646" s="2" t="s">
        <v>15</v>
      </c>
      <c r="H1646" s="2" t="s">
        <v>59</v>
      </c>
      <c r="I1646" s="13">
        <v>10</v>
      </c>
      <c r="J1646" s="10">
        <v>23459.55</v>
      </c>
      <c r="K1646" s="10">
        <f t="shared" si="51"/>
        <v>234595.5</v>
      </c>
      <c r="L1646" s="2">
        <v>0</v>
      </c>
      <c r="M1646" s="2" t="s">
        <v>29</v>
      </c>
      <c r="N1646" s="2" t="s">
        <v>35</v>
      </c>
    </row>
    <row r="1647" spans="1:14" x14ac:dyDescent="0.2">
      <c r="A1647" s="13">
        <v>101113</v>
      </c>
      <c r="B1647" s="5">
        <v>45442</v>
      </c>
      <c r="C1647" s="5" t="str">
        <f t="shared" si="50"/>
        <v>May</v>
      </c>
      <c r="D1647" s="2" t="s">
        <v>743</v>
      </c>
      <c r="E1647" s="2" t="s">
        <v>31</v>
      </c>
      <c r="F1647" s="2" t="s">
        <v>54</v>
      </c>
      <c r="G1647" s="2" t="s">
        <v>22</v>
      </c>
      <c r="H1647" s="2" t="s">
        <v>145</v>
      </c>
      <c r="I1647" s="13">
        <v>9</v>
      </c>
      <c r="J1647" s="10">
        <v>2026.98</v>
      </c>
      <c r="K1647" s="10">
        <f t="shared" si="51"/>
        <v>18242.82</v>
      </c>
      <c r="L1647" s="2">
        <v>0.25</v>
      </c>
      <c r="M1647" s="2" t="s">
        <v>66</v>
      </c>
      <c r="N1647" s="2" t="s">
        <v>52</v>
      </c>
    </row>
    <row r="1648" spans="1:14" x14ac:dyDescent="0.2">
      <c r="A1648" s="13">
        <v>101778</v>
      </c>
      <c r="B1648" s="5">
        <v>45424</v>
      </c>
      <c r="C1648" s="5" t="str">
        <f t="shared" si="50"/>
        <v>May</v>
      </c>
      <c r="D1648" s="2" t="s">
        <v>142</v>
      </c>
      <c r="E1648" s="2" t="s">
        <v>31</v>
      </c>
      <c r="F1648" s="2" t="s">
        <v>54</v>
      </c>
      <c r="G1648" s="2" t="s">
        <v>15</v>
      </c>
      <c r="H1648" s="2" t="s">
        <v>205</v>
      </c>
      <c r="I1648" s="13">
        <v>5</v>
      </c>
      <c r="J1648" s="10">
        <v>23717.94</v>
      </c>
      <c r="K1648" s="10">
        <f t="shared" si="51"/>
        <v>118589.7</v>
      </c>
      <c r="L1648" s="2">
        <v>0.2</v>
      </c>
      <c r="M1648" s="2" t="s">
        <v>83</v>
      </c>
      <c r="N1648" s="2" t="s">
        <v>35</v>
      </c>
    </row>
    <row r="1649" spans="1:14" x14ac:dyDescent="0.2">
      <c r="A1649" s="13">
        <v>100909</v>
      </c>
      <c r="B1649" s="5">
        <v>45611</v>
      </c>
      <c r="C1649" s="5" t="str">
        <f t="shared" si="50"/>
        <v>Nov</v>
      </c>
      <c r="D1649" s="2" t="s">
        <v>148</v>
      </c>
      <c r="E1649" s="2" t="s">
        <v>37</v>
      </c>
      <c r="F1649" s="2" t="s">
        <v>38</v>
      </c>
      <c r="G1649" s="2" t="s">
        <v>50</v>
      </c>
      <c r="H1649" s="2" t="s">
        <v>51</v>
      </c>
      <c r="I1649" s="13">
        <v>4</v>
      </c>
      <c r="J1649" s="10">
        <v>2246.5700000000002</v>
      </c>
      <c r="K1649" s="10">
        <f t="shared" si="51"/>
        <v>8986.2800000000007</v>
      </c>
      <c r="L1649" s="2">
        <v>0.1</v>
      </c>
      <c r="M1649" s="2" t="s">
        <v>66</v>
      </c>
      <c r="N1649" s="2" t="s">
        <v>121</v>
      </c>
    </row>
    <row r="1650" spans="1:14" x14ac:dyDescent="0.2">
      <c r="A1650" s="13">
        <v>101475</v>
      </c>
      <c r="B1650" s="5">
        <v>45425</v>
      </c>
      <c r="C1650" s="5" t="str">
        <f t="shared" si="50"/>
        <v>May</v>
      </c>
      <c r="D1650" s="2" t="s">
        <v>671</v>
      </c>
      <c r="E1650" s="2" t="s">
        <v>27</v>
      </c>
      <c r="F1650" s="2" t="s">
        <v>21</v>
      </c>
      <c r="G1650" s="2" t="s">
        <v>22</v>
      </c>
      <c r="H1650" s="2" t="s">
        <v>23</v>
      </c>
      <c r="I1650" s="13">
        <v>8</v>
      </c>
      <c r="J1650" s="10">
        <v>2877.15</v>
      </c>
      <c r="K1650" s="10">
        <f t="shared" si="51"/>
        <v>23017.200000000001</v>
      </c>
      <c r="L1650" s="2">
        <v>0.05</v>
      </c>
      <c r="M1650" s="2" t="s">
        <v>24</v>
      </c>
      <c r="N1650" s="2" t="s">
        <v>121</v>
      </c>
    </row>
    <row r="1651" spans="1:14" x14ac:dyDescent="0.2">
      <c r="A1651" s="13">
        <v>100103</v>
      </c>
      <c r="B1651" s="5">
        <v>45336</v>
      </c>
      <c r="C1651" s="5" t="str">
        <f t="shared" si="50"/>
        <v>Feb</v>
      </c>
      <c r="D1651" s="2" t="s">
        <v>515</v>
      </c>
      <c r="E1651" s="2" t="s">
        <v>37</v>
      </c>
      <c r="F1651" s="2" t="s">
        <v>38</v>
      </c>
      <c r="G1651" s="2" t="s">
        <v>33</v>
      </c>
      <c r="H1651" s="2" t="s">
        <v>93</v>
      </c>
      <c r="I1651" s="13">
        <v>7</v>
      </c>
      <c r="J1651" s="10">
        <v>56.72</v>
      </c>
      <c r="K1651" s="10">
        <f t="shared" si="51"/>
        <v>397.03999999999996</v>
      </c>
      <c r="L1651" s="2">
        <v>0.2</v>
      </c>
      <c r="M1651" s="2" t="s">
        <v>29</v>
      </c>
      <c r="N1651" s="2" t="s">
        <v>121</v>
      </c>
    </row>
    <row r="1652" spans="1:14" x14ac:dyDescent="0.2">
      <c r="A1652" s="13">
        <v>100239</v>
      </c>
      <c r="B1652" s="5">
        <v>45470</v>
      </c>
      <c r="C1652" s="5" t="str">
        <f t="shared" si="50"/>
        <v>Jun</v>
      </c>
      <c r="D1652" s="2" t="s">
        <v>972</v>
      </c>
      <c r="E1652" s="2" t="s">
        <v>31</v>
      </c>
      <c r="F1652" s="2" t="s">
        <v>32</v>
      </c>
      <c r="G1652" s="2" t="s">
        <v>15</v>
      </c>
      <c r="H1652" s="2" t="s">
        <v>59</v>
      </c>
      <c r="I1652" s="13">
        <v>12</v>
      </c>
      <c r="J1652" s="10">
        <v>5587.8</v>
      </c>
      <c r="K1652" s="10">
        <f t="shared" si="51"/>
        <v>67053.600000000006</v>
      </c>
      <c r="L1652" s="2">
        <v>0</v>
      </c>
      <c r="M1652" s="2" t="s">
        <v>83</v>
      </c>
      <c r="N1652" s="2" t="s">
        <v>42</v>
      </c>
    </row>
    <row r="1653" spans="1:14" x14ac:dyDescent="0.2">
      <c r="A1653" s="13">
        <v>101725</v>
      </c>
      <c r="B1653" s="5">
        <v>45593</v>
      </c>
      <c r="C1653" s="5" t="str">
        <f t="shared" si="50"/>
        <v>Oct</v>
      </c>
      <c r="D1653" s="2" t="s">
        <v>457</v>
      </c>
      <c r="E1653" s="2" t="s">
        <v>61</v>
      </c>
      <c r="F1653" s="2" t="s">
        <v>119</v>
      </c>
      <c r="G1653" s="2" t="s">
        <v>45</v>
      </c>
      <c r="H1653" s="2" t="s">
        <v>46</v>
      </c>
      <c r="I1653" s="13">
        <v>2</v>
      </c>
      <c r="J1653" s="10">
        <v>1973.37</v>
      </c>
      <c r="K1653" s="10">
        <f t="shared" si="51"/>
        <v>3946.74</v>
      </c>
      <c r="L1653" s="2">
        <v>0.2</v>
      </c>
      <c r="M1653" s="2" t="s">
        <v>17</v>
      </c>
      <c r="N1653" s="2" t="s">
        <v>52</v>
      </c>
    </row>
    <row r="1654" spans="1:14" x14ac:dyDescent="0.2">
      <c r="A1654" s="13">
        <v>100943</v>
      </c>
      <c r="B1654" s="5">
        <v>45588</v>
      </c>
      <c r="C1654" s="5" t="str">
        <f t="shared" si="50"/>
        <v>Oct</v>
      </c>
      <c r="D1654" s="2" t="s">
        <v>53</v>
      </c>
      <c r="E1654" s="2" t="s">
        <v>61</v>
      </c>
      <c r="F1654" s="2" t="s">
        <v>119</v>
      </c>
      <c r="G1654" s="2" t="s">
        <v>22</v>
      </c>
      <c r="H1654" s="2" t="s">
        <v>23</v>
      </c>
      <c r="I1654" s="13">
        <v>3</v>
      </c>
      <c r="J1654" s="10">
        <v>2990.65</v>
      </c>
      <c r="K1654" s="10">
        <f t="shared" si="51"/>
        <v>8971.9500000000007</v>
      </c>
      <c r="L1654" s="2">
        <v>0.2</v>
      </c>
      <c r="M1654" s="2" t="s">
        <v>83</v>
      </c>
      <c r="N1654" s="2" t="s">
        <v>18</v>
      </c>
    </row>
    <row r="1655" spans="1:14" x14ac:dyDescent="0.2">
      <c r="A1655" s="13">
        <v>101271</v>
      </c>
      <c r="B1655" s="5">
        <v>45452</v>
      </c>
      <c r="C1655" s="5" t="str">
        <f t="shared" si="50"/>
        <v>Jun</v>
      </c>
      <c r="D1655" s="2" t="s">
        <v>748</v>
      </c>
      <c r="E1655" s="2" t="s">
        <v>37</v>
      </c>
      <c r="F1655" s="2" t="s">
        <v>38</v>
      </c>
      <c r="G1655" s="2" t="s">
        <v>64</v>
      </c>
      <c r="H1655" s="2" t="s">
        <v>40</v>
      </c>
      <c r="I1655" s="13">
        <v>-2</v>
      </c>
      <c r="J1655" s="10">
        <v>0</v>
      </c>
      <c r="K1655" s="10">
        <f t="shared" si="51"/>
        <v>0</v>
      </c>
      <c r="L1655" s="2">
        <v>0.15</v>
      </c>
      <c r="M1655" s="2" t="s">
        <v>17</v>
      </c>
      <c r="N1655" s="2" t="s">
        <v>42</v>
      </c>
    </row>
    <row r="1656" spans="1:14" x14ac:dyDescent="0.2">
      <c r="A1656" s="13">
        <v>100939</v>
      </c>
      <c r="B1656" s="5">
        <v>45637</v>
      </c>
      <c r="C1656" s="5" t="str">
        <f t="shared" si="50"/>
        <v>Dec</v>
      </c>
      <c r="D1656" s="2" t="s">
        <v>652</v>
      </c>
      <c r="E1656" s="2" t="s">
        <v>61</v>
      </c>
      <c r="F1656" s="2" t="s">
        <v>14</v>
      </c>
      <c r="G1656" s="2" t="s">
        <v>33</v>
      </c>
      <c r="H1656" s="2" t="s">
        <v>158</v>
      </c>
      <c r="I1656" s="13">
        <v>12</v>
      </c>
      <c r="J1656" s="10">
        <v>448.62</v>
      </c>
      <c r="K1656" s="10">
        <f t="shared" si="51"/>
        <v>5383.4400000000005</v>
      </c>
      <c r="L1656" s="2">
        <v>0.2</v>
      </c>
      <c r="M1656" s="2" t="s">
        <v>41</v>
      </c>
      <c r="N1656" s="2" t="s">
        <v>121</v>
      </c>
    </row>
    <row r="1657" spans="1:14" x14ac:dyDescent="0.2">
      <c r="A1657" s="13">
        <v>101715</v>
      </c>
      <c r="B1657" s="5">
        <v>45428</v>
      </c>
      <c r="C1657" s="5" t="str">
        <f t="shared" si="50"/>
        <v>May</v>
      </c>
      <c r="D1657" s="2" t="s">
        <v>134</v>
      </c>
      <c r="E1657" s="2" t="s">
        <v>140</v>
      </c>
      <c r="F1657" s="2" t="s">
        <v>49</v>
      </c>
      <c r="G1657" s="2" t="s">
        <v>15</v>
      </c>
      <c r="H1657" s="2" t="s">
        <v>16</v>
      </c>
      <c r="I1657" s="13">
        <v>3</v>
      </c>
      <c r="J1657" s="10">
        <v>0</v>
      </c>
      <c r="K1657" s="10">
        <f t="shared" si="51"/>
        <v>0</v>
      </c>
      <c r="L1657" s="2">
        <v>0</v>
      </c>
      <c r="M1657" s="2" t="s">
        <v>29</v>
      </c>
      <c r="N1657" s="2" t="s">
        <v>87</v>
      </c>
    </row>
    <row r="1658" spans="1:14" x14ac:dyDescent="0.2">
      <c r="A1658" s="13">
        <v>101182</v>
      </c>
      <c r="B1658" s="5">
        <v>45361</v>
      </c>
      <c r="C1658" s="5" t="str">
        <f t="shared" si="50"/>
        <v>Mar</v>
      </c>
      <c r="D1658" s="2" t="s">
        <v>619</v>
      </c>
      <c r="E1658" s="2" t="s">
        <v>37</v>
      </c>
      <c r="F1658" s="2" t="s">
        <v>69</v>
      </c>
      <c r="G1658" s="2" t="s">
        <v>106</v>
      </c>
      <c r="H1658" s="2" t="s">
        <v>103</v>
      </c>
      <c r="I1658" s="13">
        <v>2</v>
      </c>
      <c r="J1658" s="10">
        <v>1807.96</v>
      </c>
      <c r="K1658" s="10">
        <f t="shared" si="51"/>
        <v>3615.92</v>
      </c>
      <c r="L1658" s="2">
        <v>0.2</v>
      </c>
      <c r="M1658" s="2" t="s">
        <v>29</v>
      </c>
      <c r="N1658" s="2" t="s">
        <v>143</v>
      </c>
    </row>
    <row r="1659" spans="1:14" x14ac:dyDescent="0.2">
      <c r="A1659" s="13">
        <v>101504</v>
      </c>
      <c r="B1659" s="5">
        <v>45316</v>
      </c>
      <c r="C1659" s="5" t="str">
        <f t="shared" si="50"/>
        <v>Jan</v>
      </c>
      <c r="D1659" s="2" t="s">
        <v>190</v>
      </c>
      <c r="E1659" s="2" t="s">
        <v>140</v>
      </c>
      <c r="F1659" s="2" t="s">
        <v>79</v>
      </c>
      <c r="G1659" s="2" t="s">
        <v>22</v>
      </c>
      <c r="H1659" s="2" t="s">
        <v>75</v>
      </c>
      <c r="I1659" s="13">
        <v>9</v>
      </c>
      <c r="J1659" s="10">
        <v>1751.33</v>
      </c>
      <c r="K1659" s="10">
        <f t="shared" si="51"/>
        <v>15761.97</v>
      </c>
      <c r="L1659" s="2">
        <v>0</v>
      </c>
      <c r="M1659" s="2" t="s">
        <v>83</v>
      </c>
      <c r="N1659" s="2" t="s">
        <v>25</v>
      </c>
    </row>
    <row r="1660" spans="1:14" x14ac:dyDescent="0.2">
      <c r="A1660" s="13">
        <v>101670</v>
      </c>
      <c r="B1660" s="5">
        <v>45549</v>
      </c>
      <c r="C1660" s="5" t="str">
        <f t="shared" si="50"/>
        <v>Sep</v>
      </c>
      <c r="D1660" s="2" t="s">
        <v>533</v>
      </c>
      <c r="E1660" s="2" t="s">
        <v>31</v>
      </c>
      <c r="F1660" s="2" t="s">
        <v>54</v>
      </c>
      <c r="G1660" s="2" t="s">
        <v>45</v>
      </c>
      <c r="H1660" s="2" t="s">
        <v>153</v>
      </c>
      <c r="I1660" s="13">
        <v>2</v>
      </c>
      <c r="J1660" s="10">
        <v>2012.74</v>
      </c>
      <c r="K1660" s="10">
        <f t="shared" si="51"/>
        <v>4025.48</v>
      </c>
      <c r="L1660" s="2">
        <v>0</v>
      </c>
      <c r="M1660" s="2" t="s">
        <v>24</v>
      </c>
      <c r="N1660" s="2" t="s">
        <v>18</v>
      </c>
    </row>
    <row r="1661" spans="1:14" x14ac:dyDescent="0.2">
      <c r="A1661" s="13">
        <v>100006</v>
      </c>
      <c r="B1661" s="5">
        <v>45335</v>
      </c>
      <c r="C1661" s="5" t="str">
        <f t="shared" si="50"/>
        <v>Feb</v>
      </c>
      <c r="D1661" s="2" t="s">
        <v>1069</v>
      </c>
      <c r="E1661" s="2" t="s">
        <v>31</v>
      </c>
      <c r="F1661" s="2" t="s">
        <v>54</v>
      </c>
      <c r="G1661" s="2" t="s">
        <v>64</v>
      </c>
      <c r="H1661" s="2" t="s">
        <v>40</v>
      </c>
      <c r="I1661" s="13">
        <v>1</v>
      </c>
      <c r="J1661" s="10">
        <v>499.75</v>
      </c>
      <c r="K1661" s="10">
        <f t="shared" si="51"/>
        <v>499.75</v>
      </c>
      <c r="L1661" s="2">
        <v>0.1</v>
      </c>
      <c r="M1661" s="2" t="s">
        <v>29</v>
      </c>
      <c r="N1661" s="2" t="s">
        <v>52</v>
      </c>
    </row>
    <row r="1662" spans="1:14" x14ac:dyDescent="0.2">
      <c r="A1662" s="13">
        <v>101838</v>
      </c>
      <c r="B1662" s="5">
        <v>45657</v>
      </c>
      <c r="C1662" s="5" t="str">
        <f t="shared" si="50"/>
        <v>Dec</v>
      </c>
      <c r="D1662" s="2" t="s">
        <v>675</v>
      </c>
      <c r="E1662" s="2" t="s">
        <v>31</v>
      </c>
      <c r="F1662" s="2" t="s">
        <v>54</v>
      </c>
      <c r="G1662" s="2" t="s">
        <v>106</v>
      </c>
      <c r="H1662" s="2" t="s">
        <v>135</v>
      </c>
      <c r="I1662" s="13">
        <v>10</v>
      </c>
      <c r="J1662" s="10">
        <v>2895.27</v>
      </c>
      <c r="K1662" s="10">
        <f t="shared" si="51"/>
        <v>28952.7</v>
      </c>
      <c r="L1662" s="2">
        <v>0</v>
      </c>
      <c r="M1662" s="2" t="s">
        <v>29</v>
      </c>
      <c r="N1662" s="2" t="s">
        <v>87</v>
      </c>
    </row>
    <row r="1663" spans="1:14" x14ac:dyDescent="0.2">
      <c r="A1663" s="13">
        <v>100966</v>
      </c>
      <c r="B1663" s="5">
        <v>45452</v>
      </c>
      <c r="C1663" s="5" t="str">
        <f t="shared" si="50"/>
        <v>Jun</v>
      </c>
      <c r="D1663" s="2" t="s">
        <v>213</v>
      </c>
      <c r="E1663" s="2" t="s">
        <v>31</v>
      </c>
      <c r="F1663" s="2" t="s">
        <v>32</v>
      </c>
      <c r="G1663" s="2" t="s">
        <v>22</v>
      </c>
      <c r="H1663" s="2" t="s">
        <v>141</v>
      </c>
      <c r="I1663" s="13">
        <v>5</v>
      </c>
      <c r="J1663" s="10">
        <v>948.98</v>
      </c>
      <c r="K1663" s="10">
        <f t="shared" si="51"/>
        <v>4744.8999999999996</v>
      </c>
      <c r="L1663" s="2">
        <v>0.2</v>
      </c>
      <c r="M1663" s="2" t="s">
        <v>29</v>
      </c>
      <c r="N1663" s="2" t="s">
        <v>52</v>
      </c>
    </row>
    <row r="1664" spans="1:14" x14ac:dyDescent="0.2">
      <c r="A1664" s="13">
        <v>100019</v>
      </c>
      <c r="B1664" s="5">
        <v>45652</v>
      </c>
      <c r="C1664" s="5" t="str">
        <f t="shared" si="50"/>
        <v>Dec</v>
      </c>
      <c r="D1664" s="2" t="s">
        <v>1069</v>
      </c>
      <c r="E1664" s="2" t="s">
        <v>37</v>
      </c>
      <c r="F1664" s="2" t="s">
        <v>38</v>
      </c>
      <c r="G1664" s="2" t="s">
        <v>45</v>
      </c>
      <c r="H1664" s="2" t="s">
        <v>71</v>
      </c>
      <c r="I1664" s="13">
        <v>5</v>
      </c>
      <c r="J1664" s="10">
        <v>15779.39</v>
      </c>
      <c r="K1664" s="10">
        <f t="shared" si="51"/>
        <v>78896.95</v>
      </c>
      <c r="L1664" s="2">
        <v>0.15</v>
      </c>
      <c r="M1664" s="2" t="s">
        <v>83</v>
      </c>
      <c r="N1664" s="2" t="s">
        <v>18</v>
      </c>
    </row>
    <row r="1665" spans="1:14" x14ac:dyDescent="0.2">
      <c r="A1665" s="13">
        <v>101431</v>
      </c>
      <c r="B1665" s="5">
        <v>45428</v>
      </c>
      <c r="C1665" s="5" t="str">
        <f t="shared" si="50"/>
        <v>May</v>
      </c>
      <c r="D1665" s="2" t="s">
        <v>723</v>
      </c>
      <c r="E1665" s="2" t="s">
        <v>31</v>
      </c>
      <c r="F1665" s="2" t="s">
        <v>54</v>
      </c>
      <c r="G1665" s="2" t="s">
        <v>45</v>
      </c>
      <c r="H1665" s="2" t="s">
        <v>149</v>
      </c>
      <c r="I1665" s="13">
        <v>6</v>
      </c>
      <c r="J1665" s="10">
        <v>36755.160000000003</v>
      </c>
      <c r="K1665" s="10">
        <f t="shared" si="51"/>
        <v>220530.96000000002</v>
      </c>
      <c r="L1665" s="2">
        <v>0</v>
      </c>
      <c r="M1665" s="2" t="s">
        <v>17</v>
      </c>
      <c r="N1665" s="2" t="s">
        <v>52</v>
      </c>
    </row>
    <row r="1666" spans="1:14" x14ac:dyDescent="0.2">
      <c r="A1666" s="13">
        <v>100122</v>
      </c>
      <c r="B1666" s="5">
        <v>45621</v>
      </c>
      <c r="C1666" s="5" t="str">
        <f t="shared" ref="C1666:C1729" si="52">TEXT(B1666,"mmm")</f>
        <v>Nov</v>
      </c>
      <c r="D1666" s="2" t="s">
        <v>517</v>
      </c>
      <c r="E1666" s="2" t="s">
        <v>140</v>
      </c>
      <c r="F1666" s="2" t="s">
        <v>79</v>
      </c>
      <c r="G1666" s="2" t="s">
        <v>50</v>
      </c>
      <c r="H1666" s="2" t="s">
        <v>99</v>
      </c>
      <c r="I1666" s="13">
        <v>8</v>
      </c>
      <c r="J1666" s="10">
        <v>4518.43</v>
      </c>
      <c r="K1666" s="10">
        <f t="shared" ref="K1666:K1729" si="53">I1666*J1666</f>
        <v>36147.440000000002</v>
      </c>
      <c r="L1666" s="2">
        <v>0.2</v>
      </c>
      <c r="M1666" s="2" t="s">
        <v>29</v>
      </c>
      <c r="N1666" s="2" t="s">
        <v>52</v>
      </c>
    </row>
    <row r="1667" spans="1:14" x14ac:dyDescent="0.2">
      <c r="A1667" s="13">
        <v>100662</v>
      </c>
      <c r="B1667" s="5">
        <v>45604</v>
      </c>
      <c r="C1667" s="5" t="str">
        <f t="shared" si="52"/>
        <v>Nov</v>
      </c>
      <c r="D1667" s="2" t="s">
        <v>337</v>
      </c>
      <c r="E1667" s="2" t="s">
        <v>61</v>
      </c>
      <c r="F1667" s="2" t="s">
        <v>14</v>
      </c>
      <c r="G1667" s="2" t="s">
        <v>64</v>
      </c>
      <c r="H1667" s="2" t="s">
        <v>40</v>
      </c>
      <c r="I1667" s="13">
        <v>11</v>
      </c>
      <c r="J1667" s="10">
        <v>66.37</v>
      </c>
      <c r="K1667" s="10">
        <f t="shared" si="53"/>
        <v>730.07</v>
      </c>
      <c r="L1667" s="2">
        <v>0</v>
      </c>
      <c r="M1667" s="2" t="s">
        <v>29</v>
      </c>
      <c r="N1667" s="2" t="s">
        <v>87</v>
      </c>
    </row>
    <row r="1668" spans="1:14" x14ac:dyDescent="0.2">
      <c r="A1668" s="13">
        <v>101705</v>
      </c>
      <c r="B1668" s="5">
        <v>45590</v>
      </c>
      <c r="C1668" s="5" t="str">
        <f t="shared" si="52"/>
        <v>Oct</v>
      </c>
      <c r="D1668" s="2" t="s">
        <v>1069</v>
      </c>
      <c r="E1668" s="2" t="s">
        <v>31</v>
      </c>
      <c r="F1668" s="2" t="s">
        <v>54</v>
      </c>
      <c r="G1668" s="2" t="s">
        <v>50</v>
      </c>
      <c r="H1668" s="2" t="s">
        <v>51</v>
      </c>
      <c r="I1668" s="13">
        <v>8</v>
      </c>
      <c r="J1668" s="10">
        <v>4967.6000000000004</v>
      </c>
      <c r="K1668" s="10">
        <f t="shared" si="53"/>
        <v>39740.800000000003</v>
      </c>
      <c r="L1668" s="2">
        <v>0.15</v>
      </c>
      <c r="M1668" s="2" t="s">
        <v>29</v>
      </c>
      <c r="N1668" s="2" t="s">
        <v>42</v>
      </c>
    </row>
    <row r="1669" spans="1:14" x14ac:dyDescent="0.2">
      <c r="A1669" s="13">
        <v>100275</v>
      </c>
      <c r="B1669" s="5">
        <v>45312</v>
      </c>
      <c r="C1669" s="5" t="str">
        <f t="shared" si="52"/>
        <v>Jan</v>
      </c>
      <c r="D1669" s="2" t="s">
        <v>1021</v>
      </c>
      <c r="E1669" s="2" t="s">
        <v>37</v>
      </c>
      <c r="F1669" s="2" t="s">
        <v>38</v>
      </c>
      <c r="G1669" s="2" t="s">
        <v>22</v>
      </c>
      <c r="H1669" s="2" t="s">
        <v>145</v>
      </c>
      <c r="I1669" s="13">
        <v>12</v>
      </c>
      <c r="J1669" s="10">
        <v>1612.58</v>
      </c>
      <c r="K1669" s="10">
        <f t="shared" si="53"/>
        <v>19350.96</v>
      </c>
      <c r="L1669" s="2">
        <v>0.15</v>
      </c>
      <c r="M1669" s="2" t="s">
        <v>41</v>
      </c>
      <c r="N1669" s="2" t="s">
        <v>87</v>
      </c>
    </row>
    <row r="1670" spans="1:14" x14ac:dyDescent="0.2">
      <c r="A1670" s="13">
        <v>100434</v>
      </c>
      <c r="B1670" s="5">
        <v>45395</v>
      </c>
      <c r="C1670" s="5" t="str">
        <f t="shared" si="52"/>
        <v>Apr</v>
      </c>
      <c r="D1670" s="2" t="s">
        <v>830</v>
      </c>
      <c r="E1670" s="2" t="s">
        <v>27</v>
      </c>
      <c r="F1670" s="2" t="s">
        <v>21</v>
      </c>
      <c r="G1670" s="2" t="s">
        <v>50</v>
      </c>
      <c r="H1670" s="2" t="s">
        <v>207</v>
      </c>
      <c r="I1670" s="13">
        <v>-2</v>
      </c>
      <c r="J1670" s="10">
        <v>8429.24</v>
      </c>
      <c r="K1670" s="10">
        <f t="shared" si="53"/>
        <v>-16858.48</v>
      </c>
      <c r="L1670" s="2">
        <v>0.25</v>
      </c>
      <c r="M1670" s="2" t="s">
        <v>41</v>
      </c>
      <c r="N1670" s="2" t="s">
        <v>52</v>
      </c>
    </row>
    <row r="1671" spans="1:14" x14ac:dyDescent="0.2">
      <c r="A1671" s="13">
        <v>100812</v>
      </c>
      <c r="B1671" s="5">
        <v>45588</v>
      </c>
      <c r="C1671" s="5" t="str">
        <f t="shared" si="52"/>
        <v>Oct</v>
      </c>
      <c r="D1671" s="2" t="s">
        <v>397</v>
      </c>
      <c r="E1671" s="2" t="s">
        <v>27</v>
      </c>
      <c r="F1671" s="2" t="s">
        <v>133</v>
      </c>
      <c r="G1671" s="2" t="s">
        <v>50</v>
      </c>
      <c r="H1671" s="2" t="s">
        <v>62</v>
      </c>
      <c r="I1671" s="13">
        <v>2</v>
      </c>
      <c r="J1671" s="10">
        <v>5748.58</v>
      </c>
      <c r="K1671" s="10">
        <f t="shared" si="53"/>
        <v>11497.16</v>
      </c>
      <c r="L1671" s="2">
        <v>0</v>
      </c>
      <c r="M1671" s="2" t="s">
        <v>29</v>
      </c>
      <c r="N1671" s="2" t="s">
        <v>143</v>
      </c>
    </row>
    <row r="1672" spans="1:14" x14ac:dyDescent="0.2">
      <c r="A1672" s="13">
        <v>101301</v>
      </c>
      <c r="B1672" s="5">
        <v>45421</v>
      </c>
      <c r="C1672" s="5" t="str">
        <f t="shared" si="52"/>
        <v>May</v>
      </c>
      <c r="D1672" s="2" t="s">
        <v>596</v>
      </c>
      <c r="E1672" s="2" t="s">
        <v>31</v>
      </c>
      <c r="F1672" s="2" t="s">
        <v>54</v>
      </c>
      <c r="G1672" s="2" t="s">
        <v>15</v>
      </c>
      <c r="H1672" s="2" t="s">
        <v>205</v>
      </c>
      <c r="I1672" s="13">
        <v>7</v>
      </c>
      <c r="J1672" s="10">
        <v>22527.41</v>
      </c>
      <c r="K1672" s="10">
        <f t="shared" si="53"/>
        <v>157691.87</v>
      </c>
      <c r="L1672" s="2">
        <v>0.2</v>
      </c>
      <c r="M1672" s="2" t="s">
        <v>29</v>
      </c>
      <c r="N1672" s="2" t="s">
        <v>52</v>
      </c>
    </row>
    <row r="1673" spans="1:14" x14ac:dyDescent="0.2">
      <c r="A1673" s="13">
        <v>101336</v>
      </c>
      <c r="B1673" s="5">
        <v>45367</v>
      </c>
      <c r="C1673" s="5" t="str">
        <f t="shared" si="52"/>
        <v>Mar</v>
      </c>
      <c r="D1673" s="2" t="s">
        <v>128</v>
      </c>
      <c r="E1673" s="2" t="s">
        <v>140</v>
      </c>
      <c r="F1673" s="2" t="s">
        <v>49</v>
      </c>
      <c r="G1673" s="2" t="s">
        <v>33</v>
      </c>
      <c r="H1673" s="2" t="s">
        <v>158</v>
      </c>
      <c r="I1673" s="13">
        <v>3</v>
      </c>
      <c r="J1673" s="10">
        <v>224.38</v>
      </c>
      <c r="K1673" s="10">
        <f t="shared" si="53"/>
        <v>673.14</v>
      </c>
      <c r="L1673" s="2">
        <v>0.15</v>
      </c>
      <c r="M1673" s="2" t="s">
        <v>66</v>
      </c>
      <c r="N1673" s="2" t="s">
        <v>18</v>
      </c>
    </row>
    <row r="1674" spans="1:14" x14ac:dyDescent="0.2">
      <c r="A1674" s="13">
        <v>101890</v>
      </c>
      <c r="B1674" s="5">
        <v>45643</v>
      </c>
      <c r="C1674" s="5" t="str">
        <f t="shared" si="52"/>
        <v>Dec</v>
      </c>
      <c r="D1674" s="2" t="s">
        <v>492</v>
      </c>
      <c r="E1674" s="2" t="s">
        <v>37</v>
      </c>
      <c r="F1674" s="2" t="s">
        <v>69</v>
      </c>
      <c r="G1674" s="2" t="s">
        <v>33</v>
      </c>
      <c r="H1674" s="2" t="s">
        <v>81</v>
      </c>
      <c r="I1674" s="13">
        <v>10</v>
      </c>
      <c r="J1674" s="10">
        <v>89.56</v>
      </c>
      <c r="K1674" s="10">
        <f t="shared" si="53"/>
        <v>895.6</v>
      </c>
      <c r="L1674" s="2">
        <v>0</v>
      </c>
      <c r="M1674" s="2" t="s">
        <v>66</v>
      </c>
      <c r="N1674" s="2" t="s">
        <v>87</v>
      </c>
    </row>
    <row r="1675" spans="1:14" x14ac:dyDescent="0.2">
      <c r="A1675" s="13">
        <v>101913</v>
      </c>
      <c r="B1675" s="5">
        <v>45483</v>
      </c>
      <c r="C1675" s="5" t="str">
        <f t="shared" si="52"/>
        <v>Jul</v>
      </c>
      <c r="D1675" s="2" t="s">
        <v>1011</v>
      </c>
      <c r="E1675" s="2" t="s">
        <v>27</v>
      </c>
      <c r="F1675" s="2" t="s">
        <v>133</v>
      </c>
      <c r="G1675" s="2" t="s">
        <v>50</v>
      </c>
      <c r="H1675" s="2" t="s">
        <v>56</v>
      </c>
      <c r="I1675" s="13">
        <v>9</v>
      </c>
      <c r="J1675" s="10">
        <v>2198.38</v>
      </c>
      <c r="K1675" s="10">
        <f t="shared" si="53"/>
        <v>19785.420000000002</v>
      </c>
      <c r="L1675" s="2">
        <v>0</v>
      </c>
      <c r="M1675" s="2" t="s">
        <v>24</v>
      </c>
      <c r="N1675" s="2" t="s">
        <v>52</v>
      </c>
    </row>
    <row r="1676" spans="1:14" x14ac:dyDescent="0.2">
      <c r="A1676" s="13">
        <v>101571</v>
      </c>
      <c r="B1676" s="5">
        <v>45607</v>
      </c>
      <c r="C1676" s="5" t="str">
        <f t="shared" si="52"/>
        <v>Nov</v>
      </c>
      <c r="D1676" s="2" t="s">
        <v>865</v>
      </c>
      <c r="E1676" s="2" t="s">
        <v>61</v>
      </c>
      <c r="F1676" s="2" t="s">
        <v>14</v>
      </c>
      <c r="G1676" s="2" t="s">
        <v>22</v>
      </c>
      <c r="H1676" s="2" t="s">
        <v>145</v>
      </c>
      <c r="I1676" s="13">
        <v>1</v>
      </c>
      <c r="J1676" s="10">
        <v>1805.8</v>
      </c>
      <c r="K1676" s="10">
        <f t="shared" si="53"/>
        <v>1805.8</v>
      </c>
      <c r="L1676" s="2">
        <v>0.1</v>
      </c>
      <c r="M1676" s="2" t="s">
        <v>83</v>
      </c>
      <c r="N1676" s="2" t="s">
        <v>52</v>
      </c>
    </row>
    <row r="1677" spans="1:14" x14ac:dyDescent="0.2">
      <c r="A1677" s="13">
        <v>100182</v>
      </c>
      <c r="B1677" s="5">
        <v>45440</v>
      </c>
      <c r="C1677" s="5" t="str">
        <f t="shared" si="52"/>
        <v>May</v>
      </c>
      <c r="D1677" s="2" t="s">
        <v>187</v>
      </c>
      <c r="E1677" s="2" t="s">
        <v>61</v>
      </c>
      <c r="F1677" s="2" t="s">
        <v>14</v>
      </c>
      <c r="G1677" s="2" t="s">
        <v>64</v>
      </c>
      <c r="H1677" s="2" t="s">
        <v>242</v>
      </c>
      <c r="I1677" s="13">
        <v>8</v>
      </c>
      <c r="J1677" s="10">
        <v>282.56</v>
      </c>
      <c r="K1677" s="10">
        <f t="shared" si="53"/>
        <v>2260.48</v>
      </c>
      <c r="L1677" s="2">
        <v>0.1</v>
      </c>
      <c r="M1677" s="2" t="s">
        <v>83</v>
      </c>
      <c r="N1677" s="2" t="s">
        <v>18</v>
      </c>
    </row>
    <row r="1678" spans="1:14" x14ac:dyDescent="0.2">
      <c r="A1678" s="13">
        <v>100185</v>
      </c>
      <c r="B1678" s="5">
        <v>45650</v>
      </c>
      <c r="C1678" s="5" t="str">
        <f t="shared" si="52"/>
        <v>Dec</v>
      </c>
      <c r="D1678" s="2" t="s">
        <v>513</v>
      </c>
      <c r="E1678" s="2" t="s">
        <v>140</v>
      </c>
      <c r="F1678" s="2" t="s">
        <v>49</v>
      </c>
      <c r="G1678" s="2" t="s">
        <v>64</v>
      </c>
      <c r="H1678" s="2" t="s">
        <v>165</v>
      </c>
      <c r="I1678" s="13">
        <v>12</v>
      </c>
      <c r="J1678" s="10">
        <v>870.96</v>
      </c>
      <c r="K1678" s="10">
        <f t="shared" si="53"/>
        <v>10451.52</v>
      </c>
      <c r="L1678" s="2">
        <v>0.25</v>
      </c>
      <c r="M1678" s="2" t="s">
        <v>29</v>
      </c>
      <c r="N1678" s="2" t="s">
        <v>42</v>
      </c>
    </row>
    <row r="1679" spans="1:14" x14ac:dyDescent="0.2">
      <c r="A1679" s="13">
        <v>100407</v>
      </c>
      <c r="B1679" s="5">
        <v>45546</v>
      </c>
      <c r="C1679" s="5" t="str">
        <f t="shared" si="52"/>
        <v>Sep</v>
      </c>
      <c r="D1679" s="2" t="s">
        <v>307</v>
      </c>
      <c r="E1679" s="2" t="s">
        <v>140</v>
      </c>
      <c r="F1679" s="2" t="s">
        <v>79</v>
      </c>
      <c r="G1679" s="2" t="s">
        <v>64</v>
      </c>
      <c r="H1679" s="2" t="s">
        <v>165</v>
      </c>
      <c r="I1679" s="13">
        <v>4</v>
      </c>
      <c r="J1679" s="10">
        <v>104.62</v>
      </c>
      <c r="K1679" s="10">
        <f t="shared" si="53"/>
        <v>418.48</v>
      </c>
      <c r="L1679" s="2">
        <v>0</v>
      </c>
      <c r="M1679" s="2" t="s">
        <v>17</v>
      </c>
      <c r="N1679" s="2" t="s">
        <v>143</v>
      </c>
    </row>
    <row r="1680" spans="1:14" x14ac:dyDescent="0.2">
      <c r="A1680" s="13">
        <v>100866</v>
      </c>
      <c r="B1680" s="5">
        <v>45414</v>
      </c>
      <c r="C1680" s="5" t="str">
        <f t="shared" si="52"/>
        <v>May</v>
      </c>
      <c r="D1680" s="2" t="s">
        <v>387</v>
      </c>
      <c r="E1680" s="2" t="s">
        <v>61</v>
      </c>
      <c r="F1680" s="2" t="s">
        <v>14</v>
      </c>
      <c r="G1680" s="2" t="s">
        <v>50</v>
      </c>
      <c r="H1680" s="2" t="s">
        <v>99</v>
      </c>
      <c r="I1680" s="13">
        <v>7</v>
      </c>
      <c r="J1680" s="10">
        <v>0</v>
      </c>
      <c r="K1680" s="10">
        <f t="shared" si="53"/>
        <v>0</v>
      </c>
      <c r="L1680" s="2">
        <v>0.25</v>
      </c>
      <c r="M1680" s="2" t="s">
        <v>66</v>
      </c>
      <c r="N1680" s="2" t="s">
        <v>143</v>
      </c>
    </row>
    <row r="1681" spans="1:14" x14ac:dyDescent="0.2">
      <c r="A1681" s="13">
        <v>101631</v>
      </c>
      <c r="B1681" s="5">
        <v>45455</v>
      </c>
      <c r="C1681" s="5" t="str">
        <f t="shared" si="52"/>
        <v>Jun</v>
      </c>
      <c r="D1681" s="2" t="s">
        <v>128</v>
      </c>
      <c r="E1681" s="2" t="s">
        <v>37</v>
      </c>
      <c r="F1681" s="2" t="s">
        <v>69</v>
      </c>
      <c r="G1681" s="2" t="s">
        <v>50</v>
      </c>
      <c r="H1681" s="2" t="s">
        <v>62</v>
      </c>
      <c r="I1681" s="13">
        <v>9</v>
      </c>
      <c r="J1681" s="10">
        <v>6222.3</v>
      </c>
      <c r="K1681" s="10">
        <f t="shared" si="53"/>
        <v>56000.700000000004</v>
      </c>
      <c r="L1681" s="2">
        <v>0.1</v>
      </c>
      <c r="M1681" s="2" t="s">
        <v>24</v>
      </c>
      <c r="N1681" s="2" t="s">
        <v>25</v>
      </c>
    </row>
    <row r="1682" spans="1:14" x14ac:dyDescent="0.2">
      <c r="A1682" s="13">
        <v>100521</v>
      </c>
      <c r="B1682" s="5">
        <v>45355</v>
      </c>
      <c r="C1682" s="5" t="str">
        <f t="shared" si="52"/>
        <v>Mar</v>
      </c>
      <c r="D1682" s="2" t="s">
        <v>613</v>
      </c>
      <c r="E1682" s="2" t="s">
        <v>27</v>
      </c>
      <c r="F1682" s="2" t="s">
        <v>21</v>
      </c>
      <c r="G1682" s="2" t="s">
        <v>22</v>
      </c>
      <c r="H1682" s="2" t="s">
        <v>145</v>
      </c>
      <c r="I1682" s="13">
        <v>9</v>
      </c>
      <c r="J1682" s="10">
        <v>479.16</v>
      </c>
      <c r="K1682" s="10">
        <f t="shared" si="53"/>
        <v>4312.4400000000005</v>
      </c>
      <c r="L1682" s="2">
        <v>0.15</v>
      </c>
      <c r="M1682" s="2" t="s">
        <v>41</v>
      </c>
      <c r="N1682" s="2" t="s">
        <v>87</v>
      </c>
    </row>
    <row r="1683" spans="1:14" x14ac:dyDescent="0.2">
      <c r="A1683" s="13">
        <v>101004</v>
      </c>
      <c r="B1683" s="5">
        <v>45319</v>
      </c>
      <c r="C1683" s="5" t="str">
        <f t="shared" si="52"/>
        <v>Jan</v>
      </c>
      <c r="D1683" s="2" t="s">
        <v>147</v>
      </c>
      <c r="E1683" s="2" t="s">
        <v>61</v>
      </c>
      <c r="F1683" s="2" t="s">
        <v>119</v>
      </c>
      <c r="G1683" s="2" t="s">
        <v>15</v>
      </c>
      <c r="H1683" s="2" t="s">
        <v>16</v>
      </c>
      <c r="I1683" s="13">
        <v>5</v>
      </c>
      <c r="J1683" s="10">
        <v>22219.65</v>
      </c>
      <c r="K1683" s="10">
        <f t="shared" si="53"/>
        <v>111098.25</v>
      </c>
      <c r="L1683" s="2">
        <v>0.05</v>
      </c>
      <c r="M1683" s="2" t="s">
        <v>41</v>
      </c>
      <c r="N1683" s="2" t="s">
        <v>121</v>
      </c>
    </row>
    <row r="1684" spans="1:14" x14ac:dyDescent="0.2">
      <c r="A1684" s="13">
        <v>100381</v>
      </c>
      <c r="B1684" s="5">
        <v>45361</v>
      </c>
      <c r="C1684" s="5" t="str">
        <f t="shared" si="52"/>
        <v>Mar</v>
      </c>
      <c r="D1684" s="2" t="s">
        <v>108</v>
      </c>
      <c r="E1684" s="2" t="s">
        <v>31</v>
      </c>
      <c r="F1684" s="2" t="s">
        <v>32</v>
      </c>
      <c r="G1684" s="2" t="s">
        <v>22</v>
      </c>
      <c r="H1684" s="2" t="s">
        <v>141</v>
      </c>
      <c r="I1684" s="13">
        <v>8</v>
      </c>
      <c r="J1684" s="10">
        <v>2028.97</v>
      </c>
      <c r="K1684" s="10">
        <f t="shared" si="53"/>
        <v>16231.76</v>
      </c>
      <c r="L1684" s="2">
        <v>0</v>
      </c>
      <c r="M1684" s="2" t="s">
        <v>24</v>
      </c>
      <c r="N1684" s="2" t="s">
        <v>121</v>
      </c>
    </row>
    <row r="1685" spans="1:14" x14ac:dyDescent="0.2">
      <c r="A1685" s="13">
        <v>101435</v>
      </c>
      <c r="B1685" s="5">
        <v>45443</v>
      </c>
      <c r="C1685" s="5" t="str">
        <f t="shared" si="52"/>
        <v>May</v>
      </c>
      <c r="D1685" s="2" t="s">
        <v>601</v>
      </c>
      <c r="E1685" s="2" t="s">
        <v>31</v>
      </c>
      <c r="F1685" s="2" t="s">
        <v>54</v>
      </c>
      <c r="G1685" s="2" t="s">
        <v>15</v>
      </c>
      <c r="H1685" s="2" t="s">
        <v>116</v>
      </c>
      <c r="I1685" s="13">
        <v>8</v>
      </c>
      <c r="J1685" s="10">
        <v>12748.8</v>
      </c>
      <c r="K1685" s="10">
        <f t="shared" si="53"/>
        <v>101990.39999999999</v>
      </c>
      <c r="L1685" s="2">
        <v>0.05</v>
      </c>
      <c r="M1685" s="2" t="s">
        <v>17</v>
      </c>
      <c r="N1685" s="2" t="s">
        <v>52</v>
      </c>
    </row>
    <row r="1686" spans="1:14" x14ac:dyDescent="0.2">
      <c r="A1686" s="13">
        <v>101659</v>
      </c>
      <c r="B1686" s="5">
        <v>45366</v>
      </c>
      <c r="C1686" s="5" t="str">
        <f t="shared" si="52"/>
        <v>Mar</v>
      </c>
      <c r="D1686" s="2" t="s">
        <v>646</v>
      </c>
      <c r="E1686" s="2" t="s">
        <v>27</v>
      </c>
      <c r="F1686" s="2" t="s">
        <v>133</v>
      </c>
      <c r="G1686" s="2" t="s">
        <v>50</v>
      </c>
      <c r="H1686" s="2" t="s">
        <v>56</v>
      </c>
      <c r="I1686" s="13">
        <v>7</v>
      </c>
      <c r="J1686" s="10">
        <v>7593.88</v>
      </c>
      <c r="K1686" s="10">
        <f t="shared" si="53"/>
        <v>53157.16</v>
      </c>
      <c r="L1686" s="2">
        <v>0.05</v>
      </c>
      <c r="M1686" s="2" t="s">
        <v>17</v>
      </c>
      <c r="N1686" s="2" t="s">
        <v>18</v>
      </c>
    </row>
    <row r="1687" spans="1:14" x14ac:dyDescent="0.2">
      <c r="A1687" s="13">
        <v>101394</v>
      </c>
      <c r="B1687" s="5">
        <v>45504</v>
      </c>
      <c r="C1687" s="5" t="str">
        <f t="shared" si="52"/>
        <v>Jul</v>
      </c>
      <c r="D1687" s="2" t="s">
        <v>389</v>
      </c>
      <c r="E1687" s="2" t="s">
        <v>140</v>
      </c>
      <c r="F1687" s="2" t="s">
        <v>79</v>
      </c>
      <c r="G1687" s="2" t="s">
        <v>64</v>
      </c>
      <c r="H1687" s="2" t="s">
        <v>242</v>
      </c>
      <c r="I1687" s="13">
        <v>7</v>
      </c>
      <c r="J1687" s="10">
        <v>319.33</v>
      </c>
      <c r="K1687" s="10">
        <f t="shared" si="53"/>
        <v>2235.31</v>
      </c>
      <c r="L1687" s="2">
        <v>0</v>
      </c>
      <c r="M1687" s="2" t="s">
        <v>29</v>
      </c>
      <c r="N1687" s="2" t="s">
        <v>42</v>
      </c>
    </row>
    <row r="1688" spans="1:14" x14ac:dyDescent="0.2">
      <c r="A1688" s="13">
        <v>101425</v>
      </c>
      <c r="B1688" s="5">
        <v>45482</v>
      </c>
      <c r="C1688" s="5" t="str">
        <f t="shared" si="52"/>
        <v>Jul</v>
      </c>
      <c r="D1688" s="2" t="s">
        <v>955</v>
      </c>
      <c r="E1688" s="2" t="s">
        <v>140</v>
      </c>
      <c r="F1688" s="2" t="s">
        <v>79</v>
      </c>
      <c r="G1688" s="2" t="s">
        <v>33</v>
      </c>
      <c r="H1688" s="2" t="s">
        <v>93</v>
      </c>
      <c r="I1688" s="13">
        <v>3</v>
      </c>
      <c r="J1688" s="10">
        <v>352.37</v>
      </c>
      <c r="K1688" s="10">
        <f t="shared" si="53"/>
        <v>1057.1100000000001</v>
      </c>
      <c r="L1688" s="2">
        <v>0</v>
      </c>
      <c r="M1688" s="2" t="s">
        <v>83</v>
      </c>
      <c r="N1688" s="2" t="s">
        <v>143</v>
      </c>
    </row>
    <row r="1689" spans="1:14" x14ac:dyDescent="0.2">
      <c r="A1689" s="13">
        <v>101613</v>
      </c>
      <c r="B1689" s="5">
        <v>45405</v>
      </c>
      <c r="C1689" s="5" t="str">
        <f t="shared" si="52"/>
        <v>Apr</v>
      </c>
      <c r="D1689" s="2" t="s">
        <v>819</v>
      </c>
      <c r="E1689" s="2" t="s">
        <v>140</v>
      </c>
      <c r="F1689" s="2" t="s">
        <v>49</v>
      </c>
      <c r="G1689" s="2" t="s">
        <v>22</v>
      </c>
      <c r="H1689" s="2" t="s">
        <v>145</v>
      </c>
      <c r="I1689" s="13">
        <v>10</v>
      </c>
      <c r="J1689" s="10">
        <v>836.24</v>
      </c>
      <c r="K1689" s="10">
        <f t="shared" si="53"/>
        <v>8362.4</v>
      </c>
      <c r="L1689" s="2">
        <v>0.05</v>
      </c>
      <c r="M1689" s="2" t="s">
        <v>66</v>
      </c>
      <c r="N1689" s="2" t="s">
        <v>52</v>
      </c>
    </row>
    <row r="1690" spans="1:14" x14ac:dyDescent="0.2">
      <c r="A1690" s="13">
        <v>100428</v>
      </c>
      <c r="B1690" s="5">
        <v>45528</v>
      </c>
      <c r="C1690" s="5" t="str">
        <f t="shared" si="52"/>
        <v>Aug</v>
      </c>
      <c r="D1690" s="2" t="s">
        <v>734</v>
      </c>
      <c r="E1690" s="2" t="s">
        <v>37</v>
      </c>
      <c r="F1690" s="2" t="s">
        <v>38</v>
      </c>
      <c r="G1690" s="2" t="s">
        <v>64</v>
      </c>
      <c r="H1690" s="2" t="s">
        <v>292</v>
      </c>
      <c r="I1690" s="13">
        <v>11</v>
      </c>
      <c r="J1690" s="10">
        <v>842.58</v>
      </c>
      <c r="K1690" s="10">
        <f t="shared" si="53"/>
        <v>9268.380000000001</v>
      </c>
      <c r="L1690" s="2">
        <v>0</v>
      </c>
      <c r="M1690" s="2" t="s">
        <v>29</v>
      </c>
      <c r="N1690" s="2" t="s">
        <v>18</v>
      </c>
    </row>
    <row r="1691" spans="1:14" x14ac:dyDescent="0.2">
      <c r="A1691" s="13">
        <v>100079</v>
      </c>
      <c r="B1691" s="5">
        <v>45489</v>
      </c>
      <c r="C1691" s="5" t="str">
        <f t="shared" si="52"/>
        <v>Jul</v>
      </c>
      <c r="D1691" s="2" t="s">
        <v>378</v>
      </c>
      <c r="E1691" s="2" t="s">
        <v>31</v>
      </c>
      <c r="F1691" s="2" t="s">
        <v>32</v>
      </c>
      <c r="G1691" s="2" t="s">
        <v>15</v>
      </c>
      <c r="H1691" s="2" t="s">
        <v>116</v>
      </c>
      <c r="I1691" s="13">
        <v>11</v>
      </c>
      <c r="J1691" s="10">
        <v>5971.1</v>
      </c>
      <c r="K1691" s="10">
        <f t="shared" si="53"/>
        <v>65682.100000000006</v>
      </c>
      <c r="L1691" s="2">
        <v>0.15</v>
      </c>
      <c r="M1691" s="2" t="s">
        <v>29</v>
      </c>
      <c r="N1691" s="2" t="s">
        <v>121</v>
      </c>
    </row>
    <row r="1692" spans="1:14" x14ac:dyDescent="0.2">
      <c r="A1692" s="13">
        <v>101598</v>
      </c>
      <c r="B1692" s="5">
        <v>45463</v>
      </c>
      <c r="C1692" s="5" t="str">
        <f t="shared" si="52"/>
        <v>Jun</v>
      </c>
      <c r="D1692" s="2" t="s">
        <v>465</v>
      </c>
      <c r="E1692" s="2" t="s">
        <v>27</v>
      </c>
      <c r="F1692" s="2" t="s">
        <v>133</v>
      </c>
      <c r="G1692" s="2" t="s">
        <v>50</v>
      </c>
      <c r="H1692" s="2" t="s">
        <v>56</v>
      </c>
      <c r="I1692" s="13">
        <v>1</v>
      </c>
      <c r="J1692" s="10">
        <v>3389.4</v>
      </c>
      <c r="K1692" s="10">
        <f t="shared" si="53"/>
        <v>3389.4</v>
      </c>
      <c r="L1692" s="2">
        <v>0.15</v>
      </c>
      <c r="M1692" s="2" t="s">
        <v>41</v>
      </c>
      <c r="N1692" s="2" t="s">
        <v>25</v>
      </c>
    </row>
    <row r="1693" spans="1:14" x14ac:dyDescent="0.2">
      <c r="A1693" s="13">
        <v>101010</v>
      </c>
      <c r="B1693" s="5">
        <v>45313</v>
      </c>
      <c r="C1693" s="5" t="str">
        <f t="shared" si="52"/>
        <v>Jan</v>
      </c>
      <c r="D1693" s="2" t="s">
        <v>60</v>
      </c>
      <c r="E1693" s="2" t="s">
        <v>31</v>
      </c>
      <c r="F1693" s="2" t="s">
        <v>54</v>
      </c>
      <c r="G1693" s="2" t="s">
        <v>22</v>
      </c>
      <c r="H1693" s="2" t="s">
        <v>23</v>
      </c>
      <c r="I1693" s="13">
        <v>8</v>
      </c>
      <c r="J1693" s="10">
        <v>824.13</v>
      </c>
      <c r="K1693" s="10">
        <f t="shared" si="53"/>
        <v>6593.04</v>
      </c>
      <c r="L1693" s="2">
        <v>0.05</v>
      </c>
      <c r="M1693" s="2" t="s">
        <v>29</v>
      </c>
      <c r="N1693" s="2" t="s">
        <v>143</v>
      </c>
    </row>
    <row r="1694" spans="1:14" x14ac:dyDescent="0.2">
      <c r="A1694" s="13">
        <v>101996</v>
      </c>
      <c r="B1694" s="5">
        <v>45457</v>
      </c>
      <c r="C1694" s="5" t="str">
        <f t="shared" si="52"/>
        <v>Jun</v>
      </c>
      <c r="D1694" s="2" t="s">
        <v>1069</v>
      </c>
      <c r="E1694" s="2" t="s">
        <v>140</v>
      </c>
      <c r="F1694" s="2" t="s">
        <v>49</v>
      </c>
      <c r="G1694" s="2" t="s">
        <v>45</v>
      </c>
      <c r="H1694" s="2" t="s">
        <v>71</v>
      </c>
      <c r="I1694" s="13">
        <v>2</v>
      </c>
      <c r="J1694" s="10">
        <v>32003.96</v>
      </c>
      <c r="K1694" s="10">
        <f t="shared" si="53"/>
        <v>64007.92</v>
      </c>
      <c r="L1694" s="2">
        <v>0.25</v>
      </c>
      <c r="M1694" s="2" t="s">
        <v>17</v>
      </c>
      <c r="N1694" s="2" t="s">
        <v>42</v>
      </c>
    </row>
    <row r="1695" spans="1:14" x14ac:dyDescent="0.2">
      <c r="A1695" s="13">
        <v>101662</v>
      </c>
      <c r="B1695" s="5">
        <v>45460</v>
      </c>
      <c r="C1695" s="5" t="str">
        <f t="shared" si="52"/>
        <v>Jun</v>
      </c>
      <c r="D1695" s="2" t="s">
        <v>760</v>
      </c>
      <c r="E1695" s="2" t="s">
        <v>31</v>
      </c>
      <c r="F1695" s="2" t="s">
        <v>32</v>
      </c>
      <c r="G1695" s="2" t="s">
        <v>64</v>
      </c>
      <c r="H1695" s="2" t="s">
        <v>114</v>
      </c>
      <c r="I1695" s="13">
        <v>11</v>
      </c>
      <c r="J1695" s="10">
        <v>499.72</v>
      </c>
      <c r="K1695" s="10">
        <f t="shared" si="53"/>
        <v>5496.92</v>
      </c>
      <c r="L1695" s="2">
        <v>0.05</v>
      </c>
      <c r="M1695" s="2" t="s">
        <v>83</v>
      </c>
      <c r="N1695" s="2" t="s">
        <v>143</v>
      </c>
    </row>
    <row r="1696" spans="1:14" x14ac:dyDescent="0.2">
      <c r="A1696" s="13">
        <v>100608</v>
      </c>
      <c r="B1696" s="5">
        <v>45471</v>
      </c>
      <c r="C1696" s="5" t="str">
        <f t="shared" si="52"/>
        <v>Jun</v>
      </c>
      <c r="D1696" s="2" t="s">
        <v>398</v>
      </c>
      <c r="E1696" s="2" t="s">
        <v>27</v>
      </c>
      <c r="F1696" s="2" t="s">
        <v>21</v>
      </c>
      <c r="G1696" s="2" t="s">
        <v>33</v>
      </c>
      <c r="H1696" s="2" t="s">
        <v>81</v>
      </c>
      <c r="I1696" s="13">
        <v>2</v>
      </c>
      <c r="J1696" s="10">
        <v>36.14</v>
      </c>
      <c r="K1696" s="10">
        <f t="shared" si="53"/>
        <v>72.28</v>
      </c>
      <c r="L1696" s="2">
        <v>0.05</v>
      </c>
      <c r="M1696" s="2" t="s">
        <v>29</v>
      </c>
      <c r="N1696" s="2" t="s">
        <v>18</v>
      </c>
    </row>
    <row r="1697" spans="1:14" x14ac:dyDescent="0.2">
      <c r="A1697" s="13">
        <v>101806</v>
      </c>
      <c r="B1697" s="5">
        <v>45362</v>
      </c>
      <c r="C1697" s="5" t="str">
        <f t="shared" si="52"/>
        <v>Mar</v>
      </c>
      <c r="D1697" s="2" t="s">
        <v>385</v>
      </c>
      <c r="E1697" s="2" t="s">
        <v>27</v>
      </c>
      <c r="F1697" s="2" t="s">
        <v>21</v>
      </c>
      <c r="G1697" s="2" t="s">
        <v>50</v>
      </c>
      <c r="H1697" s="2" t="s">
        <v>207</v>
      </c>
      <c r="I1697" s="13">
        <v>5</v>
      </c>
      <c r="J1697" s="10">
        <v>6197.21</v>
      </c>
      <c r="K1697" s="10">
        <f t="shared" si="53"/>
        <v>30986.05</v>
      </c>
      <c r="L1697" s="2">
        <v>0.05</v>
      </c>
      <c r="M1697" s="2" t="s">
        <v>17</v>
      </c>
      <c r="N1697" s="2" t="s">
        <v>35</v>
      </c>
    </row>
    <row r="1698" spans="1:14" x14ac:dyDescent="0.2">
      <c r="A1698" s="13">
        <v>101845</v>
      </c>
      <c r="B1698" s="5">
        <v>45446</v>
      </c>
      <c r="C1698" s="5" t="str">
        <f t="shared" si="52"/>
        <v>Jun</v>
      </c>
      <c r="D1698" s="2" t="s">
        <v>384</v>
      </c>
      <c r="E1698" s="2" t="s">
        <v>27</v>
      </c>
      <c r="F1698" s="2" t="s">
        <v>133</v>
      </c>
      <c r="G1698" s="2" t="s">
        <v>50</v>
      </c>
      <c r="H1698" s="2" t="s">
        <v>62</v>
      </c>
      <c r="I1698" s="13">
        <v>7</v>
      </c>
      <c r="J1698" s="10">
        <v>10409.870000000001</v>
      </c>
      <c r="K1698" s="10">
        <f t="shared" si="53"/>
        <v>72869.090000000011</v>
      </c>
      <c r="L1698" s="2">
        <v>0.1</v>
      </c>
      <c r="M1698" s="2" t="s">
        <v>83</v>
      </c>
      <c r="N1698" s="2" t="s">
        <v>143</v>
      </c>
    </row>
    <row r="1699" spans="1:14" x14ac:dyDescent="0.2">
      <c r="A1699" s="13">
        <v>101058</v>
      </c>
      <c r="B1699" s="5">
        <v>45607</v>
      </c>
      <c r="C1699" s="5" t="str">
        <f t="shared" si="52"/>
        <v>Nov</v>
      </c>
      <c r="D1699" s="2" t="s">
        <v>889</v>
      </c>
      <c r="E1699" s="2" t="s">
        <v>37</v>
      </c>
      <c r="F1699" s="2" t="s">
        <v>69</v>
      </c>
      <c r="G1699" s="2" t="s">
        <v>50</v>
      </c>
      <c r="H1699" s="2" t="s">
        <v>56</v>
      </c>
      <c r="I1699" s="13">
        <v>8</v>
      </c>
      <c r="J1699" s="10">
        <v>8025.37</v>
      </c>
      <c r="K1699" s="10">
        <f t="shared" si="53"/>
        <v>64202.96</v>
      </c>
      <c r="L1699" s="2">
        <v>0</v>
      </c>
      <c r="M1699" s="2" t="s">
        <v>24</v>
      </c>
      <c r="N1699" s="2" t="s">
        <v>143</v>
      </c>
    </row>
    <row r="1700" spans="1:14" x14ac:dyDescent="0.2">
      <c r="A1700" s="13">
        <v>101441</v>
      </c>
      <c r="B1700" s="5">
        <v>45322</v>
      </c>
      <c r="C1700" s="5" t="str">
        <f t="shared" si="52"/>
        <v>Jan</v>
      </c>
      <c r="D1700" s="2" t="s">
        <v>1019</v>
      </c>
      <c r="E1700" s="2" t="s">
        <v>27</v>
      </c>
      <c r="F1700" s="2" t="s">
        <v>21</v>
      </c>
      <c r="G1700" s="2" t="s">
        <v>33</v>
      </c>
      <c r="H1700" s="2" t="s">
        <v>93</v>
      </c>
      <c r="I1700" s="13">
        <v>10</v>
      </c>
      <c r="J1700" s="10">
        <v>175.63</v>
      </c>
      <c r="K1700" s="10">
        <f t="shared" si="53"/>
        <v>1756.3</v>
      </c>
      <c r="L1700" s="2">
        <v>0.1</v>
      </c>
      <c r="M1700" s="2" t="s">
        <v>41</v>
      </c>
      <c r="N1700" s="2" t="s">
        <v>143</v>
      </c>
    </row>
    <row r="1701" spans="1:14" x14ac:dyDescent="0.2">
      <c r="A1701" s="13">
        <v>101515</v>
      </c>
      <c r="B1701" s="5">
        <v>45349</v>
      </c>
      <c r="C1701" s="5" t="str">
        <f t="shared" si="52"/>
        <v>Feb</v>
      </c>
      <c r="D1701" s="2" t="s">
        <v>221</v>
      </c>
      <c r="E1701" s="2" t="s">
        <v>37</v>
      </c>
      <c r="F1701" s="2" t="s">
        <v>38</v>
      </c>
      <c r="G1701" s="2" t="s">
        <v>33</v>
      </c>
      <c r="H1701" s="2" t="s">
        <v>34</v>
      </c>
      <c r="I1701" s="13">
        <v>10</v>
      </c>
      <c r="J1701" s="10">
        <v>479.06</v>
      </c>
      <c r="K1701" s="10">
        <f t="shared" si="53"/>
        <v>4790.6000000000004</v>
      </c>
      <c r="L1701" s="2">
        <v>0</v>
      </c>
      <c r="M1701" s="2" t="s">
        <v>83</v>
      </c>
      <c r="N1701" s="2" t="s">
        <v>143</v>
      </c>
    </row>
    <row r="1702" spans="1:14" x14ac:dyDescent="0.2">
      <c r="A1702" s="13">
        <v>101586</v>
      </c>
      <c r="B1702" s="5">
        <v>45579</v>
      </c>
      <c r="C1702" s="5" t="str">
        <f t="shared" si="52"/>
        <v>Oct</v>
      </c>
      <c r="D1702" s="2" t="s">
        <v>348</v>
      </c>
      <c r="E1702" s="2" t="s">
        <v>61</v>
      </c>
      <c r="F1702" s="2" t="s">
        <v>119</v>
      </c>
      <c r="G1702" s="2" t="s">
        <v>22</v>
      </c>
      <c r="H1702" s="2" t="s">
        <v>141</v>
      </c>
      <c r="I1702" s="13">
        <v>6</v>
      </c>
      <c r="J1702" s="10">
        <v>2210.7800000000002</v>
      </c>
      <c r="K1702" s="10">
        <f t="shared" si="53"/>
        <v>13264.68</v>
      </c>
      <c r="L1702" s="2">
        <v>0.2</v>
      </c>
      <c r="M1702" s="2" t="s">
        <v>83</v>
      </c>
      <c r="N1702" s="2" t="s">
        <v>18</v>
      </c>
    </row>
    <row r="1703" spans="1:14" x14ac:dyDescent="0.2">
      <c r="A1703" s="13">
        <v>101092</v>
      </c>
      <c r="B1703" s="5">
        <v>45358</v>
      </c>
      <c r="C1703" s="5" t="str">
        <f t="shared" si="52"/>
        <v>Mar</v>
      </c>
      <c r="D1703" s="2" t="s">
        <v>1021</v>
      </c>
      <c r="E1703" s="2" t="s">
        <v>37</v>
      </c>
      <c r="F1703" s="2" t="s">
        <v>38</v>
      </c>
      <c r="G1703" s="2" t="s">
        <v>22</v>
      </c>
      <c r="H1703" s="2" t="s">
        <v>141</v>
      </c>
      <c r="I1703" s="13">
        <v>8</v>
      </c>
      <c r="J1703" s="10">
        <v>793.2</v>
      </c>
      <c r="K1703" s="10">
        <f t="shared" si="53"/>
        <v>6345.6</v>
      </c>
      <c r="L1703" s="2">
        <v>0</v>
      </c>
      <c r="M1703" s="2" t="s">
        <v>83</v>
      </c>
      <c r="N1703" s="2" t="s">
        <v>42</v>
      </c>
    </row>
    <row r="1704" spans="1:14" x14ac:dyDescent="0.2">
      <c r="A1704" s="13">
        <v>101561</v>
      </c>
      <c r="B1704" s="5">
        <v>45631</v>
      </c>
      <c r="C1704" s="5" t="str">
        <f t="shared" si="52"/>
        <v>Dec</v>
      </c>
      <c r="D1704" s="2" t="s">
        <v>197</v>
      </c>
      <c r="E1704" s="2" t="s">
        <v>140</v>
      </c>
      <c r="F1704" s="2" t="s">
        <v>79</v>
      </c>
      <c r="G1704" s="2" t="s">
        <v>33</v>
      </c>
      <c r="H1704" s="2" t="s">
        <v>158</v>
      </c>
      <c r="I1704" s="13">
        <v>2</v>
      </c>
      <c r="J1704" s="10">
        <v>371.84</v>
      </c>
      <c r="K1704" s="10">
        <f t="shared" si="53"/>
        <v>743.68</v>
      </c>
      <c r="L1704" s="2">
        <v>0</v>
      </c>
      <c r="M1704" s="2" t="s">
        <v>83</v>
      </c>
      <c r="N1704" s="2" t="s">
        <v>87</v>
      </c>
    </row>
    <row r="1705" spans="1:14" x14ac:dyDescent="0.2">
      <c r="A1705" s="13">
        <v>101102</v>
      </c>
      <c r="B1705" s="5">
        <v>45442</v>
      </c>
      <c r="C1705" s="5" t="str">
        <f t="shared" si="52"/>
        <v>May</v>
      </c>
      <c r="D1705" s="2" t="s">
        <v>963</v>
      </c>
      <c r="E1705" s="2" t="s">
        <v>37</v>
      </c>
      <c r="F1705" s="2" t="s">
        <v>69</v>
      </c>
      <c r="G1705" s="2" t="s">
        <v>22</v>
      </c>
      <c r="H1705" s="2" t="s">
        <v>141</v>
      </c>
      <c r="I1705" s="13">
        <v>3</v>
      </c>
      <c r="J1705" s="10">
        <v>3154.25</v>
      </c>
      <c r="K1705" s="10">
        <f t="shared" si="53"/>
        <v>9462.75</v>
      </c>
      <c r="L1705" s="2">
        <v>0</v>
      </c>
      <c r="M1705" s="2" t="s">
        <v>66</v>
      </c>
      <c r="N1705" s="2" t="s">
        <v>121</v>
      </c>
    </row>
    <row r="1706" spans="1:14" x14ac:dyDescent="0.2">
      <c r="A1706" s="13">
        <v>101130</v>
      </c>
      <c r="B1706" s="5">
        <v>45637</v>
      </c>
      <c r="C1706" s="5" t="str">
        <f t="shared" si="52"/>
        <v>Dec</v>
      </c>
      <c r="D1706" s="2" t="s">
        <v>567</v>
      </c>
      <c r="E1706" s="2" t="s">
        <v>37</v>
      </c>
      <c r="F1706" s="2" t="s">
        <v>38</v>
      </c>
      <c r="G1706" s="2" t="s">
        <v>64</v>
      </c>
      <c r="H1706" s="2" t="s">
        <v>40</v>
      </c>
      <c r="I1706" s="13">
        <v>5</v>
      </c>
      <c r="J1706" s="10">
        <v>369.28</v>
      </c>
      <c r="K1706" s="10">
        <f t="shared" si="53"/>
        <v>1846.3999999999999</v>
      </c>
      <c r="L1706" s="2">
        <v>0.15</v>
      </c>
      <c r="M1706" s="2" t="s">
        <v>83</v>
      </c>
      <c r="N1706" s="2" t="s">
        <v>52</v>
      </c>
    </row>
    <row r="1707" spans="1:14" x14ac:dyDescent="0.2">
      <c r="A1707" s="13">
        <v>101236</v>
      </c>
      <c r="B1707" s="5">
        <v>45528</v>
      </c>
      <c r="C1707" s="5" t="str">
        <f t="shared" si="52"/>
        <v>Aug</v>
      </c>
      <c r="D1707" s="2" t="s">
        <v>177</v>
      </c>
      <c r="E1707" s="2" t="s">
        <v>140</v>
      </c>
      <c r="F1707" s="2" t="s">
        <v>79</v>
      </c>
      <c r="G1707" s="2" t="s">
        <v>33</v>
      </c>
      <c r="H1707" s="2" t="s">
        <v>158</v>
      </c>
      <c r="I1707" s="13">
        <v>9</v>
      </c>
      <c r="J1707" s="10">
        <v>450.82</v>
      </c>
      <c r="K1707" s="10">
        <f t="shared" si="53"/>
        <v>4057.38</v>
      </c>
      <c r="L1707" s="2">
        <v>0.25</v>
      </c>
      <c r="M1707" s="2" t="s">
        <v>41</v>
      </c>
      <c r="N1707" s="2" t="s">
        <v>143</v>
      </c>
    </row>
    <row r="1708" spans="1:14" x14ac:dyDescent="0.2">
      <c r="A1708" s="13">
        <v>101788</v>
      </c>
      <c r="B1708" s="5">
        <v>45374</v>
      </c>
      <c r="C1708" s="5" t="str">
        <f t="shared" si="52"/>
        <v>Mar</v>
      </c>
      <c r="D1708" s="2" t="s">
        <v>276</v>
      </c>
      <c r="E1708" s="2" t="s">
        <v>27</v>
      </c>
      <c r="F1708" s="2" t="s">
        <v>21</v>
      </c>
      <c r="G1708" s="2" t="s">
        <v>64</v>
      </c>
      <c r="H1708" s="2" t="s">
        <v>40</v>
      </c>
      <c r="I1708" s="13">
        <v>11</v>
      </c>
      <c r="J1708" s="10">
        <v>422.22</v>
      </c>
      <c r="K1708" s="10">
        <f t="shared" si="53"/>
        <v>4644.42</v>
      </c>
      <c r="L1708" s="2">
        <v>0.25</v>
      </c>
      <c r="M1708" s="2" t="s">
        <v>83</v>
      </c>
      <c r="N1708" s="2" t="s">
        <v>25</v>
      </c>
    </row>
    <row r="1709" spans="1:14" x14ac:dyDescent="0.2">
      <c r="A1709" s="13">
        <v>100959</v>
      </c>
      <c r="B1709" s="5">
        <v>45555</v>
      </c>
      <c r="C1709" s="5" t="str">
        <f t="shared" si="52"/>
        <v>Sep</v>
      </c>
      <c r="D1709" s="2" t="s">
        <v>569</v>
      </c>
      <c r="E1709" s="2" t="s">
        <v>61</v>
      </c>
      <c r="F1709" s="2" t="s">
        <v>119</v>
      </c>
      <c r="G1709" s="2" t="s">
        <v>22</v>
      </c>
      <c r="H1709" s="2" t="s">
        <v>145</v>
      </c>
      <c r="I1709" s="13">
        <v>2</v>
      </c>
      <c r="J1709" s="10">
        <v>981.35</v>
      </c>
      <c r="K1709" s="10">
        <f t="shared" si="53"/>
        <v>1962.7</v>
      </c>
      <c r="L1709" s="2">
        <v>0.1</v>
      </c>
      <c r="M1709" s="2" t="s">
        <v>24</v>
      </c>
      <c r="N1709" s="2" t="s">
        <v>121</v>
      </c>
    </row>
    <row r="1710" spans="1:14" x14ac:dyDescent="0.2">
      <c r="A1710" s="13">
        <v>101663</v>
      </c>
      <c r="B1710" s="5">
        <v>45547</v>
      </c>
      <c r="C1710" s="5" t="str">
        <f t="shared" si="52"/>
        <v>Sep</v>
      </c>
      <c r="D1710" s="2" t="s">
        <v>817</v>
      </c>
      <c r="E1710" s="2" t="s">
        <v>37</v>
      </c>
      <c r="F1710" s="2" t="s">
        <v>69</v>
      </c>
      <c r="G1710" s="2" t="s">
        <v>33</v>
      </c>
      <c r="H1710" s="2" t="s">
        <v>81</v>
      </c>
      <c r="I1710" s="13">
        <v>7</v>
      </c>
      <c r="J1710" s="10">
        <v>408.35</v>
      </c>
      <c r="K1710" s="10">
        <f t="shared" si="53"/>
        <v>2858.4500000000003</v>
      </c>
      <c r="L1710" s="2">
        <v>0</v>
      </c>
      <c r="M1710" s="2" t="s">
        <v>41</v>
      </c>
      <c r="N1710" s="2" t="s">
        <v>35</v>
      </c>
    </row>
    <row r="1711" spans="1:14" x14ac:dyDescent="0.2">
      <c r="A1711" s="13">
        <v>100560</v>
      </c>
      <c r="B1711" s="5">
        <v>45321</v>
      </c>
      <c r="C1711" s="5" t="str">
        <f t="shared" si="52"/>
        <v>Jan</v>
      </c>
      <c r="D1711" s="2" t="s">
        <v>704</v>
      </c>
      <c r="E1711" s="2" t="s">
        <v>61</v>
      </c>
      <c r="F1711" s="2" t="s">
        <v>119</v>
      </c>
      <c r="G1711" s="2" t="s">
        <v>106</v>
      </c>
      <c r="H1711" s="2" t="s">
        <v>156</v>
      </c>
      <c r="I1711" s="13">
        <v>10</v>
      </c>
      <c r="J1711" s="10">
        <v>1976.53</v>
      </c>
      <c r="K1711" s="10">
        <f t="shared" si="53"/>
        <v>19765.3</v>
      </c>
      <c r="L1711" s="2">
        <v>0</v>
      </c>
      <c r="M1711" s="2" t="s">
        <v>83</v>
      </c>
      <c r="N1711" s="2" t="s">
        <v>25</v>
      </c>
    </row>
    <row r="1712" spans="1:14" x14ac:dyDescent="0.2">
      <c r="A1712" s="13">
        <v>100847</v>
      </c>
      <c r="B1712" s="5">
        <v>45380</v>
      </c>
      <c r="C1712" s="5" t="str">
        <f t="shared" si="52"/>
        <v>Mar</v>
      </c>
      <c r="D1712" s="2" t="s">
        <v>352</v>
      </c>
      <c r="E1712" s="2" t="s">
        <v>140</v>
      </c>
      <c r="F1712" s="2" t="s">
        <v>79</v>
      </c>
      <c r="G1712" s="2" t="s">
        <v>33</v>
      </c>
      <c r="H1712" s="2" t="s">
        <v>81</v>
      </c>
      <c r="I1712" s="13"/>
      <c r="J1712" s="10">
        <v>200.48</v>
      </c>
      <c r="K1712" s="10">
        <f t="shared" si="53"/>
        <v>0</v>
      </c>
      <c r="L1712" s="2">
        <v>0.25</v>
      </c>
      <c r="M1712" s="2" t="s">
        <v>41</v>
      </c>
      <c r="N1712" s="2" t="s">
        <v>18</v>
      </c>
    </row>
    <row r="1713" spans="1:14" x14ac:dyDescent="0.2">
      <c r="A1713" s="13">
        <v>101768</v>
      </c>
      <c r="B1713" s="5">
        <v>45380</v>
      </c>
      <c r="C1713" s="5" t="str">
        <f t="shared" si="52"/>
        <v>Mar</v>
      </c>
      <c r="D1713" s="2" t="s">
        <v>282</v>
      </c>
      <c r="E1713" s="2" t="s">
        <v>27</v>
      </c>
      <c r="F1713" s="2" t="s">
        <v>133</v>
      </c>
      <c r="G1713" s="2" t="s">
        <v>15</v>
      </c>
      <c r="H1713" s="2" t="s">
        <v>205</v>
      </c>
      <c r="I1713" s="13">
        <v>12</v>
      </c>
      <c r="J1713" s="10">
        <v>19305.14</v>
      </c>
      <c r="K1713" s="10">
        <f t="shared" si="53"/>
        <v>231661.68</v>
      </c>
      <c r="L1713" s="2">
        <v>0.2</v>
      </c>
      <c r="M1713" s="2" t="s">
        <v>66</v>
      </c>
      <c r="N1713" s="2" t="s">
        <v>121</v>
      </c>
    </row>
    <row r="1714" spans="1:14" x14ac:dyDescent="0.2">
      <c r="A1714" s="13">
        <v>100691</v>
      </c>
      <c r="B1714" s="5">
        <v>45622</v>
      </c>
      <c r="C1714" s="5" t="str">
        <f t="shared" si="52"/>
        <v>Nov</v>
      </c>
      <c r="D1714" s="2" t="s">
        <v>455</v>
      </c>
      <c r="E1714" s="2" t="s">
        <v>31</v>
      </c>
      <c r="F1714" s="2" t="s">
        <v>54</v>
      </c>
      <c r="G1714" s="2" t="s">
        <v>50</v>
      </c>
      <c r="H1714" s="2" t="s">
        <v>207</v>
      </c>
      <c r="I1714" s="13">
        <v>8</v>
      </c>
      <c r="J1714" s="10">
        <v>6908.04</v>
      </c>
      <c r="K1714" s="10">
        <f t="shared" si="53"/>
        <v>55264.32</v>
      </c>
      <c r="L1714" s="2">
        <v>0.15</v>
      </c>
      <c r="M1714" s="2" t="s">
        <v>29</v>
      </c>
      <c r="N1714" s="2" t="s">
        <v>87</v>
      </c>
    </row>
    <row r="1715" spans="1:14" x14ac:dyDescent="0.2">
      <c r="A1715" s="13">
        <v>101520</v>
      </c>
      <c r="B1715" s="5">
        <v>45568</v>
      </c>
      <c r="C1715" s="5" t="str">
        <f t="shared" si="52"/>
        <v>Oct</v>
      </c>
      <c r="D1715" s="2" t="s">
        <v>326</v>
      </c>
      <c r="E1715" s="2" t="s">
        <v>37</v>
      </c>
      <c r="F1715" s="2" t="s">
        <v>69</v>
      </c>
      <c r="G1715" s="2" t="s">
        <v>64</v>
      </c>
      <c r="H1715" s="2" t="s">
        <v>114</v>
      </c>
      <c r="I1715" s="13">
        <v>7</v>
      </c>
      <c r="J1715" s="10">
        <v>636.92999999999995</v>
      </c>
      <c r="K1715" s="10">
        <f t="shared" si="53"/>
        <v>4458.5099999999993</v>
      </c>
      <c r="L1715" s="2">
        <v>0</v>
      </c>
      <c r="M1715" s="2" t="s">
        <v>24</v>
      </c>
      <c r="N1715" s="2" t="s">
        <v>87</v>
      </c>
    </row>
    <row r="1716" spans="1:14" x14ac:dyDescent="0.2">
      <c r="A1716" s="13">
        <v>101961</v>
      </c>
      <c r="B1716" s="5">
        <v>45453</v>
      </c>
      <c r="C1716" s="5" t="str">
        <f t="shared" si="52"/>
        <v>Jun</v>
      </c>
      <c r="D1716" s="2" t="s">
        <v>272</v>
      </c>
      <c r="E1716" s="2" t="s">
        <v>140</v>
      </c>
      <c r="F1716" s="2" t="s">
        <v>49</v>
      </c>
      <c r="G1716" s="2" t="s">
        <v>15</v>
      </c>
      <c r="H1716" s="2" t="s">
        <v>116</v>
      </c>
      <c r="I1716" s="13">
        <v>3</v>
      </c>
      <c r="J1716" s="10">
        <v>22025.41</v>
      </c>
      <c r="K1716" s="10">
        <f t="shared" si="53"/>
        <v>66076.23</v>
      </c>
      <c r="L1716" s="2">
        <v>0</v>
      </c>
      <c r="M1716" s="2" t="s">
        <v>29</v>
      </c>
      <c r="N1716" s="2" t="s">
        <v>35</v>
      </c>
    </row>
    <row r="1717" spans="1:14" x14ac:dyDescent="0.2">
      <c r="A1717" s="13">
        <v>101888</v>
      </c>
      <c r="B1717" s="5">
        <v>45372</v>
      </c>
      <c r="C1717" s="5" t="str">
        <f t="shared" si="52"/>
        <v>Mar</v>
      </c>
      <c r="D1717" s="2" t="s">
        <v>208</v>
      </c>
      <c r="E1717" s="2" t="s">
        <v>61</v>
      </c>
      <c r="F1717" s="2" t="s">
        <v>14</v>
      </c>
      <c r="G1717" s="2" t="s">
        <v>64</v>
      </c>
      <c r="H1717" s="2" t="s">
        <v>165</v>
      </c>
      <c r="I1717" s="13">
        <v>9</v>
      </c>
      <c r="J1717" s="10">
        <v>678.24</v>
      </c>
      <c r="K1717" s="10">
        <f t="shared" si="53"/>
        <v>6104.16</v>
      </c>
      <c r="L1717" s="2">
        <v>0.05</v>
      </c>
      <c r="M1717" s="2" t="s">
        <v>83</v>
      </c>
      <c r="N1717" s="2" t="s">
        <v>18</v>
      </c>
    </row>
    <row r="1718" spans="1:14" x14ac:dyDescent="0.2">
      <c r="A1718" s="13">
        <v>100437</v>
      </c>
      <c r="B1718" s="5">
        <v>45496</v>
      </c>
      <c r="C1718" s="5" t="str">
        <f t="shared" si="52"/>
        <v>Jul</v>
      </c>
      <c r="D1718" s="2" t="s">
        <v>945</v>
      </c>
      <c r="E1718" s="2" t="s">
        <v>27</v>
      </c>
      <c r="F1718" s="2" t="s">
        <v>133</v>
      </c>
      <c r="G1718" s="2" t="s">
        <v>22</v>
      </c>
      <c r="H1718" s="2" t="s">
        <v>23</v>
      </c>
      <c r="I1718" s="13">
        <v>6</v>
      </c>
      <c r="J1718" s="10">
        <v>1735.81</v>
      </c>
      <c r="K1718" s="10">
        <f t="shared" si="53"/>
        <v>10414.86</v>
      </c>
      <c r="L1718" s="2">
        <v>0</v>
      </c>
      <c r="M1718" s="2" t="s">
        <v>66</v>
      </c>
      <c r="N1718" s="2" t="s">
        <v>18</v>
      </c>
    </row>
    <row r="1719" spans="1:14" x14ac:dyDescent="0.2">
      <c r="A1719" s="13">
        <v>100491</v>
      </c>
      <c r="B1719" s="5">
        <v>45294</v>
      </c>
      <c r="C1719" s="5" t="str">
        <f t="shared" si="52"/>
        <v>Jan</v>
      </c>
      <c r="D1719" s="2" t="s">
        <v>341</v>
      </c>
      <c r="E1719" s="2" t="s">
        <v>37</v>
      </c>
      <c r="F1719" s="2" t="s">
        <v>69</v>
      </c>
      <c r="G1719" s="2" t="s">
        <v>64</v>
      </c>
      <c r="H1719" s="2" t="s">
        <v>165</v>
      </c>
      <c r="I1719" s="13">
        <v>6</v>
      </c>
      <c r="J1719" s="10">
        <v>891.32</v>
      </c>
      <c r="K1719" s="10">
        <f t="shared" si="53"/>
        <v>5347.92</v>
      </c>
      <c r="L1719" s="2">
        <v>0.1</v>
      </c>
      <c r="M1719" s="2" t="s">
        <v>29</v>
      </c>
      <c r="N1719" s="2" t="s">
        <v>143</v>
      </c>
    </row>
    <row r="1720" spans="1:14" x14ac:dyDescent="0.2">
      <c r="A1720" s="13">
        <v>101922</v>
      </c>
      <c r="B1720" s="5">
        <v>45442</v>
      </c>
      <c r="C1720" s="5" t="str">
        <f t="shared" si="52"/>
        <v>May</v>
      </c>
      <c r="D1720" s="2" t="s">
        <v>459</v>
      </c>
      <c r="E1720" s="2" t="s">
        <v>140</v>
      </c>
      <c r="F1720" s="2" t="s">
        <v>49</v>
      </c>
      <c r="G1720" s="2" t="s">
        <v>64</v>
      </c>
      <c r="H1720" s="2" t="s">
        <v>165</v>
      </c>
      <c r="I1720" s="13">
        <v>9</v>
      </c>
      <c r="J1720" s="10">
        <v>610.04999999999995</v>
      </c>
      <c r="K1720" s="10">
        <f t="shared" si="53"/>
        <v>5490.45</v>
      </c>
      <c r="L1720" s="2">
        <v>0</v>
      </c>
      <c r="M1720" s="2" t="s">
        <v>66</v>
      </c>
      <c r="N1720" s="2" t="s">
        <v>52</v>
      </c>
    </row>
    <row r="1721" spans="1:14" x14ac:dyDescent="0.2">
      <c r="A1721" s="13">
        <v>101630</v>
      </c>
      <c r="B1721" s="5">
        <v>45398</v>
      </c>
      <c r="C1721" s="5" t="str">
        <f t="shared" si="52"/>
        <v>Apr</v>
      </c>
      <c r="D1721" s="2" t="s">
        <v>187</v>
      </c>
      <c r="E1721" s="2" t="s">
        <v>37</v>
      </c>
      <c r="F1721" s="2" t="s">
        <v>38</v>
      </c>
      <c r="G1721" s="2" t="s">
        <v>22</v>
      </c>
      <c r="H1721" s="2" t="s">
        <v>232</v>
      </c>
      <c r="I1721" s="13">
        <v>4</v>
      </c>
      <c r="J1721" s="10">
        <v>645.13</v>
      </c>
      <c r="K1721" s="10">
        <f t="shared" si="53"/>
        <v>2580.52</v>
      </c>
      <c r="L1721" s="2">
        <v>0.2</v>
      </c>
      <c r="M1721" s="2" t="s">
        <v>24</v>
      </c>
      <c r="N1721" s="2" t="s">
        <v>143</v>
      </c>
    </row>
    <row r="1722" spans="1:14" x14ac:dyDescent="0.2">
      <c r="A1722" s="13">
        <v>101388</v>
      </c>
      <c r="B1722" s="5">
        <v>45610</v>
      </c>
      <c r="C1722" s="5" t="str">
        <f t="shared" si="52"/>
        <v>Nov</v>
      </c>
      <c r="D1722" s="2" t="s">
        <v>336</v>
      </c>
      <c r="E1722" s="2" t="s">
        <v>37</v>
      </c>
      <c r="F1722" s="2" t="s">
        <v>38</v>
      </c>
      <c r="G1722" s="2" t="s">
        <v>50</v>
      </c>
      <c r="H1722" s="2" t="s">
        <v>51</v>
      </c>
      <c r="I1722" s="13">
        <v>6</v>
      </c>
      <c r="J1722" s="10">
        <v>5234.74</v>
      </c>
      <c r="K1722" s="10">
        <f t="shared" si="53"/>
        <v>31408.44</v>
      </c>
      <c r="L1722" s="2">
        <v>0.25</v>
      </c>
      <c r="M1722" s="2" t="s">
        <v>17</v>
      </c>
      <c r="N1722" s="2" t="s">
        <v>18</v>
      </c>
    </row>
    <row r="1723" spans="1:14" x14ac:dyDescent="0.2">
      <c r="A1723" s="13">
        <v>100070</v>
      </c>
      <c r="B1723" s="5">
        <v>45494</v>
      </c>
      <c r="C1723" s="5" t="str">
        <f t="shared" si="52"/>
        <v>Jul</v>
      </c>
      <c r="D1723" s="2" t="s">
        <v>349</v>
      </c>
      <c r="E1723" s="2" t="s">
        <v>27</v>
      </c>
      <c r="F1723" s="2" t="s">
        <v>21</v>
      </c>
      <c r="G1723" s="2" t="s">
        <v>50</v>
      </c>
      <c r="H1723" s="2" t="s">
        <v>207</v>
      </c>
      <c r="I1723" s="13">
        <v>2</v>
      </c>
      <c r="J1723" s="10">
        <v>8017.09</v>
      </c>
      <c r="K1723" s="10">
        <f t="shared" si="53"/>
        <v>16034.18</v>
      </c>
      <c r="L1723" s="2">
        <v>0</v>
      </c>
      <c r="M1723" s="2" t="s">
        <v>17</v>
      </c>
      <c r="N1723" s="2" t="s">
        <v>35</v>
      </c>
    </row>
    <row r="1724" spans="1:14" x14ac:dyDescent="0.2">
      <c r="A1724" s="13">
        <v>101573</v>
      </c>
      <c r="B1724" s="5">
        <v>45330</v>
      </c>
      <c r="C1724" s="5" t="str">
        <f t="shared" si="52"/>
        <v>Feb</v>
      </c>
      <c r="D1724" s="2" t="s">
        <v>386</v>
      </c>
      <c r="E1724" s="2" t="s">
        <v>31</v>
      </c>
      <c r="F1724" s="2" t="s">
        <v>54</v>
      </c>
      <c r="G1724" s="2" t="s">
        <v>22</v>
      </c>
      <c r="H1724" s="2" t="s">
        <v>75</v>
      </c>
      <c r="I1724" s="13">
        <v>10</v>
      </c>
      <c r="J1724" s="10">
        <v>2345.5100000000002</v>
      </c>
      <c r="K1724" s="10">
        <f t="shared" si="53"/>
        <v>23455.100000000002</v>
      </c>
      <c r="L1724" s="2">
        <v>0</v>
      </c>
      <c r="M1724" s="2" t="s">
        <v>17</v>
      </c>
      <c r="N1724" s="2" t="s">
        <v>35</v>
      </c>
    </row>
    <row r="1725" spans="1:14" x14ac:dyDescent="0.2">
      <c r="A1725" s="13">
        <v>101185</v>
      </c>
      <c r="B1725" s="5">
        <v>45648</v>
      </c>
      <c r="C1725" s="5" t="str">
        <f t="shared" si="52"/>
        <v>Dec</v>
      </c>
      <c r="D1725" s="2" t="s">
        <v>836</v>
      </c>
      <c r="E1725" s="2" t="s">
        <v>27</v>
      </c>
      <c r="F1725" s="2" t="s">
        <v>21</v>
      </c>
      <c r="G1725" s="2" t="s">
        <v>33</v>
      </c>
      <c r="H1725" s="2" t="s">
        <v>81</v>
      </c>
      <c r="I1725" s="13">
        <v>7</v>
      </c>
      <c r="J1725" s="10">
        <v>210.49</v>
      </c>
      <c r="K1725" s="10">
        <f t="shared" si="53"/>
        <v>1473.43</v>
      </c>
      <c r="L1725" s="2">
        <v>0.2</v>
      </c>
      <c r="M1725" s="2" t="s">
        <v>41</v>
      </c>
      <c r="N1725" s="2" t="s">
        <v>121</v>
      </c>
    </row>
    <row r="1726" spans="1:14" x14ac:dyDescent="0.2">
      <c r="A1726" s="13">
        <v>100012</v>
      </c>
      <c r="B1726" s="5">
        <v>45482</v>
      </c>
      <c r="C1726" s="5" t="str">
        <f t="shared" si="52"/>
        <v>Jul</v>
      </c>
      <c r="D1726" s="2" t="s">
        <v>968</v>
      </c>
      <c r="E1726" s="2" t="s">
        <v>140</v>
      </c>
      <c r="F1726" s="2" t="s">
        <v>49</v>
      </c>
      <c r="G1726" s="2" t="s">
        <v>45</v>
      </c>
      <c r="H1726" s="2" t="s">
        <v>153</v>
      </c>
      <c r="I1726" s="13">
        <v>12</v>
      </c>
      <c r="J1726" s="10">
        <v>41803.54</v>
      </c>
      <c r="K1726" s="10">
        <f t="shared" si="53"/>
        <v>501642.48</v>
      </c>
      <c r="L1726" s="2">
        <v>0.25</v>
      </c>
      <c r="M1726" s="2" t="s">
        <v>41</v>
      </c>
      <c r="N1726" s="2" t="s">
        <v>35</v>
      </c>
    </row>
    <row r="1727" spans="1:14" x14ac:dyDescent="0.2">
      <c r="A1727" s="13">
        <v>100145</v>
      </c>
      <c r="B1727" s="5">
        <v>45560</v>
      </c>
      <c r="C1727" s="5" t="str">
        <f t="shared" si="52"/>
        <v>Sep</v>
      </c>
      <c r="D1727" s="2" t="s">
        <v>420</v>
      </c>
      <c r="E1727" s="2" t="s">
        <v>27</v>
      </c>
      <c r="F1727" s="2" t="s">
        <v>21</v>
      </c>
      <c r="G1727" s="2" t="s">
        <v>45</v>
      </c>
      <c r="H1727" s="2" t="s">
        <v>149</v>
      </c>
      <c r="I1727" s="13">
        <v>10</v>
      </c>
      <c r="J1727" s="10">
        <v>3357.29</v>
      </c>
      <c r="K1727" s="10">
        <f t="shared" si="53"/>
        <v>33572.9</v>
      </c>
      <c r="L1727" s="2">
        <v>0.25</v>
      </c>
      <c r="M1727" s="2" t="s">
        <v>17</v>
      </c>
      <c r="N1727" s="2" t="s">
        <v>143</v>
      </c>
    </row>
    <row r="1728" spans="1:14" x14ac:dyDescent="0.2">
      <c r="A1728" s="13">
        <v>100918</v>
      </c>
      <c r="B1728" s="5">
        <v>45602</v>
      </c>
      <c r="C1728" s="5" t="str">
        <f t="shared" si="52"/>
        <v>Nov</v>
      </c>
      <c r="D1728" s="2" t="s">
        <v>1019</v>
      </c>
      <c r="E1728" s="2" t="s">
        <v>31</v>
      </c>
      <c r="F1728" s="2" t="s">
        <v>54</v>
      </c>
      <c r="G1728" s="2" t="s">
        <v>106</v>
      </c>
      <c r="H1728" s="2" t="s">
        <v>135</v>
      </c>
      <c r="I1728" s="13">
        <v>1</v>
      </c>
      <c r="J1728" s="10">
        <v>3503.62</v>
      </c>
      <c r="K1728" s="10">
        <f t="shared" si="53"/>
        <v>3503.62</v>
      </c>
      <c r="L1728" s="2">
        <v>0.05</v>
      </c>
      <c r="M1728" s="2" t="s">
        <v>24</v>
      </c>
      <c r="N1728" s="2" t="s">
        <v>121</v>
      </c>
    </row>
    <row r="1729" spans="1:14" x14ac:dyDescent="0.2">
      <c r="A1729" s="13">
        <v>101542</v>
      </c>
      <c r="B1729" s="5">
        <v>45483</v>
      </c>
      <c r="C1729" s="5" t="str">
        <f t="shared" si="52"/>
        <v>Jul</v>
      </c>
      <c r="D1729" s="2" t="s">
        <v>336</v>
      </c>
      <c r="E1729" s="2" t="s">
        <v>37</v>
      </c>
      <c r="F1729" s="2" t="s">
        <v>38</v>
      </c>
      <c r="G1729" s="2" t="s">
        <v>45</v>
      </c>
      <c r="H1729" s="2" t="s">
        <v>71</v>
      </c>
      <c r="I1729" s="13">
        <v>9</v>
      </c>
      <c r="J1729" s="10">
        <v>43362.44</v>
      </c>
      <c r="K1729" s="10">
        <f t="shared" si="53"/>
        <v>390261.96</v>
      </c>
      <c r="L1729" s="2">
        <v>0</v>
      </c>
      <c r="M1729" s="2" t="s">
        <v>66</v>
      </c>
      <c r="N1729" s="2" t="s">
        <v>25</v>
      </c>
    </row>
    <row r="1730" spans="1:14" x14ac:dyDescent="0.2">
      <c r="A1730" s="13">
        <v>101452</v>
      </c>
      <c r="B1730" s="5">
        <v>45561</v>
      </c>
      <c r="C1730" s="5" t="str">
        <f t="shared" ref="C1730:C1793" si="54">TEXT(B1730,"mmm")</f>
        <v>Sep</v>
      </c>
      <c r="D1730" s="2" t="s">
        <v>517</v>
      </c>
      <c r="E1730" s="2" t="s">
        <v>27</v>
      </c>
      <c r="F1730" s="2" t="s">
        <v>21</v>
      </c>
      <c r="G1730" s="2" t="s">
        <v>33</v>
      </c>
      <c r="H1730" s="2" t="s">
        <v>93</v>
      </c>
      <c r="I1730" s="13">
        <v>2</v>
      </c>
      <c r="J1730" s="10">
        <v>0</v>
      </c>
      <c r="K1730" s="10">
        <f t="shared" ref="K1730:K1793" si="55">I1730*J1730</f>
        <v>0</v>
      </c>
      <c r="L1730" s="2">
        <v>0</v>
      </c>
      <c r="M1730" s="2" t="s">
        <v>17</v>
      </c>
      <c r="N1730" s="2" t="s">
        <v>42</v>
      </c>
    </row>
    <row r="1731" spans="1:14" x14ac:dyDescent="0.2">
      <c r="A1731" s="13">
        <v>100640</v>
      </c>
      <c r="B1731" s="5">
        <v>45318</v>
      </c>
      <c r="C1731" s="5" t="str">
        <f t="shared" si="54"/>
        <v>Jan</v>
      </c>
      <c r="D1731" s="2" t="s">
        <v>475</v>
      </c>
      <c r="E1731" s="2" t="s">
        <v>140</v>
      </c>
      <c r="F1731" s="2" t="s">
        <v>79</v>
      </c>
      <c r="G1731" s="2" t="s">
        <v>45</v>
      </c>
      <c r="H1731" s="2" t="s">
        <v>153</v>
      </c>
      <c r="I1731" s="13">
        <v>4</v>
      </c>
      <c r="J1731" s="10">
        <v>38588.14</v>
      </c>
      <c r="K1731" s="10">
        <f t="shared" si="55"/>
        <v>154352.56</v>
      </c>
      <c r="L1731" s="2">
        <v>0.1</v>
      </c>
      <c r="M1731" s="2" t="s">
        <v>83</v>
      </c>
      <c r="N1731" s="2" t="s">
        <v>52</v>
      </c>
    </row>
    <row r="1732" spans="1:14" x14ac:dyDescent="0.2">
      <c r="A1732" s="13">
        <v>100177</v>
      </c>
      <c r="B1732" s="5">
        <v>45380</v>
      </c>
      <c r="C1732" s="5" t="str">
        <f t="shared" si="54"/>
        <v>Mar</v>
      </c>
      <c r="D1732" s="2" t="s">
        <v>446</v>
      </c>
      <c r="E1732" s="2" t="s">
        <v>140</v>
      </c>
      <c r="F1732" s="2" t="s">
        <v>79</v>
      </c>
      <c r="G1732" s="2" t="s">
        <v>33</v>
      </c>
      <c r="H1732" s="2" t="s">
        <v>34</v>
      </c>
      <c r="I1732" s="13">
        <v>11</v>
      </c>
      <c r="J1732" s="10">
        <v>276.72000000000003</v>
      </c>
      <c r="K1732" s="10">
        <f t="shared" si="55"/>
        <v>3043.92</v>
      </c>
      <c r="L1732" s="2">
        <v>0</v>
      </c>
      <c r="M1732" s="2" t="s">
        <v>41</v>
      </c>
      <c r="N1732" s="2" t="s">
        <v>35</v>
      </c>
    </row>
    <row r="1733" spans="1:14" x14ac:dyDescent="0.2">
      <c r="A1733" s="13">
        <v>100995</v>
      </c>
      <c r="B1733" s="5">
        <v>45554</v>
      </c>
      <c r="C1733" s="5" t="str">
        <f t="shared" si="54"/>
        <v>Sep</v>
      </c>
      <c r="D1733" s="2" t="s">
        <v>1025</v>
      </c>
      <c r="E1733" s="2" t="s">
        <v>27</v>
      </c>
      <c r="F1733" s="2" t="s">
        <v>21</v>
      </c>
      <c r="G1733" s="2" t="s">
        <v>33</v>
      </c>
      <c r="H1733" s="2" t="s">
        <v>93</v>
      </c>
      <c r="I1733" s="13">
        <v>1</v>
      </c>
      <c r="J1733" s="10">
        <v>410.86</v>
      </c>
      <c r="K1733" s="10">
        <f t="shared" si="55"/>
        <v>410.86</v>
      </c>
      <c r="L1733" s="2">
        <v>0.2</v>
      </c>
      <c r="M1733" s="2" t="s">
        <v>66</v>
      </c>
      <c r="N1733" s="2" t="s">
        <v>35</v>
      </c>
    </row>
    <row r="1734" spans="1:14" x14ac:dyDescent="0.2">
      <c r="A1734" s="13">
        <v>100441</v>
      </c>
      <c r="B1734" s="5">
        <v>45456</v>
      </c>
      <c r="C1734" s="5" t="str">
        <f t="shared" si="54"/>
        <v>Jun</v>
      </c>
      <c r="D1734" s="2" t="s">
        <v>751</v>
      </c>
      <c r="E1734" s="2" t="s">
        <v>27</v>
      </c>
      <c r="F1734" s="2" t="s">
        <v>21</v>
      </c>
      <c r="G1734" s="2" t="s">
        <v>106</v>
      </c>
      <c r="H1734" s="2" t="s">
        <v>137</v>
      </c>
      <c r="I1734" s="13">
        <v>12</v>
      </c>
      <c r="J1734" s="10">
        <v>4016.62</v>
      </c>
      <c r="K1734" s="10">
        <f t="shared" si="55"/>
        <v>48199.44</v>
      </c>
      <c r="L1734" s="2">
        <v>0.05</v>
      </c>
      <c r="M1734" s="2" t="s">
        <v>29</v>
      </c>
      <c r="N1734" s="2" t="s">
        <v>121</v>
      </c>
    </row>
    <row r="1735" spans="1:14" x14ac:dyDescent="0.2">
      <c r="A1735" s="13">
        <v>100522</v>
      </c>
      <c r="B1735" s="5">
        <v>45521</v>
      </c>
      <c r="C1735" s="5" t="str">
        <f t="shared" si="54"/>
        <v>Aug</v>
      </c>
      <c r="D1735" s="2" t="s">
        <v>218</v>
      </c>
      <c r="E1735" s="2" t="s">
        <v>27</v>
      </c>
      <c r="F1735" s="2" t="s">
        <v>133</v>
      </c>
      <c r="G1735" s="2" t="s">
        <v>106</v>
      </c>
      <c r="H1735" s="2" t="s">
        <v>137</v>
      </c>
      <c r="I1735" s="13">
        <v>8</v>
      </c>
      <c r="J1735" s="10">
        <v>3890.38</v>
      </c>
      <c r="K1735" s="10">
        <f t="shared" si="55"/>
        <v>31123.040000000001</v>
      </c>
      <c r="L1735" s="2">
        <v>0.15</v>
      </c>
      <c r="M1735" s="2" t="s">
        <v>17</v>
      </c>
      <c r="N1735" s="2" t="s">
        <v>35</v>
      </c>
    </row>
    <row r="1736" spans="1:14" x14ac:dyDescent="0.2">
      <c r="A1736" s="13">
        <v>101965</v>
      </c>
      <c r="B1736" s="5">
        <v>45433</v>
      </c>
      <c r="C1736" s="5" t="str">
        <f t="shared" si="54"/>
        <v>May</v>
      </c>
      <c r="D1736" s="2" t="s">
        <v>125</v>
      </c>
      <c r="E1736" s="2" t="s">
        <v>27</v>
      </c>
      <c r="F1736" s="2" t="s">
        <v>21</v>
      </c>
      <c r="G1736" s="2" t="s">
        <v>22</v>
      </c>
      <c r="H1736" s="2" t="s">
        <v>75</v>
      </c>
      <c r="I1736" s="13">
        <v>5</v>
      </c>
      <c r="J1736" s="10">
        <v>3449.98</v>
      </c>
      <c r="K1736" s="10">
        <f t="shared" si="55"/>
        <v>17249.900000000001</v>
      </c>
      <c r="L1736" s="2">
        <v>0.1</v>
      </c>
      <c r="M1736" s="2" t="s">
        <v>83</v>
      </c>
      <c r="N1736" s="2" t="s">
        <v>25</v>
      </c>
    </row>
    <row r="1737" spans="1:14" x14ac:dyDescent="0.2">
      <c r="A1737" s="13">
        <v>101713</v>
      </c>
      <c r="B1737" s="5">
        <v>45487</v>
      </c>
      <c r="C1737" s="5" t="str">
        <f t="shared" si="54"/>
        <v>Jul</v>
      </c>
      <c r="D1737" s="2" t="s">
        <v>911</v>
      </c>
      <c r="E1737" s="2" t="s">
        <v>27</v>
      </c>
      <c r="F1737" s="2" t="s">
        <v>133</v>
      </c>
      <c r="G1737" s="2" t="s">
        <v>50</v>
      </c>
      <c r="H1737" s="2" t="s">
        <v>51</v>
      </c>
      <c r="I1737" s="13">
        <v>5</v>
      </c>
      <c r="J1737" s="10">
        <v>11633.36</v>
      </c>
      <c r="K1737" s="10">
        <f t="shared" si="55"/>
        <v>58166.8</v>
      </c>
      <c r="L1737" s="2">
        <v>0.15</v>
      </c>
      <c r="M1737" s="2" t="s">
        <v>41</v>
      </c>
      <c r="N1737" s="2" t="s">
        <v>42</v>
      </c>
    </row>
    <row r="1738" spans="1:14" x14ac:dyDescent="0.2">
      <c r="A1738" s="13">
        <v>101005</v>
      </c>
      <c r="B1738" s="5">
        <v>45362</v>
      </c>
      <c r="C1738" s="5" t="str">
        <f t="shared" si="54"/>
        <v>Mar</v>
      </c>
      <c r="D1738" s="2" t="s">
        <v>916</v>
      </c>
      <c r="E1738" s="2" t="s">
        <v>37</v>
      </c>
      <c r="F1738" s="2" t="s">
        <v>69</v>
      </c>
      <c r="G1738" s="2" t="s">
        <v>50</v>
      </c>
      <c r="H1738" s="2" t="s">
        <v>62</v>
      </c>
      <c r="I1738" s="13">
        <v>11</v>
      </c>
      <c r="J1738" s="10">
        <v>0</v>
      </c>
      <c r="K1738" s="10">
        <f t="shared" si="55"/>
        <v>0</v>
      </c>
      <c r="L1738" s="2">
        <v>0.05</v>
      </c>
      <c r="M1738" s="2" t="s">
        <v>24</v>
      </c>
      <c r="N1738" s="2" t="s">
        <v>25</v>
      </c>
    </row>
    <row r="1739" spans="1:14" x14ac:dyDescent="0.2">
      <c r="A1739" s="13">
        <v>101256</v>
      </c>
      <c r="B1739" s="5">
        <v>45495</v>
      </c>
      <c r="C1739" s="5" t="str">
        <f t="shared" si="54"/>
        <v>Jul</v>
      </c>
      <c r="D1739" s="2" t="s">
        <v>902</v>
      </c>
      <c r="E1739" s="2" t="s">
        <v>27</v>
      </c>
      <c r="F1739" s="2" t="s">
        <v>21</v>
      </c>
      <c r="G1739" s="2" t="s">
        <v>22</v>
      </c>
      <c r="H1739" s="2" t="s">
        <v>232</v>
      </c>
      <c r="I1739" s="13">
        <v>11</v>
      </c>
      <c r="J1739" s="10">
        <v>1330.25</v>
      </c>
      <c r="K1739" s="10">
        <f t="shared" si="55"/>
        <v>14632.75</v>
      </c>
      <c r="L1739" s="2">
        <v>0</v>
      </c>
      <c r="M1739" s="2" t="s">
        <v>83</v>
      </c>
      <c r="N1739" s="2" t="s">
        <v>121</v>
      </c>
    </row>
    <row r="1740" spans="1:14" x14ac:dyDescent="0.2">
      <c r="A1740" s="13">
        <v>101235</v>
      </c>
      <c r="B1740" s="5">
        <v>45461</v>
      </c>
      <c r="C1740" s="5" t="str">
        <f t="shared" si="54"/>
        <v>Jun</v>
      </c>
      <c r="D1740" s="2" t="s">
        <v>481</v>
      </c>
      <c r="E1740" s="2" t="s">
        <v>140</v>
      </c>
      <c r="F1740" s="2" t="s">
        <v>49</v>
      </c>
      <c r="G1740" s="2" t="s">
        <v>15</v>
      </c>
      <c r="H1740" s="2" t="s">
        <v>152</v>
      </c>
      <c r="I1740" s="13">
        <v>6</v>
      </c>
      <c r="J1740" s="10">
        <v>4266.42</v>
      </c>
      <c r="K1740" s="10">
        <f t="shared" si="55"/>
        <v>25598.52</v>
      </c>
      <c r="L1740" s="2">
        <v>0</v>
      </c>
      <c r="M1740" s="2" t="s">
        <v>17</v>
      </c>
      <c r="N1740" s="2" t="s">
        <v>25</v>
      </c>
    </row>
    <row r="1741" spans="1:14" x14ac:dyDescent="0.2">
      <c r="A1741" s="13">
        <v>101665</v>
      </c>
      <c r="B1741" s="5">
        <v>45315</v>
      </c>
      <c r="C1741" s="5" t="str">
        <f t="shared" si="54"/>
        <v>Jan</v>
      </c>
      <c r="D1741" s="2" t="s">
        <v>387</v>
      </c>
      <c r="E1741" s="2" t="s">
        <v>61</v>
      </c>
      <c r="F1741" s="2" t="s">
        <v>119</v>
      </c>
      <c r="G1741" s="2" t="s">
        <v>50</v>
      </c>
      <c r="H1741" s="2" t="s">
        <v>207</v>
      </c>
      <c r="I1741" s="13">
        <v>8</v>
      </c>
      <c r="J1741" s="10">
        <v>0</v>
      </c>
      <c r="K1741" s="10">
        <f t="shared" si="55"/>
        <v>0</v>
      </c>
      <c r="L1741" s="2">
        <v>0.05</v>
      </c>
      <c r="M1741" s="2" t="s">
        <v>83</v>
      </c>
      <c r="N1741" s="2" t="s">
        <v>42</v>
      </c>
    </row>
    <row r="1742" spans="1:14" x14ac:dyDescent="0.2">
      <c r="A1742" s="13">
        <v>100144</v>
      </c>
      <c r="B1742" s="5">
        <v>45622</v>
      </c>
      <c r="C1742" s="5" t="str">
        <f t="shared" si="54"/>
        <v>Nov</v>
      </c>
      <c r="D1742" s="2" t="s">
        <v>962</v>
      </c>
      <c r="E1742" s="2" t="s">
        <v>37</v>
      </c>
      <c r="F1742" s="2" t="s">
        <v>38</v>
      </c>
      <c r="G1742" s="2" t="s">
        <v>64</v>
      </c>
      <c r="H1742" s="2" t="s">
        <v>292</v>
      </c>
      <c r="I1742" s="13">
        <v>3</v>
      </c>
      <c r="J1742" s="10">
        <v>685.87</v>
      </c>
      <c r="K1742" s="10">
        <f t="shared" si="55"/>
        <v>2057.61</v>
      </c>
      <c r="L1742" s="2">
        <v>0.05</v>
      </c>
      <c r="M1742" s="2" t="s">
        <v>41</v>
      </c>
      <c r="N1742" s="2" t="s">
        <v>87</v>
      </c>
    </row>
    <row r="1743" spans="1:14" x14ac:dyDescent="0.2">
      <c r="A1743" s="13">
        <v>100754</v>
      </c>
      <c r="B1743" s="5">
        <v>45468</v>
      </c>
      <c r="C1743" s="5" t="str">
        <f t="shared" si="54"/>
        <v>Jun</v>
      </c>
      <c r="D1743" s="2" t="s">
        <v>759</v>
      </c>
      <c r="E1743" s="2" t="s">
        <v>61</v>
      </c>
      <c r="F1743" s="2" t="s">
        <v>119</v>
      </c>
      <c r="G1743" s="2" t="s">
        <v>15</v>
      </c>
      <c r="H1743" s="2" t="s">
        <v>152</v>
      </c>
      <c r="I1743" s="13">
        <v>2</v>
      </c>
      <c r="J1743" s="10">
        <v>24937.05</v>
      </c>
      <c r="K1743" s="10">
        <f t="shared" si="55"/>
        <v>49874.1</v>
      </c>
      <c r="L1743" s="2">
        <v>0</v>
      </c>
      <c r="M1743" s="2" t="s">
        <v>24</v>
      </c>
      <c r="N1743" s="2" t="s">
        <v>52</v>
      </c>
    </row>
    <row r="1744" spans="1:14" x14ac:dyDescent="0.2">
      <c r="A1744" s="13">
        <v>100520</v>
      </c>
      <c r="B1744" s="5">
        <v>45587</v>
      </c>
      <c r="C1744" s="5" t="str">
        <f t="shared" si="54"/>
        <v>Oct</v>
      </c>
      <c r="D1744" s="2" t="s">
        <v>195</v>
      </c>
      <c r="E1744" s="2" t="s">
        <v>140</v>
      </c>
      <c r="F1744" s="2" t="s">
        <v>79</v>
      </c>
      <c r="G1744" s="2" t="s">
        <v>15</v>
      </c>
      <c r="H1744" s="2" t="s">
        <v>59</v>
      </c>
      <c r="I1744" s="13">
        <v>2</v>
      </c>
      <c r="J1744" s="10">
        <v>15118.42</v>
      </c>
      <c r="K1744" s="10">
        <f t="shared" si="55"/>
        <v>30236.84</v>
      </c>
      <c r="L1744" s="2">
        <v>0</v>
      </c>
      <c r="M1744" s="2" t="s">
        <v>83</v>
      </c>
      <c r="N1744" s="2" t="s">
        <v>143</v>
      </c>
    </row>
    <row r="1745" spans="1:14" x14ac:dyDescent="0.2">
      <c r="A1745" s="13">
        <v>101323</v>
      </c>
      <c r="B1745" s="5">
        <v>45400</v>
      </c>
      <c r="C1745" s="5" t="str">
        <f t="shared" si="54"/>
        <v>Apr</v>
      </c>
      <c r="D1745" s="2" t="s">
        <v>934</v>
      </c>
      <c r="E1745" s="2" t="s">
        <v>61</v>
      </c>
      <c r="F1745" s="2" t="s">
        <v>119</v>
      </c>
      <c r="G1745" s="2" t="s">
        <v>15</v>
      </c>
      <c r="H1745" s="2" t="s">
        <v>205</v>
      </c>
      <c r="I1745" s="13">
        <v>10</v>
      </c>
      <c r="J1745" s="10">
        <v>9734.74</v>
      </c>
      <c r="K1745" s="10">
        <f t="shared" si="55"/>
        <v>97347.4</v>
      </c>
      <c r="L1745" s="2">
        <v>0</v>
      </c>
      <c r="M1745" s="2" t="s">
        <v>17</v>
      </c>
      <c r="N1745" s="2" t="s">
        <v>25</v>
      </c>
    </row>
    <row r="1746" spans="1:14" x14ac:dyDescent="0.2">
      <c r="A1746" s="13">
        <v>100823</v>
      </c>
      <c r="B1746" s="5">
        <v>45644</v>
      </c>
      <c r="C1746" s="5" t="str">
        <f t="shared" si="54"/>
        <v>Dec</v>
      </c>
      <c r="D1746" s="2" t="s">
        <v>306</v>
      </c>
      <c r="E1746" s="2" t="s">
        <v>31</v>
      </c>
      <c r="F1746" s="2" t="s">
        <v>32</v>
      </c>
      <c r="G1746" s="2" t="s">
        <v>45</v>
      </c>
      <c r="H1746" s="2" t="s">
        <v>153</v>
      </c>
      <c r="I1746" s="13">
        <v>10</v>
      </c>
      <c r="J1746" s="10">
        <v>24756.06</v>
      </c>
      <c r="K1746" s="10">
        <f t="shared" si="55"/>
        <v>247560.6</v>
      </c>
      <c r="L1746" s="2">
        <v>0.1</v>
      </c>
      <c r="M1746" s="2" t="s">
        <v>41</v>
      </c>
      <c r="N1746" s="2" t="s">
        <v>87</v>
      </c>
    </row>
    <row r="1747" spans="1:14" x14ac:dyDescent="0.2">
      <c r="A1747" s="13">
        <v>100429</v>
      </c>
      <c r="B1747" s="5">
        <v>45590</v>
      </c>
      <c r="C1747" s="5" t="str">
        <f t="shared" si="54"/>
        <v>Oct</v>
      </c>
      <c r="D1747" s="2" t="s">
        <v>760</v>
      </c>
      <c r="E1747" s="2" t="s">
        <v>27</v>
      </c>
      <c r="F1747" s="2" t="s">
        <v>21</v>
      </c>
      <c r="G1747" s="2" t="s">
        <v>106</v>
      </c>
      <c r="H1747" s="2" t="s">
        <v>156</v>
      </c>
      <c r="I1747" s="13">
        <v>4</v>
      </c>
      <c r="J1747" s="10">
        <v>3198.09</v>
      </c>
      <c r="K1747" s="10">
        <f t="shared" si="55"/>
        <v>12792.36</v>
      </c>
      <c r="L1747" s="2">
        <v>0</v>
      </c>
      <c r="M1747" s="2" t="s">
        <v>83</v>
      </c>
      <c r="N1747" s="2" t="s">
        <v>42</v>
      </c>
    </row>
    <row r="1748" spans="1:14" x14ac:dyDescent="0.2">
      <c r="A1748" s="13">
        <v>100613</v>
      </c>
      <c r="B1748" s="5">
        <v>45334</v>
      </c>
      <c r="C1748" s="5" t="str">
        <f t="shared" si="54"/>
        <v>Feb</v>
      </c>
      <c r="D1748" s="2" t="s">
        <v>91</v>
      </c>
      <c r="E1748" s="2" t="s">
        <v>37</v>
      </c>
      <c r="F1748" s="2" t="s">
        <v>38</v>
      </c>
      <c r="G1748" s="2" t="s">
        <v>22</v>
      </c>
      <c r="H1748" s="2" t="s">
        <v>23</v>
      </c>
      <c r="I1748" s="13">
        <v>3</v>
      </c>
      <c r="J1748" s="10">
        <v>1405.99</v>
      </c>
      <c r="K1748" s="10">
        <f t="shared" si="55"/>
        <v>4217.97</v>
      </c>
      <c r="L1748" s="2">
        <v>0.15</v>
      </c>
      <c r="M1748" s="2" t="s">
        <v>29</v>
      </c>
      <c r="N1748" s="2" t="s">
        <v>42</v>
      </c>
    </row>
    <row r="1749" spans="1:14" x14ac:dyDescent="0.2">
      <c r="A1749" s="13">
        <v>101506</v>
      </c>
      <c r="B1749" s="5">
        <v>45416</v>
      </c>
      <c r="C1749" s="5" t="str">
        <f t="shared" si="54"/>
        <v>May</v>
      </c>
      <c r="D1749" s="2" t="s">
        <v>1069</v>
      </c>
      <c r="E1749" s="2" t="s">
        <v>61</v>
      </c>
      <c r="F1749" s="2" t="s">
        <v>14</v>
      </c>
      <c r="G1749" s="2" t="s">
        <v>45</v>
      </c>
      <c r="H1749" s="2" t="s">
        <v>97</v>
      </c>
      <c r="I1749" s="13">
        <v>7</v>
      </c>
      <c r="J1749" s="10">
        <v>25985.38</v>
      </c>
      <c r="K1749" s="10">
        <f t="shared" si="55"/>
        <v>181897.66</v>
      </c>
      <c r="L1749" s="2">
        <v>0.15</v>
      </c>
      <c r="M1749" s="2" t="s">
        <v>41</v>
      </c>
      <c r="N1749" s="2" t="s">
        <v>143</v>
      </c>
    </row>
    <row r="1750" spans="1:14" x14ac:dyDescent="0.2">
      <c r="A1750" s="13">
        <v>101033</v>
      </c>
      <c r="B1750" s="5">
        <v>45297</v>
      </c>
      <c r="C1750" s="5" t="str">
        <f t="shared" si="54"/>
        <v>Jan</v>
      </c>
      <c r="D1750" s="2" t="s">
        <v>139</v>
      </c>
      <c r="E1750" s="2" t="s">
        <v>27</v>
      </c>
      <c r="F1750" s="2" t="s">
        <v>133</v>
      </c>
      <c r="G1750" s="2" t="s">
        <v>33</v>
      </c>
      <c r="H1750" s="2" t="s">
        <v>93</v>
      </c>
      <c r="I1750" s="13">
        <v>9</v>
      </c>
      <c r="J1750" s="10">
        <v>186.71</v>
      </c>
      <c r="K1750" s="10">
        <f t="shared" si="55"/>
        <v>1680.39</v>
      </c>
      <c r="L1750" s="2">
        <v>0.05</v>
      </c>
      <c r="M1750" s="2" t="s">
        <v>41</v>
      </c>
      <c r="N1750" s="2" t="s">
        <v>52</v>
      </c>
    </row>
    <row r="1751" spans="1:14" x14ac:dyDescent="0.2">
      <c r="A1751" s="13">
        <v>100157</v>
      </c>
      <c r="B1751" s="5">
        <v>45652</v>
      </c>
      <c r="C1751" s="5" t="str">
        <f t="shared" si="54"/>
        <v>Dec</v>
      </c>
      <c r="D1751" s="2" t="s">
        <v>200</v>
      </c>
      <c r="E1751" s="2" t="s">
        <v>61</v>
      </c>
      <c r="F1751" s="2" t="s">
        <v>14</v>
      </c>
      <c r="G1751" s="2" t="s">
        <v>22</v>
      </c>
      <c r="H1751" s="2" t="s">
        <v>75</v>
      </c>
      <c r="I1751" s="13">
        <v>9</v>
      </c>
      <c r="J1751" s="10">
        <v>3198.61</v>
      </c>
      <c r="K1751" s="10">
        <f t="shared" si="55"/>
        <v>28787.49</v>
      </c>
      <c r="L1751" s="2">
        <v>0</v>
      </c>
      <c r="M1751" s="2" t="s">
        <v>24</v>
      </c>
      <c r="N1751" s="2" t="s">
        <v>87</v>
      </c>
    </row>
    <row r="1752" spans="1:14" x14ac:dyDescent="0.2">
      <c r="A1752" s="13">
        <v>100540</v>
      </c>
      <c r="B1752" s="5">
        <v>45314</v>
      </c>
      <c r="C1752" s="5" t="str">
        <f t="shared" si="54"/>
        <v>Jan</v>
      </c>
      <c r="D1752" s="2" t="s">
        <v>653</v>
      </c>
      <c r="E1752" s="2" t="s">
        <v>140</v>
      </c>
      <c r="F1752" s="2" t="s">
        <v>79</v>
      </c>
      <c r="G1752" s="2" t="s">
        <v>15</v>
      </c>
      <c r="H1752" s="2" t="s">
        <v>16</v>
      </c>
      <c r="I1752" s="13">
        <v>8</v>
      </c>
      <c r="J1752" s="10">
        <v>7749.29</v>
      </c>
      <c r="K1752" s="10">
        <f t="shared" si="55"/>
        <v>61994.32</v>
      </c>
      <c r="L1752" s="2">
        <v>0.05</v>
      </c>
      <c r="M1752" s="2" t="s">
        <v>29</v>
      </c>
      <c r="N1752" s="2" t="s">
        <v>25</v>
      </c>
    </row>
    <row r="1753" spans="1:14" x14ac:dyDescent="0.2">
      <c r="A1753" s="13">
        <v>101531</v>
      </c>
      <c r="B1753" s="5">
        <v>45447</v>
      </c>
      <c r="C1753" s="5" t="str">
        <f t="shared" si="54"/>
        <v>Jun</v>
      </c>
      <c r="D1753" s="2" t="s">
        <v>627</v>
      </c>
      <c r="E1753" s="2" t="s">
        <v>37</v>
      </c>
      <c r="F1753" s="2" t="s">
        <v>38</v>
      </c>
      <c r="G1753" s="2" t="s">
        <v>15</v>
      </c>
      <c r="H1753" s="2" t="s">
        <v>152</v>
      </c>
      <c r="I1753" s="13">
        <v>10</v>
      </c>
      <c r="J1753" s="10">
        <v>2152.46</v>
      </c>
      <c r="K1753" s="10">
        <f t="shared" si="55"/>
        <v>21524.6</v>
      </c>
      <c r="L1753" s="2">
        <v>0.05</v>
      </c>
      <c r="M1753" s="2" t="s">
        <v>24</v>
      </c>
      <c r="N1753" s="2" t="s">
        <v>42</v>
      </c>
    </row>
    <row r="1754" spans="1:14" x14ac:dyDescent="0.2">
      <c r="A1754" s="13">
        <v>101461</v>
      </c>
      <c r="B1754" s="5">
        <v>45568</v>
      </c>
      <c r="C1754" s="5" t="str">
        <f t="shared" si="54"/>
        <v>Oct</v>
      </c>
      <c r="D1754" s="2" t="s">
        <v>555</v>
      </c>
      <c r="E1754" s="2" t="s">
        <v>27</v>
      </c>
      <c r="F1754" s="2" t="s">
        <v>133</v>
      </c>
      <c r="G1754" s="2" t="s">
        <v>22</v>
      </c>
      <c r="H1754" s="2" t="s">
        <v>141</v>
      </c>
      <c r="I1754" s="13">
        <v>11</v>
      </c>
      <c r="J1754" s="10">
        <v>1651.47</v>
      </c>
      <c r="K1754" s="10">
        <f t="shared" si="55"/>
        <v>18166.170000000002</v>
      </c>
      <c r="L1754" s="2">
        <v>0.25</v>
      </c>
      <c r="M1754" s="2" t="s">
        <v>29</v>
      </c>
      <c r="N1754" s="2" t="s">
        <v>52</v>
      </c>
    </row>
    <row r="1755" spans="1:14" x14ac:dyDescent="0.2">
      <c r="A1755" s="13">
        <v>101291</v>
      </c>
      <c r="B1755" s="5">
        <v>45468</v>
      </c>
      <c r="C1755" s="5" t="str">
        <f t="shared" si="54"/>
        <v>Jun</v>
      </c>
      <c r="D1755" s="2" t="s">
        <v>299</v>
      </c>
      <c r="E1755" s="2" t="s">
        <v>61</v>
      </c>
      <c r="F1755" s="2" t="s">
        <v>14</v>
      </c>
      <c r="G1755" s="2" t="s">
        <v>22</v>
      </c>
      <c r="H1755" s="2" t="s">
        <v>145</v>
      </c>
      <c r="I1755" s="13">
        <v>11</v>
      </c>
      <c r="J1755" s="10">
        <v>2332.67</v>
      </c>
      <c r="K1755" s="10">
        <f t="shared" si="55"/>
        <v>25659.370000000003</v>
      </c>
      <c r="L1755" s="2">
        <v>0</v>
      </c>
      <c r="M1755" s="2" t="s">
        <v>17</v>
      </c>
      <c r="N1755" s="2" t="s">
        <v>25</v>
      </c>
    </row>
    <row r="1756" spans="1:14" x14ac:dyDescent="0.2">
      <c r="A1756" s="13">
        <v>100462</v>
      </c>
      <c r="B1756" s="5">
        <v>45626</v>
      </c>
      <c r="C1756" s="5" t="str">
        <f t="shared" si="54"/>
        <v>Nov</v>
      </c>
      <c r="D1756" s="2" t="s">
        <v>623</v>
      </c>
      <c r="E1756" s="2" t="s">
        <v>140</v>
      </c>
      <c r="F1756" s="2" t="s">
        <v>49</v>
      </c>
      <c r="G1756" s="2" t="s">
        <v>50</v>
      </c>
      <c r="H1756" s="2" t="s">
        <v>207</v>
      </c>
      <c r="I1756" s="13">
        <v>8</v>
      </c>
      <c r="J1756" s="10">
        <v>4773.21</v>
      </c>
      <c r="K1756" s="10">
        <f t="shared" si="55"/>
        <v>38185.68</v>
      </c>
      <c r="L1756" s="2">
        <v>0</v>
      </c>
      <c r="M1756" s="2" t="s">
        <v>66</v>
      </c>
      <c r="N1756" s="2" t="s">
        <v>35</v>
      </c>
    </row>
    <row r="1757" spans="1:14" x14ac:dyDescent="0.2">
      <c r="A1757" s="13">
        <v>100577</v>
      </c>
      <c r="B1757" s="5">
        <v>45410</v>
      </c>
      <c r="C1757" s="5" t="str">
        <f t="shared" si="54"/>
        <v>Apr</v>
      </c>
      <c r="D1757" s="2" t="s">
        <v>970</v>
      </c>
      <c r="E1757" s="2" t="s">
        <v>27</v>
      </c>
      <c r="F1757" s="2" t="s">
        <v>133</v>
      </c>
      <c r="G1757" s="2" t="s">
        <v>15</v>
      </c>
      <c r="H1757" s="2" t="s">
        <v>152</v>
      </c>
      <c r="I1757" s="13">
        <v>12</v>
      </c>
      <c r="J1757" s="10">
        <v>9590.59</v>
      </c>
      <c r="K1757" s="10">
        <f t="shared" si="55"/>
        <v>115087.08</v>
      </c>
      <c r="L1757" s="2">
        <v>0.1</v>
      </c>
      <c r="M1757" s="2" t="s">
        <v>17</v>
      </c>
      <c r="N1757" s="2" t="s">
        <v>121</v>
      </c>
    </row>
    <row r="1758" spans="1:14" x14ac:dyDescent="0.2">
      <c r="A1758" s="13">
        <v>101363</v>
      </c>
      <c r="B1758" s="5">
        <v>45494</v>
      </c>
      <c r="C1758" s="5" t="str">
        <f t="shared" si="54"/>
        <v>Jul</v>
      </c>
      <c r="D1758" s="2" t="s">
        <v>546</v>
      </c>
      <c r="E1758" s="2" t="s">
        <v>31</v>
      </c>
      <c r="F1758" s="2" t="s">
        <v>54</v>
      </c>
      <c r="G1758" s="2" t="s">
        <v>15</v>
      </c>
      <c r="H1758" s="2" t="s">
        <v>16</v>
      </c>
      <c r="I1758" s="13">
        <v>9</v>
      </c>
      <c r="J1758" s="10">
        <v>4619.28</v>
      </c>
      <c r="K1758" s="10">
        <f t="shared" si="55"/>
        <v>41573.519999999997</v>
      </c>
      <c r="L1758" s="2">
        <v>0.15</v>
      </c>
      <c r="M1758" s="2" t="s">
        <v>24</v>
      </c>
      <c r="N1758" s="2" t="s">
        <v>121</v>
      </c>
    </row>
    <row r="1759" spans="1:14" x14ac:dyDescent="0.2">
      <c r="A1759" s="13">
        <v>100256</v>
      </c>
      <c r="B1759" s="5">
        <v>45426</v>
      </c>
      <c r="C1759" s="5" t="str">
        <f t="shared" si="54"/>
        <v>May</v>
      </c>
      <c r="D1759" s="2" t="s">
        <v>575</v>
      </c>
      <c r="E1759" s="2" t="s">
        <v>37</v>
      </c>
      <c r="F1759" s="2" t="s">
        <v>38</v>
      </c>
      <c r="G1759" s="2" t="s">
        <v>45</v>
      </c>
      <c r="H1759" s="2" t="s">
        <v>153</v>
      </c>
      <c r="I1759" s="13">
        <v>3</v>
      </c>
      <c r="J1759" s="10">
        <v>18728.150000000001</v>
      </c>
      <c r="K1759" s="10">
        <f t="shared" si="55"/>
        <v>56184.450000000004</v>
      </c>
      <c r="L1759" s="2">
        <v>0.25</v>
      </c>
      <c r="M1759" s="2" t="s">
        <v>66</v>
      </c>
      <c r="N1759" s="2" t="s">
        <v>18</v>
      </c>
    </row>
    <row r="1760" spans="1:14" x14ac:dyDescent="0.2">
      <c r="A1760" s="13">
        <v>100980</v>
      </c>
      <c r="B1760" s="5">
        <v>45590</v>
      </c>
      <c r="C1760" s="5" t="str">
        <f t="shared" si="54"/>
        <v>Oct</v>
      </c>
      <c r="D1760" s="2" t="s">
        <v>728</v>
      </c>
      <c r="E1760" s="2" t="s">
        <v>37</v>
      </c>
      <c r="F1760" s="2" t="s">
        <v>38</v>
      </c>
      <c r="G1760" s="2" t="s">
        <v>15</v>
      </c>
      <c r="H1760" s="2" t="s">
        <v>116</v>
      </c>
      <c r="I1760" s="13">
        <v>12</v>
      </c>
      <c r="J1760" s="10">
        <v>3814.76</v>
      </c>
      <c r="K1760" s="10">
        <f t="shared" si="55"/>
        <v>45777.120000000003</v>
      </c>
      <c r="L1760" s="2">
        <v>0</v>
      </c>
      <c r="M1760" s="2" t="s">
        <v>17</v>
      </c>
      <c r="N1760" s="2" t="s">
        <v>87</v>
      </c>
    </row>
    <row r="1761" spans="1:14" x14ac:dyDescent="0.2">
      <c r="A1761" s="13">
        <v>101186</v>
      </c>
      <c r="B1761" s="5">
        <v>45612</v>
      </c>
      <c r="C1761" s="5" t="str">
        <f t="shared" si="54"/>
        <v>Nov</v>
      </c>
      <c r="D1761" s="2" t="s">
        <v>531</v>
      </c>
      <c r="E1761" s="2" t="s">
        <v>27</v>
      </c>
      <c r="F1761" s="2" t="s">
        <v>21</v>
      </c>
      <c r="G1761" s="2" t="s">
        <v>33</v>
      </c>
      <c r="H1761" s="2" t="s">
        <v>81</v>
      </c>
      <c r="I1761" s="13">
        <v>9</v>
      </c>
      <c r="J1761" s="10">
        <v>102.11</v>
      </c>
      <c r="K1761" s="10">
        <f t="shared" si="55"/>
        <v>918.99</v>
      </c>
      <c r="L1761" s="2">
        <v>0.05</v>
      </c>
      <c r="M1761" s="2" t="s">
        <v>66</v>
      </c>
      <c r="N1761" s="2" t="s">
        <v>25</v>
      </c>
    </row>
    <row r="1762" spans="1:14" x14ac:dyDescent="0.2">
      <c r="A1762" s="13">
        <v>101007</v>
      </c>
      <c r="B1762" s="5">
        <v>45344</v>
      </c>
      <c r="C1762" s="5" t="str">
        <f t="shared" si="54"/>
        <v>Feb</v>
      </c>
      <c r="D1762" s="2" t="s">
        <v>793</v>
      </c>
      <c r="E1762" s="2" t="s">
        <v>27</v>
      </c>
      <c r="F1762" s="2" t="s">
        <v>21</v>
      </c>
      <c r="G1762" s="2" t="s">
        <v>45</v>
      </c>
      <c r="H1762" s="2" t="s">
        <v>149</v>
      </c>
      <c r="I1762" s="13">
        <v>11</v>
      </c>
      <c r="J1762" s="10">
        <v>10964.97</v>
      </c>
      <c r="K1762" s="10">
        <f t="shared" si="55"/>
        <v>120614.67</v>
      </c>
      <c r="L1762" s="2">
        <v>0</v>
      </c>
      <c r="M1762" s="2" t="s">
        <v>83</v>
      </c>
      <c r="N1762" s="2" t="s">
        <v>52</v>
      </c>
    </row>
    <row r="1763" spans="1:14" x14ac:dyDescent="0.2">
      <c r="A1763" s="13">
        <v>101522</v>
      </c>
      <c r="B1763" s="5">
        <v>45589</v>
      </c>
      <c r="C1763" s="5" t="str">
        <f t="shared" si="54"/>
        <v>Oct</v>
      </c>
      <c r="D1763" s="2" t="s">
        <v>1030</v>
      </c>
      <c r="E1763" s="2" t="s">
        <v>27</v>
      </c>
      <c r="F1763" s="2" t="s">
        <v>133</v>
      </c>
      <c r="G1763" s="2" t="s">
        <v>106</v>
      </c>
      <c r="H1763" s="2" t="s">
        <v>103</v>
      </c>
      <c r="I1763" s="13">
        <v>3</v>
      </c>
      <c r="J1763" s="10">
        <v>2823.24</v>
      </c>
      <c r="K1763" s="10">
        <f t="shared" si="55"/>
        <v>8469.7199999999993</v>
      </c>
      <c r="L1763" s="2">
        <v>0.15</v>
      </c>
      <c r="M1763" s="2" t="s">
        <v>41</v>
      </c>
      <c r="N1763" s="2" t="s">
        <v>25</v>
      </c>
    </row>
    <row r="1764" spans="1:14" x14ac:dyDescent="0.2">
      <c r="A1764" s="13">
        <v>101690</v>
      </c>
      <c r="B1764" s="5">
        <v>45449</v>
      </c>
      <c r="C1764" s="5" t="str">
        <f t="shared" si="54"/>
        <v>Jun</v>
      </c>
      <c r="D1764" s="2" t="s">
        <v>391</v>
      </c>
      <c r="E1764" s="2" t="s">
        <v>61</v>
      </c>
      <c r="F1764" s="2" t="s">
        <v>14</v>
      </c>
      <c r="G1764" s="2" t="s">
        <v>33</v>
      </c>
      <c r="H1764" s="2" t="s">
        <v>34</v>
      </c>
      <c r="I1764" s="13">
        <v>11</v>
      </c>
      <c r="J1764" s="10">
        <v>294.47000000000003</v>
      </c>
      <c r="K1764" s="10">
        <f t="shared" si="55"/>
        <v>3239.17</v>
      </c>
      <c r="L1764" s="2">
        <v>0</v>
      </c>
      <c r="M1764" s="2" t="s">
        <v>66</v>
      </c>
      <c r="N1764" s="2" t="s">
        <v>52</v>
      </c>
    </row>
    <row r="1765" spans="1:14" x14ac:dyDescent="0.2">
      <c r="A1765" s="13">
        <v>100561</v>
      </c>
      <c r="B1765" s="5">
        <v>45396</v>
      </c>
      <c r="C1765" s="5" t="str">
        <f t="shared" si="54"/>
        <v>Apr</v>
      </c>
      <c r="D1765" s="2" t="s">
        <v>286</v>
      </c>
      <c r="E1765" s="2" t="s">
        <v>27</v>
      </c>
      <c r="F1765" s="2" t="s">
        <v>21</v>
      </c>
      <c r="G1765" s="2" t="s">
        <v>22</v>
      </c>
      <c r="H1765" s="2" t="s">
        <v>75</v>
      </c>
      <c r="I1765" s="13">
        <v>7</v>
      </c>
      <c r="J1765" s="10">
        <v>2493.35</v>
      </c>
      <c r="K1765" s="10">
        <f t="shared" si="55"/>
        <v>17453.45</v>
      </c>
      <c r="L1765" s="2">
        <v>0</v>
      </c>
      <c r="M1765" s="2" t="s">
        <v>41</v>
      </c>
      <c r="N1765" s="2" t="s">
        <v>121</v>
      </c>
    </row>
    <row r="1766" spans="1:14" x14ac:dyDescent="0.2">
      <c r="A1766" s="13">
        <v>100209</v>
      </c>
      <c r="B1766" s="5">
        <v>45633</v>
      </c>
      <c r="C1766" s="5" t="str">
        <f t="shared" si="54"/>
        <v>Dec</v>
      </c>
      <c r="D1766" s="2" t="s">
        <v>276</v>
      </c>
      <c r="E1766" s="2" t="s">
        <v>31</v>
      </c>
      <c r="F1766" s="2" t="s">
        <v>32</v>
      </c>
      <c r="G1766" s="2" t="s">
        <v>106</v>
      </c>
      <c r="H1766" s="2" t="s">
        <v>135</v>
      </c>
      <c r="I1766" s="13">
        <v>9</v>
      </c>
      <c r="J1766" s="10">
        <v>4288.0600000000004</v>
      </c>
      <c r="K1766" s="10">
        <f t="shared" si="55"/>
        <v>38592.54</v>
      </c>
      <c r="L1766" s="2">
        <v>0.25</v>
      </c>
      <c r="M1766" s="2" t="s">
        <v>41</v>
      </c>
      <c r="N1766" s="2" t="s">
        <v>35</v>
      </c>
    </row>
    <row r="1767" spans="1:14" x14ac:dyDescent="0.2">
      <c r="A1767" s="13">
        <v>100911</v>
      </c>
      <c r="B1767" s="5">
        <v>45417</v>
      </c>
      <c r="C1767" s="5" t="str">
        <f t="shared" si="54"/>
        <v>May</v>
      </c>
      <c r="D1767" s="2" t="s">
        <v>544</v>
      </c>
      <c r="E1767" s="2" t="s">
        <v>31</v>
      </c>
      <c r="F1767" s="2" t="s">
        <v>54</v>
      </c>
      <c r="G1767" s="2" t="s">
        <v>50</v>
      </c>
      <c r="H1767" s="2" t="s">
        <v>56</v>
      </c>
      <c r="I1767" s="13">
        <v>6</v>
      </c>
      <c r="J1767" s="10">
        <v>4086.43</v>
      </c>
      <c r="K1767" s="10">
        <f t="shared" si="55"/>
        <v>24518.579999999998</v>
      </c>
      <c r="L1767" s="2">
        <v>0</v>
      </c>
      <c r="M1767" s="2" t="s">
        <v>24</v>
      </c>
      <c r="N1767" s="2" t="s">
        <v>87</v>
      </c>
    </row>
    <row r="1768" spans="1:14" x14ac:dyDescent="0.2">
      <c r="A1768" s="13">
        <v>101312</v>
      </c>
      <c r="B1768" s="5">
        <v>45346</v>
      </c>
      <c r="C1768" s="5" t="str">
        <f t="shared" si="54"/>
        <v>Feb</v>
      </c>
      <c r="D1768" s="2" t="s">
        <v>250</v>
      </c>
      <c r="E1768" s="2" t="s">
        <v>140</v>
      </c>
      <c r="F1768" s="2" t="s">
        <v>49</v>
      </c>
      <c r="G1768" s="2" t="s">
        <v>106</v>
      </c>
      <c r="H1768" s="2" t="s">
        <v>135</v>
      </c>
      <c r="I1768" s="13">
        <v>10</v>
      </c>
      <c r="J1768" s="10">
        <v>2798.5</v>
      </c>
      <c r="K1768" s="10">
        <f t="shared" si="55"/>
        <v>27985</v>
      </c>
      <c r="L1768" s="2">
        <v>0.15</v>
      </c>
      <c r="M1768" s="2" t="s">
        <v>29</v>
      </c>
      <c r="N1768" s="2" t="s">
        <v>25</v>
      </c>
    </row>
    <row r="1769" spans="1:14" x14ac:dyDescent="0.2">
      <c r="A1769" s="13">
        <v>100002</v>
      </c>
      <c r="B1769" s="5">
        <v>45424</v>
      </c>
      <c r="C1769" s="5" t="str">
        <f t="shared" si="54"/>
        <v>May</v>
      </c>
      <c r="D1769" s="2" t="s">
        <v>310</v>
      </c>
      <c r="E1769" s="2" t="s">
        <v>27</v>
      </c>
      <c r="F1769" s="2" t="s">
        <v>133</v>
      </c>
      <c r="G1769" s="2" t="s">
        <v>50</v>
      </c>
      <c r="H1769" s="2" t="s">
        <v>56</v>
      </c>
      <c r="I1769" s="13">
        <v>6</v>
      </c>
      <c r="J1769" s="10">
        <v>8649.35</v>
      </c>
      <c r="K1769" s="10">
        <f t="shared" si="55"/>
        <v>51896.100000000006</v>
      </c>
      <c r="L1769" s="2">
        <v>0.15</v>
      </c>
      <c r="M1769" s="2" t="s">
        <v>66</v>
      </c>
      <c r="N1769" s="2" t="s">
        <v>52</v>
      </c>
    </row>
    <row r="1770" spans="1:14" x14ac:dyDescent="0.2">
      <c r="A1770" s="13">
        <v>101366</v>
      </c>
      <c r="B1770" s="5">
        <v>45357</v>
      </c>
      <c r="C1770" s="5" t="str">
        <f t="shared" si="54"/>
        <v>Mar</v>
      </c>
      <c r="D1770" s="2" t="s">
        <v>1031</v>
      </c>
      <c r="E1770" s="2" t="s">
        <v>31</v>
      </c>
      <c r="F1770" s="2" t="s">
        <v>32</v>
      </c>
      <c r="G1770" s="2" t="s">
        <v>64</v>
      </c>
      <c r="H1770" s="2" t="s">
        <v>292</v>
      </c>
      <c r="I1770" s="13">
        <v>9</v>
      </c>
      <c r="J1770" s="10">
        <v>487.84</v>
      </c>
      <c r="K1770" s="10">
        <f t="shared" si="55"/>
        <v>4390.5599999999995</v>
      </c>
      <c r="L1770" s="2">
        <v>0</v>
      </c>
      <c r="M1770" s="2" t="s">
        <v>83</v>
      </c>
      <c r="N1770" s="2" t="s">
        <v>25</v>
      </c>
    </row>
    <row r="1771" spans="1:14" x14ac:dyDescent="0.2">
      <c r="A1771" s="13">
        <v>100270</v>
      </c>
      <c r="B1771" s="5">
        <v>45410</v>
      </c>
      <c r="C1771" s="5" t="str">
        <f t="shared" si="54"/>
        <v>Apr</v>
      </c>
      <c r="D1771" s="2" t="s">
        <v>1069</v>
      </c>
      <c r="E1771" s="2" t="s">
        <v>140</v>
      </c>
      <c r="F1771" s="2" t="s">
        <v>49</v>
      </c>
      <c r="G1771" s="2" t="s">
        <v>64</v>
      </c>
      <c r="H1771" s="2" t="s">
        <v>114</v>
      </c>
      <c r="I1771" s="13">
        <v>11</v>
      </c>
      <c r="J1771" s="10">
        <v>494.85</v>
      </c>
      <c r="K1771" s="10">
        <f t="shared" si="55"/>
        <v>5443.35</v>
      </c>
      <c r="L1771" s="2">
        <v>0</v>
      </c>
      <c r="M1771" s="2" t="s">
        <v>41</v>
      </c>
      <c r="N1771" s="2" t="s">
        <v>35</v>
      </c>
    </row>
    <row r="1772" spans="1:14" x14ac:dyDescent="0.2">
      <c r="A1772" s="13">
        <v>100266</v>
      </c>
      <c r="B1772" s="5">
        <v>45542</v>
      </c>
      <c r="C1772" s="5" t="str">
        <f t="shared" si="54"/>
        <v>Sep</v>
      </c>
      <c r="D1772" s="2" t="s">
        <v>142</v>
      </c>
      <c r="E1772" s="2" t="s">
        <v>27</v>
      </c>
      <c r="F1772" s="2" t="s">
        <v>133</v>
      </c>
      <c r="G1772" s="2" t="s">
        <v>106</v>
      </c>
      <c r="H1772" s="2" t="s">
        <v>103</v>
      </c>
      <c r="I1772" s="13">
        <v>6</v>
      </c>
      <c r="J1772" s="10">
        <v>2962.29</v>
      </c>
      <c r="K1772" s="10">
        <f t="shared" si="55"/>
        <v>17773.739999999998</v>
      </c>
      <c r="L1772" s="2">
        <v>0.1</v>
      </c>
      <c r="M1772" s="2" t="s">
        <v>17</v>
      </c>
      <c r="N1772" s="2" t="s">
        <v>52</v>
      </c>
    </row>
    <row r="1773" spans="1:14" x14ac:dyDescent="0.2">
      <c r="A1773" s="13">
        <v>100915</v>
      </c>
      <c r="B1773" s="5">
        <v>45404</v>
      </c>
      <c r="C1773" s="5" t="str">
        <f t="shared" si="54"/>
        <v>Apr</v>
      </c>
      <c r="D1773" s="2" t="s">
        <v>179</v>
      </c>
      <c r="E1773" s="2" t="s">
        <v>61</v>
      </c>
      <c r="F1773" s="2" t="s">
        <v>119</v>
      </c>
      <c r="G1773" s="2" t="s">
        <v>106</v>
      </c>
      <c r="H1773" s="2" t="s">
        <v>135</v>
      </c>
      <c r="I1773" s="13">
        <v>5</v>
      </c>
      <c r="J1773" s="10">
        <v>3343.02</v>
      </c>
      <c r="K1773" s="10">
        <f t="shared" si="55"/>
        <v>16715.099999999999</v>
      </c>
      <c r="L1773" s="2">
        <v>0</v>
      </c>
      <c r="M1773" s="2" t="s">
        <v>24</v>
      </c>
      <c r="N1773" s="2" t="s">
        <v>52</v>
      </c>
    </row>
    <row r="1774" spans="1:14" x14ac:dyDescent="0.2">
      <c r="A1774" s="13">
        <v>100231</v>
      </c>
      <c r="B1774" s="5">
        <v>45588</v>
      </c>
      <c r="C1774" s="5" t="str">
        <f t="shared" si="54"/>
        <v>Oct</v>
      </c>
      <c r="D1774" s="2" t="s">
        <v>891</v>
      </c>
      <c r="E1774" s="2" t="s">
        <v>140</v>
      </c>
      <c r="F1774" s="2" t="s">
        <v>49</v>
      </c>
      <c r="G1774" s="2" t="s">
        <v>50</v>
      </c>
      <c r="H1774" s="2" t="s">
        <v>207</v>
      </c>
      <c r="I1774" s="13">
        <v>2</v>
      </c>
      <c r="J1774" s="10">
        <v>0</v>
      </c>
      <c r="K1774" s="10">
        <f t="shared" si="55"/>
        <v>0</v>
      </c>
      <c r="L1774" s="2">
        <v>0</v>
      </c>
      <c r="M1774" s="2" t="s">
        <v>66</v>
      </c>
      <c r="N1774" s="2" t="s">
        <v>121</v>
      </c>
    </row>
    <row r="1775" spans="1:14" x14ac:dyDescent="0.2">
      <c r="A1775" s="13">
        <v>101999</v>
      </c>
      <c r="B1775" s="5">
        <v>45536</v>
      </c>
      <c r="C1775" s="5" t="str">
        <f t="shared" si="54"/>
        <v>Sep</v>
      </c>
      <c r="D1775" s="2" t="s">
        <v>258</v>
      </c>
      <c r="E1775" s="2" t="s">
        <v>27</v>
      </c>
      <c r="F1775" s="2" t="s">
        <v>133</v>
      </c>
      <c r="G1775" s="2" t="s">
        <v>45</v>
      </c>
      <c r="H1775" s="2" t="s">
        <v>97</v>
      </c>
      <c r="I1775" s="13">
        <v>8</v>
      </c>
      <c r="J1775" s="10">
        <v>36175.69</v>
      </c>
      <c r="K1775" s="10">
        <f t="shared" si="55"/>
        <v>289405.52</v>
      </c>
      <c r="L1775" s="2">
        <v>0.25</v>
      </c>
      <c r="M1775" s="2" t="s">
        <v>29</v>
      </c>
      <c r="N1775" s="2" t="s">
        <v>25</v>
      </c>
    </row>
    <row r="1776" spans="1:14" x14ac:dyDescent="0.2">
      <c r="A1776" s="13">
        <v>101120</v>
      </c>
      <c r="B1776" s="5">
        <v>45315</v>
      </c>
      <c r="C1776" s="5" t="str">
        <f t="shared" si="54"/>
        <v>Jan</v>
      </c>
      <c r="D1776" s="2" t="s">
        <v>639</v>
      </c>
      <c r="E1776" s="2" t="s">
        <v>140</v>
      </c>
      <c r="F1776" s="2" t="s">
        <v>49</v>
      </c>
      <c r="G1776" s="2" t="s">
        <v>50</v>
      </c>
      <c r="H1776" s="2" t="s">
        <v>51</v>
      </c>
      <c r="I1776" s="13">
        <v>3</v>
      </c>
      <c r="J1776" s="10">
        <v>5855.14</v>
      </c>
      <c r="K1776" s="10">
        <f t="shared" si="55"/>
        <v>17565.420000000002</v>
      </c>
      <c r="L1776" s="2">
        <v>0.1</v>
      </c>
      <c r="M1776" s="2" t="s">
        <v>17</v>
      </c>
      <c r="N1776" s="2" t="s">
        <v>25</v>
      </c>
    </row>
    <row r="1777" spans="1:14" x14ac:dyDescent="0.2">
      <c r="A1777" s="13">
        <v>101993</v>
      </c>
      <c r="B1777" s="5">
        <v>45426</v>
      </c>
      <c r="C1777" s="5" t="str">
        <f t="shared" si="54"/>
        <v>May</v>
      </c>
      <c r="D1777" s="2" t="s">
        <v>636</v>
      </c>
      <c r="E1777" s="2" t="s">
        <v>140</v>
      </c>
      <c r="F1777" s="2" t="s">
        <v>49</v>
      </c>
      <c r="G1777" s="2" t="s">
        <v>106</v>
      </c>
      <c r="H1777" s="2" t="s">
        <v>156</v>
      </c>
      <c r="I1777" s="13">
        <v>12</v>
      </c>
      <c r="J1777" s="10">
        <v>1365.08</v>
      </c>
      <c r="K1777" s="10">
        <f t="shared" si="55"/>
        <v>16380.96</v>
      </c>
      <c r="L1777" s="2">
        <v>0.2</v>
      </c>
      <c r="M1777" s="2" t="s">
        <v>17</v>
      </c>
      <c r="N1777" s="2" t="s">
        <v>143</v>
      </c>
    </row>
    <row r="1778" spans="1:14" x14ac:dyDescent="0.2">
      <c r="A1778" s="13">
        <v>100865</v>
      </c>
      <c r="B1778" s="5">
        <v>45603</v>
      </c>
      <c r="C1778" s="5" t="str">
        <f t="shared" si="54"/>
        <v>Nov</v>
      </c>
      <c r="D1778" s="2" t="s">
        <v>189</v>
      </c>
      <c r="E1778" s="2" t="s">
        <v>37</v>
      </c>
      <c r="F1778" s="2" t="s">
        <v>38</v>
      </c>
      <c r="G1778" s="2" t="s">
        <v>33</v>
      </c>
      <c r="H1778" s="2" t="s">
        <v>34</v>
      </c>
      <c r="I1778" s="13">
        <v>4</v>
      </c>
      <c r="J1778" s="10">
        <v>0</v>
      </c>
      <c r="K1778" s="10">
        <f t="shared" si="55"/>
        <v>0</v>
      </c>
      <c r="L1778" s="2">
        <v>0.1</v>
      </c>
      <c r="M1778" s="2" t="s">
        <v>83</v>
      </c>
      <c r="N1778" s="2" t="s">
        <v>121</v>
      </c>
    </row>
    <row r="1779" spans="1:14" x14ac:dyDescent="0.2">
      <c r="A1779" s="13">
        <v>101067</v>
      </c>
      <c r="B1779" s="5">
        <v>45301</v>
      </c>
      <c r="C1779" s="5" t="str">
        <f t="shared" si="54"/>
        <v>Jan</v>
      </c>
      <c r="D1779" s="2" t="s">
        <v>901</v>
      </c>
      <c r="E1779" s="2" t="s">
        <v>37</v>
      </c>
      <c r="F1779" s="2" t="s">
        <v>69</v>
      </c>
      <c r="G1779" s="2" t="s">
        <v>106</v>
      </c>
      <c r="H1779" s="2" t="s">
        <v>156</v>
      </c>
      <c r="I1779" s="13">
        <v>4</v>
      </c>
      <c r="J1779" s="10">
        <v>722.44</v>
      </c>
      <c r="K1779" s="10">
        <f t="shared" si="55"/>
        <v>2889.76</v>
      </c>
      <c r="L1779" s="2">
        <v>0.2</v>
      </c>
      <c r="M1779" s="2" t="s">
        <v>66</v>
      </c>
      <c r="N1779" s="2" t="s">
        <v>143</v>
      </c>
    </row>
    <row r="1780" spans="1:14" x14ac:dyDescent="0.2">
      <c r="A1780" s="13">
        <v>100874</v>
      </c>
      <c r="B1780" s="5">
        <v>45474</v>
      </c>
      <c r="C1780" s="5" t="str">
        <f t="shared" si="54"/>
        <v>Jul</v>
      </c>
      <c r="D1780" s="2" t="s">
        <v>512</v>
      </c>
      <c r="E1780" s="2" t="s">
        <v>31</v>
      </c>
      <c r="F1780" s="2" t="s">
        <v>32</v>
      </c>
      <c r="G1780" s="2" t="s">
        <v>50</v>
      </c>
      <c r="H1780" s="2" t="s">
        <v>56</v>
      </c>
      <c r="I1780" s="13">
        <v>4</v>
      </c>
      <c r="J1780" s="10">
        <v>6214.13</v>
      </c>
      <c r="K1780" s="10">
        <f t="shared" si="55"/>
        <v>24856.52</v>
      </c>
      <c r="L1780" s="2">
        <v>0</v>
      </c>
      <c r="M1780" s="2" t="s">
        <v>83</v>
      </c>
      <c r="N1780" s="2" t="s">
        <v>143</v>
      </c>
    </row>
    <row r="1781" spans="1:14" x14ac:dyDescent="0.2">
      <c r="A1781" s="13">
        <v>101817</v>
      </c>
      <c r="B1781" s="5">
        <v>45437</v>
      </c>
      <c r="C1781" s="5" t="str">
        <f t="shared" si="54"/>
        <v>May</v>
      </c>
      <c r="D1781" s="2" t="s">
        <v>733</v>
      </c>
      <c r="E1781" s="2" t="s">
        <v>27</v>
      </c>
      <c r="F1781" s="2" t="s">
        <v>133</v>
      </c>
      <c r="G1781" s="2" t="s">
        <v>33</v>
      </c>
      <c r="H1781" s="2" t="s">
        <v>34</v>
      </c>
      <c r="I1781" s="13">
        <v>10</v>
      </c>
      <c r="J1781" s="10">
        <v>416.14</v>
      </c>
      <c r="K1781" s="10">
        <f t="shared" si="55"/>
        <v>4161.3999999999996</v>
      </c>
      <c r="L1781" s="2">
        <v>0.25</v>
      </c>
      <c r="M1781" s="2" t="s">
        <v>24</v>
      </c>
      <c r="N1781" s="2" t="s">
        <v>25</v>
      </c>
    </row>
    <row r="1782" spans="1:14" x14ac:dyDescent="0.2">
      <c r="A1782" s="13">
        <v>100399</v>
      </c>
      <c r="B1782" s="5">
        <v>45546</v>
      </c>
      <c r="C1782" s="5" t="str">
        <f t="shared" si="54"/>
        <v>Sep</v>
      </c>
      <c r="D1782" s="2" t="s">
        <v>530</v>
      </c>
      <c r="E1782" s="2" t="s">
        <v>31</v>
      </c>
      <c r="F1782" s="2" t="s">
        <v>32</v>
      </c>
      <c r="G1782" s="2" t="s">
        <v>50</v>
      </c>
      <c r="H1782" s="2" t="s">
        <v>207</v>
      </c>
      <c r="I1782" s="13">
        <v>3</v>
      </c>
      <c r="J1782" s="10">
        <v>11485.64</v>
      </c>
      <c r="K1782" s="10">
        <f t="shared" si="55"/>
        <v>34456.92</v>
      </c>
      <c r="L1782" s="2">
        <v>0</v>
      </c>
      <c r="M1782" s="2" t="s">
        <v>17</v>
      </c>
      <c r="N1782" s="2" t="s">
        <v>42</v>
      </c>
    </row>
    <row r="1783" spans="1:14" x14ac:dyDescent="0.2">
      <c r="A1783" s="13">
        <v>101848</v>
      </c>
      <c r="B1783" s="5">
        <v>45329</v>
      </c>
      <c r="C1783" s="5" t="str">
        <f t="shared" si="54"/>
        <v>Feb</v>
      </c>
      <c r="D1783" s="2" t="s">
        <v>963</v>
      </c>
      <c r="E1783" s="2" t="s">
        <v>31</v>
      </c>
      <c r="F1783" s="2" t="s">
        <v>32</v>
      </c>
      <c r="G1783" s="2" t="s">
        <v>33</v>
      </c>
      <c r="H1783" s="2" t="s">
        <v>158</v>
      </c>
      <c r="I1783" s="13">
        <v>9</v>
      </c>
      <c r="J1783" s="10">
        <v>332.81</v>
      </c>
      <c r="K1783" s="10">
        <f t="shared" si="55"/>
        <v>2995.29</v>
      </c>
      <c r="L1783" s="2">
        <v>0.1</v>
      </c>
      <c r="M1783" s="2" t="s">
        <v>66</v>
      </c>
      <c r="N1783" s="2" t="s">
        <v>42</v>
      </c>
    </row>
    <row r="1784" spans="1:14" x14ac:dyDescent="0.2">
      <c r="A1784" s="13">
        <v>101653</v>
      </c>
      <c r="B1784" s="5">
        <v>45453</v>
      </c>
      <c r="C1784" s="5" t="str">
        <f t="shared" si="54"/>
        <v>Jun</v>
      </c>
      <c r="D1784" s="2" t="s">
        <v>771</v>
      </c>
      <c r="E1784" s="2" t="s">
        <v>61</v>
      </c>
      <c r="F1784" s="2" t="s">
        <v>119</v>
      </c>
      <c r="G1784" s="2" t="s">
        <v>50</v>
      </c>
      <c r="H1784" s="2" t="s">
        <v>99</v>
      </c>
      <c r="I1784" s="13">
        <v>5</v>
      </c>
      <c r="J1784" s="10">
        <v>10569.69</v>
      </c>
      <c r="K1784" s="10">
        <f t="shared" si="55"/>
        <v>52848.450000000004</v>
      </c>
      <c r="L1784" s="2">
        <v>0.2</v>
      </c>
      <c r="M1784" s="2" t="s">
        <v>83</v>
      </c>
      <c r="N1784" s="2" t="s">
        <v>25</v>
      </c>
    </row>
    <row r="1785" spans="1:14" x14ac:dyDescent="0.2">
      <c r="A1785" s="13">
        <v>100046</v>
      </c>
      <c r="B1785" s="5">
        <v>45321</v>
      </c>
      <c r="C1785" s="5" t="str">
        <f t="shared" si="54"/>
        <v>Jan</v>
      </c>
      <c r="D1785" s="2" t="s">
        <v>387</v>
      </c>
      <c r="E1785" s="2" t="s">
        <v>31</v>
      </c>
      <c r="F1785" s="2" t="s">
        <v>32</v>
      </c>
      <c r="G1785" s="2" t="s">
        <v>45</v>
      </c>
      <c r="H1785" s="2" t="s">
        <v>153</v>
      </c>
      <c r="I1785" s="13">
        <v>12</v>
      </c>
      <c r="J1785" s="10">
        <v>44462.85</v>
      </c>
      <c r="K1785" s="10">
        <f t="shared" si="55"/>
        <v>533554.19999999995</v>
      </c>
      <c r="L1785" s="2">
        <v>0.05</v>
      </c>
      <c r="M1785" s="2" t="s">
        <v>29</v>
      </c>
      <c r="N1785" s="2" t="s">
        <v>52</v>
      </c>
    </row>
    <row r="1786" spans="1:14" x14ac:dyDescent="0.2">
      <c r="A1786" s="13">
        <v>100162</v>
      </c>
      <c r="B1786" s="5">
        <v>45506</v>
      </c>
      <c r="C1786" s="5" t="str">
        <f t="shared" si="54"/>
        <v>Aug</v>
      </c>
      <c r="D1786" s="2" t="s">
        <v>943</v>
      </c>
      <c r="E1786" s="2" t="s">
        <v>37</v>
      </c>
      <c r="F1786" s="2" t="s">
        <v>69</v>
      </c>
      <c r="G1786" s="2" t="s">
        <v>106</v>
      </c>
      <c r="H1786" s="2" t="s">
        <v>137</v>
      </c>
      <c r="I1786" s="13">
        <v>8</v>
      </c>
      <c r="J1786" s="10">
        <v>3224.7</v>
      </c>
      <c r="K1786" s="10">
        <f t="shared" si="55"/>
        <v>25797.599999999999</v>
      </c>
      <c r="L1786" s="2">
        <v>0.15</v>
      </c>
      <c r="M1786" s="2" t="s">
        <v>66</v>
      </c>
      <c r="N1786" s="2" t="s">
        <v>42</v>
      </c>
    </row>
    <row r="1787" spans="1:14" x14ac:dyDescent="0.2">
      <c r="A1787" s="13">
        <v>100992</v>
      </c>
      <c r="B1787" s="5">
        <v>45590</v>
      </c>
      <c r="C1787" s="5" t="str">
        <f t="shared" si="54"/>
        <v>Oct</v>
      </c>
      <c r="D1787" s="2" t="s">
        <v>1035</v>
      </c>
      <c r="E1787" s="2" t="s">
        <v>37</v>
      </c>
      <c r="F1787" s="2" t="s">
        <v>69</v>
      </c>
      <c r="G1787" s="2" t="s">
        <v>45</v>
      </c>
      <c r="H1787" s="2" t="s">
        <v>149</v>
      </c>
      <c r="I1787" s="13">
        <v>-3</v>
      </c>
      <c r="J1787" s="10">
        <v>7058.73</v>
      </c>
      <c r="K1787" s="10">
        <f t="shared" si="55"/>
        <v>-21176.19</v>
      </c>
      <c r="L1787" s="2">
        <v>0</v>
      </c>
      <c r="M1787" s="2" t="s">
        <v>41</v>
      </c>
      <c r="N1787" s="2" t="s">
        <v>52</v>
      </c>
    </row>
    <row r="1788" spans="1:14" x14ac:dyDescent="0.2">
      <c r="A1788" s="13">
        <v>100728</v>
      </c>
      <c r="B1788" s="5">
        <v>45411</v>
      </c>
      <c r="C1788" s="5" t="str">
        <f t="shared" si="54"/>
        <v>Apr</v>
      </c>
      <c r="D1788" s="2" t="s">
        <v>873</v>
      </c>
      <c r="E1788" s="2" t="s">
        <v>140</v>
      </c>
      <c r="F1788" s="2" t="s">
        <v>49</v>
      </c>
      <c r="G1788" s="2" t="s">
        <v>106</v>
      </c>
      <c r="H1788" s="2" t="s">
        <v>135</v>
      </c>
      <c r="I1788" s="13">
        <v>10</v>
      </c>
      <c r="J1788" s="10">
        <v>3265.2</v>
      </c>
      <c r="K1788" s="10">
        <f t="shared" si="55"/>
        <v>32652</v>
      </c>
      <c r="L1788" s="2">
        <v>0</v>
      </c>
      <c r="M1788" s="2" t="s">
        <v>17</v>
      </c>
      <c r="N1788" s="2" t="s">
        <v>42</v>
      </c>
    </row>
    <row r="1789" spans="1:14" x14ac:dyDescent="0.2">
      <c r="A1789" s="13">
        <v>100630</v>
      </c>
      <c r="B1789" s="5">
        <v>45364</v>
      </c>
      <c r="C1789" s="5" t="str">
        <f t="shared" si="54"/>
        <v>Mar</v>
      </c>
      <c r="D1789" s="2" t="s">
        <v>479</v>
      </c>
      <c r="E1789" s="2" t="s">
        <v>31</v>
      </c>
      <c r="F1789" s="2" t="s">
        <v>32</v>
      </c>
      <c r="G1789" s="2" t="s">
        <v>33</v>
      </c>
      <c r="H1789" s="2" t="s">
        <v>34</v>
      </c>
      <c r="I1789" s="13">
        <v>4</v>
      </c>
      <c r="J1789" s="10">
        <v>426.72</v>
      </c>
      <c r="K1789" s="10">
        <f t="shared" si="55"/>
        <v>1706.88</v>
      </c>
      <c r="L1789" s="2">
        <v>0</v>
      </c>
      <c r="M1789" s="2" t="s">
        <v>83</v>
      </c>
      <c r="N1789" s="2" t="s">
        <v>25</v>
      </c>
    </row>
    <row r="1790" spans="1:14" x14ac:dyDescent="0.2">
      <c r="A1790" s="13">
        <v>100289</v>
      </c>
      <c r="B1790" s="5">
        <v>45309</v>
      </c>
      <c r="C1790" s="5" t="str">
        <f t="shared" si="54"/>
        <v>Jan</v>
      </c>
      <c r="D1790" s="2" t="s">
        <v>541</v>
      </c>
      <c r="E1790" s="2" t="s">
        <v>27</v>
      </c>
      <c r="F1790" s="2" t="s">
        <v>133</v>
      </c>
      <c r="G1790" s="2" t="s">
        <v>15</v>
      </c>
      <c r="H1790" s="2" t="s">
        <v>205</v>
      </c>
      <c r="I1790" s="13">
        <v>2</v>
      </c>
      <c r="J1790" s="10">
        <v>2738.18</v>
      </c>
      <c r="K1790" s="10">
        <f t="shared" si="55"/>
        <v>5476.36</v>
      </c>
      <c r="L1790" s="2">
        <v>0</v>
      </c>
      <c r="M1790" s="2" t="s">
        <v>66</v>
      </c>
      <c r="N1790" s="2" t="s">
        <v>121</v>
      </c>
    </row>
    <row r="1791" spans="1:14" x14ac:dyDescent="0.2">
      <c r="A1791" s="13">
        <v>101614</v>
      </c>
      <c r="B1791" s="5">
        <v>45386</v>
      </c>
      <c r="C1791" s="5" t="str">
        <f t="shared" si="54"/>
        <v>Apr</v>
      </c>
      <c r="D1791" s="2" t="s">
        <v>681</v>
      </c>
      <c r="E1791" s="2" t="s">
        <v>27</v>
      </c>
      <c r="F1791" s="2" t="s">
        <v>21</v>
      </c>
      <c r="G1791" s="2" t="s">
        <v>64</v>
      </c>
      <c r="H1791" s="2" t="s">
        <v>40</v>
      </c>
      <c r="I1791" s="13">
        <v>9</v>
      </c>
      <c r="J1791" s="10">
        <v>806.43</v>
      </c>
      <c r="K1791" s="10">
        <f t="shared" si="55"/>
        <v>7257.87</v>
      </c>
      <c r="L1791" s="2">
        <v>0.2</v>
      </c>
      <c r="M1791" s="2" t="s">
        <v>41</v>
      </c>
      <c r="N1791" s="2" t="s">
        <v>52</v>
      </c>
    </row>
    <row r="1792" spans="1:14" x14ac:dyDescent="0.2">
      <c r="A1792" s="13">
        <v>101060</v>
      </c>
      <c r="B1792" s="5">
        <v>45489</v>
      </c>
      <c r="C1792" s="5" t="str">
        <f t="shared" si="54"/>
        <v>Jul</v>
      </c>
      <c r="D1792" s="2" t="s">
        <v>724</v>
      </c>
      <c r="E1792" s="2" t="s">
        <v>27</v>
      </c>
      <c r="F1792" s="2" t="s">
        <v>21</v>
      </c>
      <c r="G1792" s="2" t="s">
        <v>22</v>
      </c>
      <c r="H1792" s="2" t="s">
        <v>232</v>
      </c>
      <c r="I1792" s="13">
        <v>2</v>
      </c>
      <c r="J1792" s="10">
        <v>2565.04</v>
      </c>
      <c r="K1792" s="10">
        <f t="shared" si="55"/>
        <v>5130.08</v>
      </c>
      <c r="L1792" s="2">
        <v>0.15</v>
      </c>
      <c r="M1792" s="2" t="s">
        <v>66</v>
      </c>
      <c r="N1792" s="2" t="s">
        <v>121</v>
      </c>
    </row>
    <row r="1793" spans="1:14" x14ac:dyDescent="0.2">
      <c r="A1793" s="13">
        <v>101977</v>
      </c>
      <c r="B1793" s="5">
        <v>45390</v>
      </c>
      <c r="C1793" s="5" t="str">
        <f t="shared" si="54"/>
        <v>Apr</v>
      </c>
      <c r="D1793" s="2" t="s">
        <v>893</v>
      </c>
      <c r="E1793" s="2" t="s">
        <v>140</v>
      </c>
      <c r="F1793" s="2" t="s">
        <v>49</v>
      </c>
      <c r="G1793" s="2" t="s">
        <v>33</v>
      </c>
      <c r="H1793" s="2" t="s">
        <v>81</v>
      </c>
      <c r="I1793" s="13">
        <v>3</v>
      </c>
      <c r="J1793" s="10">
        <v>548.98</v>
      </c>
      <c r="K1793" s="10">
        <f t="shared" si="55"/>
        <v>1646.94</v>
      </c>
      <c r="L1793" s="2">
        <v>0.2</v>
      </c>
      <c r="M1793" s="2" t="s">
        <v>83</v>
      </c>
      <c r="N1793" s="2" t="s">
        <v>121</v>
      </c>
    </row>
    <row r="1794" spans="1:14" x14ac:dyDescent="0.2">
      <c r="A1794" s="13">
        <v>100576</v>
      </c>
      <c r="B1794" s="5">
        <v>45645</v>
      </c>
      <c r="C1794" s="5" t="str">
        <f t="shared" ref="C1794:C1857" si="56">TEXT(B1794,"mmm")</f>
        <v>Dec</v>
      </c>
      <c r="D1794" s="2" t="s">
        <v>506</v>
      </c>
      <c r="E1794" s="2" t="s">
        <v>31</v>
      </c>
      <c r="F1794" s="2" t="s">
        <v>32</v>
      </c>
      <c r="G1794" s="2" t="s">
        <v>22</v>
      </c>
      <c r="H1794" s="2" t="s">
        <v>23</v>
      </c>
      <c r="I1794" s="13">
        <v>11</v>
      </c>
      <c r="J1794" s="10">
        <v>1526.46</v>
      </c>
      <c r="K1794" s="10">
        <f t="shared" ref="K1794:K1857" si="57">I1794*J1794</f>
        <v>16791.060000000001</v>
      </c>
      <c r="L1794" s="2">
        <v>0</v>
      </c>
      <c r="M1794" s="2" t="s">
        <v>29</v>
      </c>
      <c r="N1794" s="2" t="s">
        <v>18</v>
      </c>
    </row>
    <row r="1795" spans="1:14" x14ac:dyDescent="0.2">
      <c r="A1795" s="13">
        <v>100851</v>
      </c>
      <c r="B1795" s="5">
        <v>45293</v>
      </c>
      <c r="C1795" s="5" t="str">
        <f t="shared" si="56"/>
        <v>Jan</v>
      </c>
      <c r="D1795" s="2" t="s">
        <v>281</v>
      </c>
      <c r="E1795" s="2" t="s">
        <v>37</v>
      </c>
      <c r="F1795" s="2" t="s">
        <v>38</v>
      </c>
      <c r="G1795" s="2" t="s">
        <v>64</v>
      </c>
      <c r="H1795" s="2" t="s">
        <v>40</v>
      </c>
      <c r="I1795" s="13">
        <v>11</v>
      </c>
      <c r="J1795" s="10">
        <v>561.79999999999995</v>
      </c>
      <c r="K1795" s="10">
        <f t="shared" si="57"/>
        <v>6179.7999999999993</v>
      </c>
      <c r="L1795" s="2">
        <v>0</v>
      </c>
      <c r="M1795" s="2" t="s">
        <v>17</v>
      </c>
      <c r="N1795" s="2" t="s">
        <v>35</v>
      </c>
    </row>
    <row r="1796" spans="1:14" x14ac:dyDescent="0.2">
      <c r="A1796" s="13">
        <v>101340</v>
      </c>
      <c r="B1796" s="5">
        <v>45412</v>
      </c>
      <c r="C1796" s="5" t="str">
        <f t="shared" si="56"/>
        <v>Apr</v>
      </c>
      <c r="D1796" s="2" t="s">
        <v>443</v>
      </c>
      <c r="E1796" s="2" t="s">
        <v>31</v>
      </c>
      <c r="F1796" s="2" t="s">
        <v>32</v>
      </c>
      <c r="G1796" s="2" t="s">
        <v>64</v>
      </c>
      <c r="H1796" s="2" t="s">
        <v>292</v>
      </c>
      <c r="I1796" s="13">
        <v>4</v>
      </c>
      <c r="J1796" s="10">
        <v>383.46</v>
      </c>
      <c r="K1796" s="10">
        <f t="shared" si="57"/>
        <v>1533.84</v>
      </c>
      <c r="L1796" s="2">
        <v>0</v>
      </c>
      <c r="M1796" s="2" t="s">
        <v>83</v>
      </c>
      <c r="N1796" s="2" t="s">
        <v>87</v>
      </c>
    </row>
    <row r="1797" spans="1:14" x14ac:dyDescent="0.2">
      <c r="A1797" s="13">
        <v>100912</v>
      </c>
      <c r="B1797" s="5">
        <v>45590</v>
      </c>
      <c r="C1797" s="5" t="str">
        <f t="shared" si="56"/>
        <v>Oct</v>
      </c>
      <c r="D1797" s="2" t="s">
        <v>1030</v>
      </c>
      <c r="E1797" s="2" t="s">
        <v>27</v>
      </c>
      <c r="F1797" s="2" t="s">
        <v>21</v>
      </c>
      <c r="G1797" s="2" t="s">
        <v>106</v>
      </c>
      <c r="H1797" s="2" t="s">
        <v>137</v>
      </c>
      <c r="I1797" s="13">
        <v>3</v>
      </c>
      <c r="J1797" s="10">
        <v>1065.74</v>
      </c>
      <c r="K1797" s="10">
        <f t="shared" si="57"/>
        <v>3197.2200000000003</v>
      </c>
      <c r="L1797" s="2">
        <v>0.25</v>
      </c>
      <c r="M1797" s="2" t="s">
        <v>83</v>
      </c>
      <c r="N1797" s="2" t="s">
        <v>35</v>
      </c>
    </row>
    <row r="1798" spans="1:14" x14ac:dyDescent="0.2">
      <c r="A1798" s="13">
        <v>101255</v>
      </c>
      <c r="B1798" s="5">
        <v>45329</v>
      </c>
      <c r="C1798" s="5" t="str">
        <f t="shared" si="56"/>
        <v>Feb</v>
      </c>
      <c r="D1798" s="2" t="s">
        <v>190</v>
      </c>
      <c r="E1798" s="2" t="s">
        <v>61</v>
      </c>
      <c r="F1798" s="2" t="s">
        <v>14</v>
      </c>
      <c r="G1798" s="2" t="s">
        <v>64</v>
      </c>
      <c r="H1798" s="2" t="s">
        <v>114</v>
      </c>
      <c r="I1798" s="13">
        <v>2</v>
      </c>
      <c r="J1798" s="10">
        <v>150.31</v>
      </c>
      <c r="K1798" s="10">
        <f t="shared" si="57"/>
        <v>300.62</v>
      </c>
      <c r="L1798" s="2">
        <v>0.1</v>
      </c>
      <c r="M1798" s="2" t="s">
        <v>66</v>
      </c>
      <c r="N1798" s="2" t="s">
        <v>87</v>
      </c>
    </row>
    <row r="1799" spans="1:14" x14ac:dyDescent="0.2">
      <c r="A1799" s="13">
        <v>101723</v>
      </c>
      <c r="B1799" s="5">
        <v>45435</v>
      </c>
      <c r="C1799" s="5" t="str">
        <f t="shared" si="56"/>
        <v>May</v>
      </c>
      <c r="D1799" s="2" t="s">
        <v>19</v>
      </c>
      <c r="E1799" s="2" t="s">
        <v>140</v>
      </c>
      <c r="F1799" s="2" t="s">
        <v>49</v>
      </c>
      <c r="G1799" s="2" t="s">
        <v>50</v>
      </c>
      <c r="H1799" s="2" t="s">
        <v>207</v>
      </c>
      <c r="I1799" s="13">
        <v>5</v>
      </c>
      <c r="J1799" s="10">
        <v>6756.56</v>
      </c>
      <c r="K1799" s="10">
        <f t="shared" si="57"/>
        <v>33782.800000000003</v>
      </c>
      <c r="L1799" s="2">
        <v>0</v>
      </c>
      <c r="M1799" s="2" t="s">
        <v>29</v>
      </c>
      <c r="N1799" s="2" t="s">
        <v>143</v>
      </c>
    </row>
    <row r="1800" spans="1:14" x14ac:dyDescent="0.2">
      <c r="A1800" s="13">
        <v>101914</v>
      </c>
      <c r="B1800" s="5">
        <v>45487</v>
      </c>
      <c r="C1800" s="5" t="str">
        <f t="shared" si="56"/>
        <v>Jul</v>
      </c>
      <c r="D1800" s="2" t="s">
        <v>808</v>
      </c>
      <c r="E1800" s="2" t="s">
        <v>140</v>
      </c>
      <c r="F1800" s="2" t="s">
        <v>79</v>
      </c>
      <c r="G1800" s="2" t="s">
        <v>106</v>
      </c>
      <c r="H1800" s="2" t="s">
        <v>135</v>
      </c>
      <c r="I1800" s="13">
        <v>-2</v>
      </c>
      <c r="J1800" s="10">
        <v>615.37</v>
      </c>
      <c r="K1800" s="10">
        <f t="shared" si="57"/>
        <v>-1230.74</v>
      </c>
      <c r="L1800" s="2">
        <v>0.25</v>
      </c>
      <c r="M1800" s="2" t="s">
        <v>83</v>
      </c>
      <c r="N1800" s="2" t="s">
        <v>87</v>
      </c>
    </row>
    <row r="1801" spans="1:14" x14ac:dyDescent="0.2">
      <c r="A1801" s="13">
        <v>101736</v>
      </c>
      <c r="B1801" s="5">
        <v>45458</v>
      </c>
      <c r="C1801" s="5" t="str">
        <f t="shared" si="56"/>
        <v>Jun</v>
      </c>
      <c r="D1801" s="2" t="s">
        <v>184</v>
      </c>
      <c r="E1801" s="2" t="s">
        <v>37</v>
      </c>
      <c r="F1801" s="2" t="s">
        <v>38</v>
      </c>
      <c r="G1801" s="2" t="s">
        <v>22</v>
      </c>
      <c r="H1801" s="2" t="s">
        <v>145</v>
      </c>
      <c r="I1801" s="13">
        <v>11</v>
      </c>
      <c r="J1801" s="10">
        <v>2316.8000000000002</v>
      </c>
      <c r="K1801" s="10">
        <f t="shared" si="57"/>
        <v>25484.800000000003</v>
      </c>
      <c r="L1801" s="2">
        <v>0</v>
      </c>
      <c r="M1801" s="2" t="s">
        <v>66</v>
      </c>
      <c r="N1801" s="2" t="s">
        <v>42</v>
      </c>
    </row>
    <row r="1802" spans="1:14" x14ac:dyDescent="0.2">
      <c r="A1802" s="13">
        <v>100933</v>
      </c>
      <c r="B1802" s="5">
        <v>45618</v>
      </c>
      <c r="C1802" s="5" t="str">
        <f t="shared" si="56"/>
        <v>Nov</v>
      </c>
      <c r="D1802" s="2" t="s">
        <v>147</v>
      </c>
      <c r="E1802" s="2" t="s">
        <v>140</v>
      </c>
      <c r="F1802" s="2" t="s">
        <v>49</v>
      </c>
      <c r="G1802" s="2" t="s">
        <v>15</v>
      </c>
      <c r="H1802" s="2" t="s">
        <v>16</v>
      </c>
      <c r="I1802" s="13">
        <v>12</v>
      </c>
      <c r="J1802" s="10">
        <v>16016.44</v>
      </c>
      <c r="K1802" s="10">
        <f t="shared" si="57"/>
        <v>192197.28</v>
      </c>
      <c r="L1802" s="2">
        <v>0.05</v>
      </c>
      <c r="M1802" s="2" t="s">
        <v>29</v>
      </c>
      <c r="N1802" s="2" t="s">
        <v>121</v>
      </c>
    </row>
    <row r="1803" spans="1:14" x14ac:dyDescent="0.2">
      <c r="A1803" s="13">
        <v>101101</v>
      </c>
      <c r="B1803" s="5">
        <v>45314</v>
      </c>
      <c r="C1803" s="5" t="str">
        <f t="shared" si="56"/>
        <v>Jan</v>
      </c>
      <c r="D1803" s="2" t="s">
        <v>878</v>
      </c>
      <c r="E1803" s="2" t="s">
        <v>27</v>
      </c>
      <c r="F1803" s="2" t="s">
        <v>133</v>
      </c>
      <c r="G1803" s="2" t="s">
        <v>50</v>
      </c>
      <c r="H1803" s="2" t="s">
        <v>207</v>
      </c>
      <c r="I1803" s="13">
        <v>3</v>
      </c>
      <c r="J1803" s="10">
        <v>10217.459999999999</v>
      </c>
      <c r="K1803" s="10">
        <f t="shared" si="57"/>
        <v>30652.379999999997</v>
      </c>
      <c r="L1803" s="2">
        <v>0</v>
      </c>
      <c r="M1803" s="2" t="s">
        <v>24</v>
      </c>
      <c r="N1803" s="2" t="s">
        <v>52</v>
      </c>
    </row>
    <row r="1804" spans="1:14" x14ac:dyDescent="0.2">
      <c r="A1804" s="13">
        <v>101658</v>
      </c>
      <c r="B1804" s="5">
        <v>45444</v>
      </c>
      <c r="C1804" s="5" t="str">
        <f t="shared" si="56"/>
        <v>Jun</v>
      </c>
      <c r="D1804" s="2" t="s">
        <v>1069</v>
      </c>
      <c r="E1804" s="2" t="s">
        <v>27</v>
      </c>
      <c r="F1804" s="2" t="s">
        <v>133</v>
      </c>
      <c r="G1804" s="2" t="s">
        <v>50</v>
      </c>
      <c r="H1804" s="2" t="s">
        <v>56</v>
      </c>
      <c r="I1804" s="13">
        <v>9</v>
      </c>
      <c r="J1804" s="10">
        <v>6414.91</v>
      </c>
      <c r="K1804" s="10">
        <f t="shared" si="57"/>
        <v>57734.19</v>
      </c>
      <c r="L1804" s="2">
        <v>0.1</v>
      </c>
      <c r="M1804" s="2" t="s">
        <v>41</v>
      </c>
      <c r="N1804" s="2" t="s">
        <v>35</v>
      </c>
    </row>
    <row r="1805" spans="1:14" x14ac:dyDescent="0.2">
      <c r="A1805" s="13">
        <v>101208</v>
      </c>
      <c r="B1805" s="5">
        <v>45298</v>
      </c>
      <c r="C1805" s="5" t="str">
        <f t="shared" si="56"/>
        <v>Jan</v>
      </c>
      <c r="D1805" s="2" t="s">
        <v>1041</v>
      </c>
      <c r="E1805" s="2" t="s">
        <v>27</v>
      </c>
      <c r="F1805" s="2" t="s">
        <v>133</v>
      </c>
      <c r="G1805" s="2" t="s">
        <v>64</v>
      </c>
      <c r="H1805" s="2" t="s">
        <v>292</v>
      </c>
      <c r="I1805" s="13">
        <v>2</v>
      </c>
      <c r="J1805" s="10">
        <v>430.68</v>
      </c>
      <c r="K1805" s="10">
        <f t="shared" si="57"/>
        <v>861.36</v>
      </c>
      <c r="L1805" s="2">
        <v>0.1</v>
      </c>
      <c r="M1805" s="2" t="s">
        <v>41</v>
      </c>
      <c r="N1805" s="2" t="s">
        <v>25</v>
      </c>
    </row>
    <row r="1806" spans="1:14" x14ac:dyDescent="0.2">
      <c r="A1806" s="13">
        <v>100248</v>
      </c>
      <c r="B1806" s="5">
        <v>45369</v>
      </c>
      <c r="C1806" s="5" t="str">
        <f t="shared" si="56"/>
        <v>Mar</v>
      </c>
      <c r="D1806" s="2" t="s">
        <v>455</v>
      </c>
      <c r="E1806" s="2" t="s">
        <v>140</v>
      </c>
      <c r="F1806" s="2" t="s">
        <v>49</v>
      </c>
      <c r="G1806" s="2" t="s">
        <v>106</v>
      </c>
      <c r="H1806" s="2" t="s">
        <v>137</v>
      </c>
      <c r="I1806" s="13">
        <v>5</v>
      </c>
      <c r="J1806" s="10">
        <v>1259.4000000000001</v>
      </c>
      <c r="K1806" s="10">
        <f t="shared" si="57"/>
        <v>6297</v>
      </c>
      <c r="L1806" s="2">
        <v>0</v>
      </c>
      <c r="M1806" s="2" t="s">
        <v>17</v>
      </c>
      <c r="N1806" s="2" t="s">
        <v>121</v>
      </c>
    </row>
    <row r="1807" spans="1:14" x14ac:dyDescent="0.2">
      <c r="A1807" s="13">
        <v>100477</v>
      </c>
      <c r="B1807" s="5">
        <v>45645</v>
      </c>
      <c r="C1807" s="5" t="str">
        <f t="shared" si="56"/>
        <v>Dec</v>
      </c>
      <c r="D1807" s="2" t="s">
        <v>666</v>
      </c>
      <c r="E1807" s="2" t="s">
        <v>31</v>
      </c>
      <c r="F1807" s="2" t="s">
        <v>54</v>
      </c>
      <c r="G1807" s="2" t="s">
        <v>64</v>
      </c>
      <c r="H1807" s="2" t="s">
        <v>165</v>
      </c>
      <c r="I1807" s="13">
        <v>7</v>
      </c>
      <c r="J1807" s="10">
        <v>743.51</v>
      </c>
      <c r="K1807" s="10">
        <f t="shared" si="57"/>
        <v>5204.57</v>
      </c>
      <c r="L1807" s="2">
        <v>0</v>
      </c>
      <c r="M1807" s="2" t="s">
        <v>29</v>
      </c>
      <c r="N1807" s="2" t="s">
        <v>18</v>
      </c>
    </row>
    <row r="1808" spans="1:14" x14ac:dyDescent="0.2">
      <c r="A1808" s="13">
        <v>101695</v>
      </c>
      <c r="B1808" s="5">
        <v>45351</v>
      </c>
      <c r="C1808" s="5" t="str">
        <f t="shared" si="56"/>
        <v>Feb</v>
      </c>
      <c r="D1808" s="2" t="s">
        <v>744</v>
      </c>
      <c r="E1808" s="2" t="s">
        <v>27</v>
      </c>
      <c r="F1808" s="2" t="s">
        <v>21</v>
      </c>
      <c r="G1808" s="2" t="s">
        <v>22</v>
      </c>
      <c r="H1808" s="2" t="s">
        <v>141</v>
      </c>
      <c r="I1808" s="13">
        <v>5</v>
      </c>
      <c r="J1808" s="10">
        <v>0</v>
      </c>
      <c r="K1808" s="10">
        <f t="shared" si="57"/>
        <v>0</v>
      </c>
      <c r="L1808" s="2">
        <v>0.05</v>
      </c>
      <c r="M1808" s="2" t="s">
        <v>66</v>
      </c>
      <c r="N1808" s="2" t="s">
        <v>35</v>
      </c>
    </row>
    <row r="1809" spans="1:14" x14ac:dyDescent="0.2">
      <c r="A1809" s="13">
        <v>100086</v>
      </c>
      <c r="B1809" s="5">
        <v>45359</v>
      </c>
      <c r="C1809" s="5" t="str">
        <f t="shared" si="56"/>
        <v>Mar</v>
      </c>
      <c r="D1809" s="2" t="s">
        <v>198</v>
      </c>
      <c r="E1809" s="2" t="s">
        <v>31</v>
      </c>
      <c r="F1809" s="2" t="s">
        <v>54</v>
      </c>
      <c r="G1809" s="2" t="s">
        <v>106</v>
      </c>
      <c r="H1809" s="2" t="s">
        <v>137</v>
      </c>
      <c r="I1809" s="13">
        <v>7</v>
      </c>
      <c r="J1809" s="10">
        <v>2223.71</v>
      </c>
      <c r="K1809" s="10">
        <f t="shared" si="57"/>
        <v>15565.970000000001</v>
      </c>
      <c r="L1809" s="2">
        <v>0.05</v>
      </c>
      <c r="M1809" s="2" t="s">
        <v>29</v>
      </c>
      <c r="N1809" s="2" t="s">
        <v>87</v>
      </c>
    </row>
    <row r="1810" spans="1:14" x14ac:dyDescent="0.2">
      <c r="A1810" s="13">
        <v>100470</v>
      </c>
      <c r="B1810" s="5">
        <v>45622</v>
      </c>
      <c r="C1810" s="5" t="str">
        <f t="shared" si="56"/>
        <v>Nov</v>
      </c>
      <c r="D1810" s="2" t="s">
        <v>240</v>
      </c>
      <c r="E1810" s="2" t="s">
        <v>140</v>
      </c>
      <c r="F1810" s="2" t="s">
        <v>79</v>
      </c>
      <c r="G1810" s="2" t="s">
        <v>45</v>
      </c>
      <c r="H1810" s="2" t="s">
        <v>46</v>
      </c>
      <c r="I1810" s="13">
        <v>12</v>
      </c>
      <c r="J1810" s="10">
        <v>35887.19</v>
      </c>
      <c r="K1810" s="10">
        <f t="shared" si="57"/>
        <v>430646.28</v>
      </c>
      <c r="L1810" s="2">
        <v>0.2</v>
      </c>
      <c r="M1810" s="2" t="s">
        <v>66</v>
      </c>
      <c r="N1810" s="2" t="s">
        <v>25</v>
      </c>
    </row>
    <row r="1811" spans="1:14" x14ac:dyDescent="0.2">
      <c r="A1811" s="13">
        <v>100226</v>
      </c>
      <c r="B1811" s="5">
        <v>45332</v>
      </c>
      <c r="C1811" s="5" t="str">
        <f t="shared" si="56"/>
        <v>Feb</v>
      </c>
      <c r="D1811" s="2" t="s">
        <v>1030</v>
      </c>
      <c r="E1811" s="2" t="s">
        <v>140</v>
      </c>
      <c r="F1811" s="2" t="s">
        <v>79</v>
      </c>
      <c r="G1811" s="2" t="s">
        <v>15</v>
      </c>
      <c r="H1811" s="2" t="s">
        <v>116</v>
      </c>
      <c r="I1811" s="13">
        <v>2</v>
      </c>
      <c r="J1811" s="10">
        <v>9463.81</v>
      </c>
      <c r="K1811" s="10">
        <f t="shared" si="57"/>
        <v>18927.62</v>
      </c>
      <c r="L1811" s="2">
        <v>0</v>
      </c>
      <c r="M1811" s="2" t="s">
        <v>17</v>
      </c>
      <c r="N1811" s="2" t="s">
        <v>121</v>
      </c>
    </row>
    <row r="1812" spans="1:14" x14ac:dyDescent="0.2">
      <c r="A1812" s="13">
        <v>100775</v>
      </c>
      <c r="B1812" s="5">
        <v>45478</v>
      </c>
      <c r="C1812" s="5" t="str">
        <f t="shared" si="56"/>
        <v>Jul</v>
      </c>
      <c r="D1812" s="2" t="s">
        <v>1042</v>
      </c>
      <c r="E1812" s="2" t="s">
        <v>31</v>
      </c>
      <c r="F1812" s="2" t="s">
        <v>54</v>
      </c>
      <c r="G1812" s="2" t="s">
        <v>64</v>
      </c>
      <c r="H1812" s="2" t="s">
        <v>114</v>
      </c>
      <c r="I1812" s="13">
        <v>7</v>
      </c>
      <c r="J1812" s="10">
        <v>392.26</v>
      </c>
      <c r="K1812" s="10">
        <f t="shared" si="57"/>
        <v>2745.8199999999997</v>
      </c>
      <c r="L1812" s="2">
        <v>0</v>
      </c>
      <c r="M1812" s="2" t="s">
        <v>17</v>
      </c>
      <c r="N1812" s="2" t="s">
        <v>42</v>
      </c>
    </row>
    <row r="1813" spans="1:14" x14ac:dyDescent="0.2">
      <c r="A1813" s="13">
        <v>100332</v>
      </c>
      <c r="B1813" s="5">
        <v>45454</v>
      </c>
      <c r="C1813" s="5" t="str">
        <f t="shared" si="56"/>
        <v>Jun</v>
      </c>
      <c r="D1813" s="2" t="s">
        <v>490</v>
      </c>
      <c r="E1813" s="2" t="s">
        <v>140</v>
      </c>
      <c r="F1813" s="2" t="s">
        <v>49</v>
      </c>
      <c r="G1813" s="2" t="s">
        <v>15</v>
      </c>
      <c r="H1813" s="2" t="s">
        <v>116</v>
      </c>
      <c r="I1813" s="13">
        <v>12</v>
      </c>
      <c r="J1813" s="10">
        <v>17797.61</v>
      </c>
      <c r="K1813" s="10">
        <f t="shared" si="57"/>
        <v>213571.32</v>
      </c>
      <c r="L1813" s="2">
        <v>0</v>
      </c>
      <c r="M1813" s="2" t="s">
        <v>66</v>
      </c>
      <c r="N1813" s="2" t="s">
        <v>143</v>
      </c>
    </row>
    <row r="1814" spans="1:14" x14ac:dyDescent="0.2">
      <c r="A1814" s="13">
        <v>100234</v>
      </c>
      <c r="B1814" s="5">
        <v>45453</v>
      </c>
      <c r="C1814" s="5" t="str">
        <f t="shared" si="56"/>
        <v>Jun</v>
      </c>
      <c r="D1814" s="2" t="s">
        <v>219</v>
      </c>
      <c r="E1814" s="2" t="s">
        <v>27</v>
      </c>
      <c r="F1814" s="2" t="s">
        <v>133</v>
      </c>
      <c r="G1814" s="2" t="s">
        <v>45</v>
      </c>
      <c r="H1814" s="2" t="s">
        <v>97</v>
      </c>
      <c r="I1814" s="13">
        <v>2</v>
      </c>
      <c r="J1814" s="10">
        <v>23740.31</v>
      </c>
      <c r="K1814" s="10">
        <f t="shared" si="57"/>
        <v>47480.62</v>
      </c>
      <c r="L1814" s="2">
        <v>0</v>
      </c>
      <c r="M1814" s="2" t="s">
        <v>24</v>
      </c>
      <c r="N1814" s="2" t="s">
        <v>42</v>
      </c>
    </row>
    <row r="1815" spans="1:14" x14ac:dyDescent="0.2">
      <c r="A1815" s="13">
        <v>100589</v>
      </c>
      <c r="B1815" s="5">
        <v>45477</v>
      </c>
      <c r="C1815" s="5" t="str">
        <f t="shared" si="56"/>
        <v>Jul</v>
      </c>
      <c r="D1815" s="2" t="s">
        <v>391</v>
      </c>
      <c r="E1815" s="2" t="s">
        <v>31</v>
      </c>
      <c r="F1815" s="2" t="s">
        <v>54</v>
      </c>
      <c r="G1815" s="2" t="s">
        <v>106</v>
      </c>
      <c r="H1815" s="2" t="s">
        <v>103</v>
      </c>
      <c r="I1815" s="13">
        <v>6</v>
      </c>
      <c r="J1815" s="10">
        <v>737.27</v>
      </c>
      <c r="K1815" s="10">
        <f t="shared" si="57"/>
        <v>4423.62</v>
      </c>
      <c r="L1815" s="2">
        <v>0.1</v>
      </c>
      <c r="M1815" s="2" t="s">
        <v>66</v>
      </c>
      <c r="N1815" s="2" t="s">
        <v>52</v>
      </c>
    </row>
    <row r="1816" spans="1:14" x14ac:dyDescent="0.2">
      <c r="A1816" s="13">
        <v>100476</v>
      </c>
      <c r="B1816" s="5">
        <v>45382</v>
      </c>
      <c r="C1816" s="5" t="str">
        <f t="shared" si="56"/>
        <v>Mar</v>
      </c>
      <c r="D1816" s="2" t="s">
        <v>78</v>
      </c>
      <c r="E1816" s="2" t="s">
        <v>37</v>
      </c>
      <c r="F1816" s="2" t="s">
        <v>38</v>
      </c>
      <c r="G1816" s="2" t="s">
        <v>45</v>
      </c>
      <c r="H1816" s="2" t="s">
        <v>111</v>
      </c>
      <c r="I1816" s="13">
        <v>8</v>
      </c>
      <c r="J1816" s="10">
        <v>25490.12</v>
      </c>
      <c r="K1816" s="10">
        <f t="shared" si="57"/>
        <v>203920.96</v>
      </c>
      <c r="L1816" s="2">
        <v>0.05</v>
      </c>
      <c r="M1816" s="2" t="s">
        <v>17</v>
      </c>
      <c r="N1816" s="2" t="s">
        <v>42</v>
      </c>
    </row>
    <row r="1817" spans="1:14" x14ac:dyDescent="0.2">
      <c r="A1817" s="13">
        <v>101285</v>
      </c>
      <c r="B1817" s="5">
        <v>45459</v>
      </c>
      <c r="C1817" s="5" t="str">
        <f t="shared" si="56"/>
        <v>Jun</v>
      </c>
      <c r="D1817" s="2" t="s">
        <v>1030</v>
      </c>
      <c r="E1817" s="2" t="s">
        <v>27</v>
      </c>
      <c r="F1817" s="2" t="s">
        <v>133</v>
      </c>
      <c r="G1817" s="2" t="s">
        <v>22</v>
      </c>
      <c r="H1817" s="2" t="s">
        <v>23</v>
      </c>
      <c r="I1817" s="13">
        <v>12</v>
      </c>
      <c r="J1817" s="10">
        <v>1692.63</v>
      </c>
      <c r="K1817" s="10">
        <f t="shared" si="57"/>
        <v>20311.560000000001</v>
      </c>
      <c r="L1817" s="2">
        <v>0</v>
      </c>
      <c r="M1817" s="2" t="s">
        <v>29</v>
      </c>
      <c r="N1817" s="2" t="s">
        <v>121</v>
      </c>
    </row>
    <row r="1818" spans="1:14" x14ac:dyDescent="0.2">
      <c r="A1818" s="13">
        <v>101891</v>
      </c>
      <c r="B1818" s="5">
        <v>45341</v>
      </c>
      <c r="C1818" s="5" t="str">
        <f t="shared" si="56"/>
        <v>Feb</v>
      </c>
      <c r="D1818" s="2" t="s">
        <v>698</v>
      </c>
      <c r="E1818" s="2" t="s">
        <v>31</v>
      </c>
      <c r="F1818" s="2" t="s">
        <v>32</v>
      </c>
      <c r="G1818" s="2" t="s">
        <v>15</v>
      </c>
      <c r="H1818" s="2" t="s">
        <v>205</v>
      </c>
      <c r="I1818" s="13">
        <v>2</v>
      </c>
      <c r="J1818" s="10">
        <v>21732.41</v>
      </c>
      <c r="K1818" s="10">
        <f t="shared" si="57"/>
        <v>43464.82</v>
      </c>
      <c r="L1818" s="2">
        <v>0.15</v>
      </c>
      <c r="M1818" s="2" t="s">
        <v>24</v>
      </c>
      <c r="N1818" s="2" t="s">
        <v>42</v>
      </c>
    </row>
    <row r="1819" spans="1:14" x14ac:dyDescent="0.2">
      <c r="A1819" s="13">
        <v>100600</v>
      </c>
      <c r="B1819" s="5">
        <v>45441</v>
      </c>
      <c r="C1819" s="5" t="str">
        <f t="shared" si="56"/>
        <v>May</v>
      </c>
      <c r="D1819" s="2" t="s">
        <v>190</v>
      </c>
      <c r="E1819" s="2" t="s">
        <v>27</v>
      </c>
      <c r="F1819" s="2" t="s">
        <v>21</v>
      </c>
      <c r="G1819" s="2" t="s">
        <v>22</v>
      </c>
      <c r="H1819" s="2" t="s">
        <v>23</v>
      </c>
      <c r="I1819" s="13">
        <v>8</v>
      </c>
      <c r="J1819" s="10">
        <v>1701.64</v>
      </c>
      <c r="K1819" s="10">
        <f t="shared" si="57"/>
        <v>13613.12</v>
      </c>
      <c r="L1819" s="2">
        <v>0.25</v>
      </c>
      <c r="M1819" s="2" t="s">
        <v>17</v>
      </c>
      <c r="N1819" s="2" t="s">
        <v>18</v>
      </c>
    </row>
    <row r="1820" spans="1:14" x14ac:dyDescent="0.2">
      <c r="A1820" s="13">
        <v>100422</v>
      </c>
      <c r="B1820" s="5">
        <v>45543</v>
      </c>
      <c r="C1820" s="5" t="str">
        <f t="shared" si="56"/>
        <v>Sep</v>
      </c>
      <c r="D1820" s="2" t="s">
        <v>188</v>
      </c>
      <c r="E1820" s="2" t="s">
        <v>27</v>
      </c>
      <c r="F1820" s="2" t="s">
        <v>21</v>
      </c>
      <c r="G1820" s="2" t="s">
        <v>106</v>
      </c>
      <c r="H1820" s="2" t="s">
        <v>103</v>
      </c>
      <c r="I1820" s="13">
        <v>6</v>
      </c>
      <c r="J1820" s="10">
        <v>1059.42</v>
      </c>
      <c r="K1820" s="10">
        <f t="shared" si="57"/>
        <v>6356.52</v>
      </c>
      <c r="L1820" s="2">
        <v>0</v>
      </c>
      <c r="M1820" s="2" t="s">
        <v>17</v>
      </c>
      <c r="N1820" s="2" t="s">
        <v>121</v>
      </c>
    </row>
    <row r="1821" spans="1:14" x14ac:dyDescent="0.2">
      <c r="A1821" s="13">
        <v>101712</v>
      </c>
      <c r="B1821" s="5">
        <v>45574</v>
      </c>
      <c r="C1821" s="5" t="str">
        <f t="shared" si="56"/>
        <v>Oct</v>
      </c>
      <c r="D1821" s="2" t="s">
        <v>660</v>
      </c>
      <c r="E1821" s="2" t="s">
        <v>31</v>
      </c>
      <c r="F1821" s="2" t="s">
        <v>32</v>
      </c>
      <c r="G1821" s="2" t="s">
        <v>50</v>
      </c>
      <c r="H1821" s="2" t="s">
        <v>99</v>
      </c>
      <c r="I1821" s="13">
        <v>7</v>
      </c>
      <c r="J1821" s="10">
        <v>7982.17</v>
      </c>
      <c r="K1821" s="10">
        <f t="shared" si="57"/>
        <v>55875.19</v>
      </c>
      <c r="L1821" s="2">
        <v>0</v>
      </c>
      <c r="M1821" s="2" t="s">
        <v>24</v>
      </c>
      <c r="N1821" s="2" t="s">
        <v>25</v>
      </c>
    </row>
    <row r="1822" spans="1:14" x14ac:dyDescent="0.2">
      <c r="A1822" s="13">
        <v>100183</v>
      </c>
      <c r="B1822" s="5">
        <v>45450</v>
      </c>
      <c r="C1822" s="5" t="str">
        <f t="shared" si="56"/>
        <v>Jun</v>
      </c>
      <c r="D1822" s="2" t="s">
        <v>258</v>
      </c>
      <c r="E1822" s="2" t="s">
        <v>27</v>
      </c>
      <c r="F1822" s="2" t="s">
        <v>133</v>
      </c>
      <c r="G1822" s="2" t="s">
        <v>33</v>
      </c>
      <c r="H1822" s="2" t="s">
        <v>81</v>
      </c>
      <c r="I1822" s="13">
        <v>12</v>
      </c>
      <c r="J1822" s="10">
        <v>350.5</v>
      </c>
      <c r="K1822" s="10">
        <f t="shared" si="57"/>
        <v>4206</v>
      </c>
      <c r="L1822" s="2">
        <v>0.1</v>
      </c>
      <c r="M1822" s="2" t="s">
        <v>41</v>
      </c>
      <c r="N1822" s="2" t="s">
        <v>42</v>
      </c>
    </row>
    <row r="1823" spans="1:14" x14ac:dyDescent="0.2">
      <c r="A1823" s="13">
        <v>100989</v>
      </c>
      <c r="B1823" s="5">
        <v>45320</v>
      </c>
      <c r="C1823" s="5" t="str">
        <f t="shared" si="56"/>
        <v>Jan</v>
      </c>
      <c r="D1823" s="2" t="s">
        <v>435</v>
      </c>
      <c r="E1823" s="2" t="s">
        <v>31</v>
      </c>
      <c r="F1823" s="2" t="s">
        <v>54</v>
      </c>
      <c r="G1823" s="2" t="s">
        <v>15</v>
      </c>
      <c r="H1823" s="2" t="s">
        <v>152</v>
      </c>
      <c r="I1823" s="13">
        <v>11</v>
      </c>
      <c r="J1823" s="10">
        <v>4196.28</v>
      </c>
      <c r="K1823" s="10">
        <f t="shared" si="57"/>
        <v>46159.079999999994</v>
      </c>
      <c r="L1823" s="2">
        <v>0</v>
      </c>
      <c r="M1823" s="2" t="s">
        <v>83</v>
      </c>
      <c r="N1823" s="2" t="s">
        <v>143</v>
      </c>
    </row>
    <row r="1824" spans="1:14" x14ac:dyDescent="0.2">
      <c r="A1824" s="13">
        <v>101001</v>
      </c>
      <c r="B1824" s="5">
        <v>45315</v>
      </c>
      <c r="C1824" s="5" t="str">
        <f t="shared" si="56"/>
        <v>Jan</v>
      </c>
      <c r="D1824" s="2" t="s">
        <v>426</v>
      </c>
      <c r="E1824" s="2" t="s">
        <v>140</v>
      </c>
      <c r="F1824" s="2" t="s">
        <v>79</v>
      </c>
      <c r="G1824" s="2" t="s">
        <v>106</v>
      </c>
      <c r="H1824" s="2" t="s">
        <v>137</v>
      </c>
      <c r="I1824" s="13">
        <v>1</v>
      </c>
      <c r="J1824" s="10">
        <v>0</v>
      </c>
      <c r="K1824" s="10">
        <f t="shared" si="57"/>
        <v>0</v>
      </c>
      <c r="L1824" s="2">
        <v>0.25</v>
      </c>
      <c r="M1824" s="2" t="s">
        <v>29</v>
      </c>
      <c r="N1824" s="2" t="s">
        <v>25</v>
      </c>
    </row>
    <row r="1825" spans="1:14" x14ac:dyDescent="0.2">
      <c r="A1825" s="13">
        <v>101642</v>
      </c>
      <c r="B1825" s="5">
        <v>45445</v>
      </c>
      <c r="C1825" s="5" t="str">
        <f t="shared" si="56"/>
        <v>Jun</v>
      </c>
      <c r="D1825" s="2" t="s">
        <v>594</v>
      </c>
      <c r="E1825" s="2" t="s">
        <v>27</v>
      </c>
      <c r="F1825" s="2" t="s">
        <v>21</v>
      </c>
      <c r="G1825" s="2" t="s">
        <v>106</v>
      </c>
      <c r="H1825" s="2" t="s">
        <v>156</v>
      </c>
      <c r="I1825" s="13">
        <v>1</v>
      </c>
      <c r="J1825" s="10">
        <v>2958.9</v>
      </c>
      <c r="K1825" s="10">
        <f t="shared" si="57"/>
        <v>2958.9</v>
      </c>
      <c r="L1825" s="2">
        <v>0</v>
      </c>
      <c r="M1825" s="2" t="s">
        <v>66</v>
      </c>
      <c r="N1825" s="2" t="s">
        <v>87</v>
      </c>
    </row>
    <row r="1826" spans="1:14" x14ac:dyDescent="0.2">
      <c r="A1826" s="13">
        <v>101357</v>
      </c>
      <c r="B1826" s="5">
        <v>45419</v>
      </c>
      <c r="C1826" s="5" t="str">
        <f t="shared" si="56"/>
        <v>May</v>
      </c>
      <c r="D1826" s="2" t="s">
        <v>258</v>
      </c>
      <c r="E1826" s="2" t="s">
        <v>140</v>
      </c>
      <c r="F1826" s="2" t="s">
        <v>49</v>
      </c>
      <c r="G1826" s="2" t="s">
        <v>15</v>
      </c>
      <c r="H1826" s="2" t="s">
        <v>116</v>
      </c>
      <c r="I1826" s="13">
        <v>6</v>
      </c>
      <c r="J1826" s="10">
        <v>5617.5</v>
      </c>
      <c r="K1826" s="10">
        <f t="shared" si="57"/>
        <v>33705</v>
      </c>
      <c r="L1826" s="2">
        <v>0</v>
      </c>
      <c r="M1826" s="2" t="s">
        <v>83</v>
      </c>
      <c r="N1826" s="2" t="s">
        <v>18</v>
      </c>
    </row>
    <row r="1827" spans="1:14" x14ac:dyDescent="0.2">
      <c r="A1827" s="13">
        <v>101463</v>
      </c>
      <c r="B1827" s="5">
        <v>45307</v>
      </c>
      <c r="C1827" s="5" t="str">
        <f t="shared" si="56"/>
        <v>Jan</v>
      </c>
      <c r="D1827" s="2" t="s">
        <v>284</v>
      </c>
      <c r="E1827" s="2" t="s">
        <v>61</v>
      </c>
      <c r="F1827" s="2" t="s">
        <v>14</v>
      </c>
      <c r="G1827" s="2" t="s">
        <v>15</v>
      </c>
      <c r="H1827" s="2" t="s">
        <v>59</v>
      </c>
      <c r="I1827" s="13">
        <v>3</v>
      </c>
      <c r="J1827" s="10">
        <v>5012.57</v>
      </c>
      <c r="K1827" s="10">
        <f t="shared" si="57"/>
        <v>15037.71</v>
      </c>
      <c r="L1827" s="2">
        <v>0.25</v>
      </c>
      <c r="M1827" s="2" t="s">
        <v>41</v>
      </c>
      <c r="N1827" s="2" t="s">
        <v>121</v>
      </c>
    </row>
    <row r="1828" spans="1:14" x14ac:dyDescent="0.2">
      <c r="A1828" s="13">
        <v>100050</v>
      </c>
      <c r="B1828" s="5">
        <v>45557</v>
      </c>
      <c r="C1828" s="5" t="str">
        <f t="shared" si="56"/>
        <v>Sep</v>
      </c>
      <c r="D1828" s="2" t="s">
        <v>638</v>
      </c>
      <c r="E1828" s="2" t="s">
        <v>61</v>
      </c>
      <c r="F1828" s="2" t="s">
        <v>119</v>
      </c>
      <c r="G1828" s="2" t="s">
        <v>33</v>
      </c>
      <c r="H1828" s="2" t="s">
        <v>81</v>
      </c>
      <c r="I1828" s="13">
        <v>1</v>
      </c>
      <c r="J1828" s="10">
        <v>0</v>
      </c>
      <c r="K1828" s="10">
        <f t="shared" si="57"/>
        <v>0</v>
      </c>
      <c r="L1828" s="2">
        <v>0</v>
      </c>
      <c r="M1828" s="2" t="s">
        <v>29</v>
      </c>
      <c r="N1828" s="2" t="s">
        <v>25</v>
      </c>
    </row>
    <row r="1829" spans="1:14" x14ac:dyDescent="0.2">
      <c r="A1829" s="13">
        <v>101898</v>
      </c>
      <c r="B1829" s="5">
        <v>45338</v>
      </c>
      <c r="C1829" s="5" t="str">
        <f t="shared" si="56"/>
        <v>Feb</v>
      </c>
      <c r="D1829" s="2" t="s">
        <v>533</v>
      </c>
      <c r="E1829" s="2" t="s">
        <v>140</v>
      </c>
      <c r="F1829" s="2" t="s">
        <v>79</v>
      </c>
      <c r="G1829" s="2" t="s">
        <v>64</v>
      </c>
      <c r="H1829" s="2" t="s">
        <v>242</v>
      </c>
      <c r="I1829" s="13">
        <v>11</v>
      </c>
      <c r="J1829" s="10">
        <v>0</v>
      </c>
      <c r="K1829" s="10">
        <f t="shared" si="57"/>
        <v>0</v>
      </c>
      <c r="L1829" s="2">
        <v>0.25</v>
      </c>
      <c r="M1829" s="2" t="s">
        <v>17</v>
      </c>
      <c r="N1829" s="2" t="s">
        <v>25</v>
      </c>
    </row>
    <row r="1830" spans="1:14" x14ac:dyDescent="0.2">
      <c r="A1830" s="13">
        <v>101030</v>
      </c>
      <c r="B1830" s="5">
        <v>45586</v>
      </c>
      <c r="C1830" s="5" t="str">
        <f t="shared" si="56"/>
        <v>Oct</v>
      </c>
      <c r="D1830" s="2" t="s">
        <v>871</v>
      </c>
      <c r="E1830" s="2" t="s">
        <v>140</v>
      </c>
      <c r="F1830" s="2" t="s">
        <v>79</v>
      </c>
      <c r="G1830" s="2" t="s">
        <v>33</v>
      </c>
      <c r="H1830" s="2" t="s">
        <v>81</v>
      </c>
      <c r="I1830" s="13">
        <v>12</v>
      </c>
      <c r="J1830" s="10">
        <v>528.5</v>
      </c>
      <c r="K1830" s="10">
        <f t="shared" si="57"/>
        <v>6342</v>
      </c>
      <c r="L1830" s="2">
        <v>0.05</v>
      </c>
      <c r="M1830" s="2" t="s">
        <v>66</v>
      </c>
      <c r="N1830" s="2" t="s">
        <v>87</v>
      </c>
    </row>
    <row r="1831" spans="1:14" x14ac:dyDescent="0.2">
      <c r="A1831" s="13">
        <v>100530</v>
      </c>
      <c r="B1831" s="5">
        <v>45539</v>
      </c>
      <c r="C1831" s="5" t="str">
        <f t="shared" si="56"/>
        <v>Sep</v>
      </c>
      <c r="D1831" s="2" t="s">
        <v>762</v>
      </c>
      <c r="E1831" s="2" t="s">
        <v>140</v>
      </c>
      <c r="F1831" s="2" t="s">
        <v>79</v>
      </c>
      <c r="G1831" s="2" t="s">
        <v>33</v>
      </c>
      <c r="H1831" s="2" t="s">
        <v>34</v>
      </c>
      <c r="I1831" s="13">
        <v>11</v>
      </c>
      <c r="J1831" s="10">
        <v>216.46</v>
      </c>
      <c r="K1831" s="10">
        <f t="shared" si="57"/>
        <v>2381.06</v>
      </c>
      <c r="L1831" s="2">
        <v>0</v>
      </c>
      <c r="M1831" s="2" t="s">
        <v>83</v>
      </c>
      <c r="N1831" s="2" t="s">
        <v>42</v>
      </c>
    </row>
    <row r="1832" spans="1:14" x14ac:dyDescent="0.2">
      <c r="A1832" s="13">
        <v>101259</v>
      </c>
      <c r="B1832" s="5">
        <v>45360</v>
      </c>
      <c r="C1832" s="5" t="str">
        <f t="shared" si="56"/>
        <v>Mar</v>
      </c>
      <c r="D1832" s="2" t="s">
        <v>312</v>
      </c>
      <c r="E1832" s="2" t="s">
        <v>27</v>
      </c>
      <c r="F1832" s="2" t="s">
        <v>21</v>
      </c>
      <c r="G1832" s="2" t="s">
        <v>15</v>
      </c>
      <c r="H1832" s="2" t="s">
        <v>205</v>
      </c>
      <c r="I1832" s="13">
        <v>9</v>
      </c>
      <c r="J1832" s="10">
        <v>12870.72</v>
      </c>
      <c r="K1832" s="10">
        <f t="shared" si="57"/>
        <v>115836.48</v>
      </c>
      <c r="L1832" s="2">
        <v>0.1</v>
      </c>
      <c r="M1832" s="2" t="s">
        <v>24</v>
      </c>
      <c r="N1832" s="2" t="s">
        <v>121</v>
      </c>
    </row>
    <row r="1833" spans="1:14" x14ac:dyDescent="0.2">
      <c r="A1833" s="13">
        <v>100487</v>
      </c>
      <c r="B1833" s="5">
        <v>45478</v>
      </c>
      <c r="C1833" s="5" t="str">
        <f t="shared" si="56"/>
        <v>Jul</v>
      </c>
      <c r="D1833" s="2" t="s">
        <v>343</v>
      </c>
      <c r="E1833" s="2" t="s">
        <v>37</v>
      </c>
      <c r="F1833" s="2" t="s">
        <v>38</v>
      </c>
      <c r="G1833" s="2" t="s">
        <v>15</v>
      </c>
      <c r="H1833" s="2" t="s">
        <v>16</v>
      </c>
      <c r="I1833" s="13">
        <v>6</v>
      </c>
      <c r="J1833" s="10">
        <v>11909.51</v>
      </c>
      <c r="K1833" s="10">
        <f t="shared" si="57"/>
        <v>71457.06</v>
      </c>
      <c r="L1833" s="2">
        <v>0.2</v>
      </c>
      <c r="M1833" s="2" t="s">
        <v>41</v>
      </c>
      <c r="N1833" s="2" t="s">
        <v>143</v>
      </c>
    </row>
    <row r="1834" spans="1:14" x14ac:dyDescent="0.2">
      <c r="A1834" s="13">
        <v>101974</v>
      </c>
      <c r="B1834" s="5">
        <v>45450</v>
      </c>
      <c r="C1834" s="5" t="str">
        <f t="shared" si="56"/>
        <v>Jun</v>
      </c>
      <c r="D1834" s="2" t="s">
        <v>1069</v>
      </c>
      <c r="E1834" s="2" t="s">
        <v>37</v>
      </c>
      <c r="F1834" s="2" t="s">
        <v>38</v>
      </c>
      <c r="G1834" s="2" t="s">
        <v>45</v>
      </c>
      <c r="H1834" s="2" t="s">
        <v>149</v>
      </c>
      <c r="I1834" s="13">
        <v>6</v>
      </c>
      <c r="J1834" s="10">
        <v>43123.16</v>
      </c>
      <c r="K1834" s="10">
        <f t="shared" si="57"/>
        <v>258738.96000000002</v>
      </c>
      <c r="L1834" s="2">
        <v>0</v>
      </c>
      <c r="M1834" s="2" t="s">
        <v>24</v>
      </c>
      <c r="N1834" s="2" t="s">
        <v>25</v>
      </c>
    </row>
    <row r="1835" spans="1:14" x14ac:dyDescent="0.2">
      <c r="A1835" s="13">
        <v>100498</v>
      </c>
      <c r="B1835" s="5">
        <v>45536</v>
      </c>
      <c r="C1835" s="5" t="str">
        <f t="shared" si="56"/>
        <v>Sep</v>
      </c>
      <c r="D1835" s="2" t="s">
        <v>529</v>
      </c>
      <c r="E1835" s="2" t="s">
        <v>140</v>
      </c>
      <c r="F1835" s="2" t="s">
        <v>79</v>
      </c>
      <c r="G1835" s="2" t="s">
        <v>64</v>
      </c>
      <c r="H1835" s="2" t="s">
        <v>114</v>
      </c>
      <c r="I1835" s="13">
        <v>1</v>
      </c>
      <c r="J1835" s="10">
        <v>443.39</v>
      </c>
      <c r="K1835" s="10">
        <f t="shared" si="57"/>
        <v>443.39</v>
      </c>
      <c r="L1835" s="2">
        <v>0</v>
      </c>
      <c r="M1835" s="2" t="s">
        <v>41</v>
      </c>
      <c r="N1835" s="2" t="s">
        <v>143</v>
      </c>
    </row>
    <row r="1836" spans="1:14" x14ac:dyDescent="0.2">
      <c r="A1836" s="13">
        <v>101647</v>
      </c>
      <c r="B1836" s="5">
        <v>45485</v>
      </c>
      <c r="C1836" s="5" t="str">
        <f t="shared" si="56"/>
        <v>Jul</v>
      </c>
      <c r="D1836" s="2" t="s">
        <v>1069</v>
      </c>
      <c r="E1836" s="2" t="s">
        <v>61</v>
      </c>
      <c r="F1836" s="2" t="s">
        <v>14</v>
      </c>
      <c r="G1836" s="2" t="s">
        <v>45</v>
      </c>
      <c r="H1836" s="2" t="s">
        <v>111</v>
      </c>
      <c r="I1836" s="13">
        <v>2</v>
      </c>
      <c r="J1836" s="10">
        <v>44372.35</v>
      </c>
      <c r="K1836" s="10">
        <f t="shared" si="57"/>
        <v>88744.7</v>
      </c>
      <c r="L1836" s="2">
        <v>0.1</v>
      </c>
      <c r="M1836" s="2" t="s">
        <v>66</v>
      </c>
      <c r="N1836" s="2" t="s">
        <v>25</v>
      </c>
    </row>
    <row r="1837" spans="1:14" x14ac:dyDescent="0.2">
      <c r="A1837" s="13">
        <v>100107</v>
      </c>
      <c r="B1837" s="5">
        <v>45453</v>
      </c>
      <c r="C1837" s="5" t="str">
        <f t="shared" si="56"/>
        <v>Jun</v>
      </c>
      <c r="D1837" s="2" t="s">
        <v>765</v>
      </c>
      <c r="E1837" s="2" t="s">
        <v>37</v>
      </c>
      <c r="F1837" s="2" t="s">
        <v>38</v>
      </c>
      <c r="G1837" s="2" t="s">
        <v>22</v>
      </c>
      <c r="H1837" s="2" t="s">
        <v>75</v>
      </c>
      <c r="I1837" s="13">
        <v>11</v>
      </c>
      <c r="J1837" s="10">
        <v>2166.35</v>
      </c>
      <c r="K1837" s="10">
        <f t="shared" si="57"/>
        <v>23829.85</v>
      </c>
      <c r="L1837" s="2">
        <v>0.25</v>
      </c>
      <c r="M1837" s="2" t="s">
        <v>24</v>
      </c>
      <c r="N1837" s="2" t="s">
        <v>121</v>
      </c>
    </row>
    <row r="1838" spans="1:14" x14ac:dyDescent="0.2">
      <c r="A1838" s="13">
        <v>100444</v>
      </c>
      <c r="B1838" s="5">
        <v>45505</v>
      </c>
      <c r="C1838" s="5" t="str">
        <f t="shared" si="56"/>
        <v>Aug</v>
      </c>
      <c r="D1838" s="2" t="s">
        <v>482</v>
      </c>
      <c r="E1838" s="2" t="s">
        <v>31</v>
      </c>
      <c r="F1838" s="2" t="s">
        <v>54</v>
      </c>
      <c r="G1838" s="2" t="s">
        <v>22</v>
      </c>
      <c r="H1838" s="2" t="s">
        <v>145</v>
      </c>
      <c r="I1838" s="13">
        <v>8</v>
      </c>
      <c r="J1838" s="10">
        <v>2352.38</v>
      </c>
      <c r="K1838" s="10">
        <f t="shared" si="57"/>
        <v>18819.04</v>
      </c>
      <c r="L1838" s="2">
        <v>0.15</v>
      </c>
      <c r="M1838" s="2" t="s">
        <v>66</v>
      </c>
      <c r="N1838" s="2" t="s">
        <v>35</v>
      </c>
    </row>
    <row r="1839" spans="1:14" x14ac:dyDescent="0.2">
      <c r="A1839" s="13">
        <v>101513</v>
      </c>
      <c r="B1839" s="5">
        <v>45638</v>
      </c>
      <c r="C1839" s="5" t="str">
        <f t="shared" si="56"/>
        <v>Dec</v>
      </c>
      <c r="D1839" s="2" t="s">
        <v>948</v>
      </c>
      <c r="E1839" s="2" t="s">
        <v>61</v>
      </c>
      <c r="F1839" s="2" t="s">
        <v>14</v>
      </c>
      <c r="G1839" s="2" t="s">
        <v>15</v>
      </c>
      <c r="H1839" s="2" t="s">
        <v>205</v>
      </c>
      <c r="I1839" s="13">
        <v>4</v>
      </c>
      <c r="J1839" s="10">
        <v>20865.7</v>
      </c>
      <c r="K1839" s="10">
        <f t="shared" si="57"/>
        <v>83462.8</v>
      </c>
      <c r="L1839" s="2">
        <v>0</v>
      </c>
      <c r="M1839" s="2" t="s">
        <v>83</v>
      </c>
      <c r="N1839" s="2" t="s">
        <v>143</v>
      </c>
    </row>
    <row r="1840" spans="1:14" x14ac:dyDescent="0.2">
      <c r="A1840" s="13">
        <v>100647</v>
      </c>
      <c r="B1840" s="5">
        <v>45520</v>
      </c>
      <c r="C1840" s="5" t="str">
        <f t="shared" si="56"/>
        <v>Aug</v>
      </c>
      <c r="D1840" s="2" t="s">
        <v>492</v>
      </c>
      <c r="E1840" s="2" t="s">
        <v>140</v>
      </c>
      <c r="F1840" s="2" t="s">
        <v>79</v>
      </c>
      <c r="G1840" s="2" t="s">
        <v>33</v>
      </c>
      <c r="H1840" s="2" t="s">
        <v>34</v>
      </c>
      <c r="I1840" s="13">
        <v>8</v>
      </c>
      <c r="J1840" s="10">
        <v>119.06</v>
      </c>
      <c r="K1840" s="10">
        <f t="shared" si="57"/>
        <v>952.48</v>
      </c>
      <c r="L1840" s="2">
        <v>0</v>
      </c>
      <c r="M1840" s="2" t="s">
        <v>41</v>
      </c>
      <c r="N1840" s="2" t="s">
        <v>143</v>
      </c>
    </row>
    <row r="1841" spans="1:14" x14ac:dyDescent="0.2">
      <c r="A1841" s="13">
        <v>101037</v>
      </c>
      <c r="B1841" s="5">
        <v>45590</v>
      </c>
      <c r="C1841" s="5" t="str">
        <f t="shared" si="56"/>
        <v>Oct</v>
      </c>
      <c r="D1841" s="2" t="s">
        <v>531</v>
      </c>
      <c r="E1841" s="2" t="s">
        <v>140</v>
      </c>
      <c r="F1841" s="2" t="s">
        <v>79</v>
      </c>
      <c r="G1841" s="2" t="s">
        <v>15</v>
      </c>
      <c r="H1841" s="2" t="s">
        <v>205</v>
      </c>
      <c r="I1841" s="13">
        <v>8</v>
      </c>
      <c r="J1841" s="10">
        <v>14391.1</v>
      </c>
      <c r="K1841" s="10">
        <f t="shared" si="57"/>
        <v>115128.8</v>
      </c>
      <c r="L1841" s="2">
        <v>0</v>
      </c>
      <c r="M1841" s="2" t="s">
        <v>41</v>
      </c>
      <c r="N1841" s="2" t="s">
        <v>18</v>
      </c>
    </row>
    <row r="1842" spans="1:14" x14ac:dyDescent="0.2">
      <c r="A1842" s="13">
        <v>101763</v>
      </c>
      <c r="B1842" s="5">
        <v>45491</v>
      </c>
      <c r="C1842" s="5" t="str">
        <f t="shared" si="56"/>
        <v>Jul</v>
      </c>
      <c r="D1842" s="2" t="s">
        <v>342</v>
      </c>
      <c r="E1842" s="2" t="s">
        <v>31</v>
      </c>
      <c r="F1842" s="2" t="s">
        <v>54</v>
      </c>
      <c r="G1842" s="2" t="s">
        <v>45</v>
      </c>
      <c r="H1842" s="2" t="s">
        <v>71</v>
      </c>
      <c r="I1842" s="13">
        <v>-3</v>
      </c>
      <c r="J1842" s="10">
        <v>42138.66</v>
      </c>
      <c r="K1842" s="10">
        <f t="shared" si="57"/>
        <v>-126415.98000000001</v>
      </c>
      <c r="L1842" s="2">
        <v>0.15</v>
      </c>
      <c r="M1842" s="2" t="s">
        <v>17</v>
      </c>
      <c r="N1842" s="2" t="s">
        <v>121</v>
      </c>
    </row>
    <row r="1843" spans="1:14" x14ac:dyDescent="0.2">
      <c r="A1843" s="13">
        <v>100727</v>
      </c>
      <c r="B1843" s="5">
        <v>45621</v>
      </c>
      <c r="C1843" s="5" t="str">
        <f t="shared" si="56"/>
        <v>Nov</v>
      </c>
      <c r="D1843" s="2" t="s">
        <v>1047</v>
      </c>
      <c r="E1843" s="2" t="s">
        <v>31</v>
      </c>
      <c r="F1843" s="2" t="s">
        <v>32</v>
      </c>
      <c r="G1843" s="2" t="s">
        <v>64</v>
      </c>
      <c r="H1843" s="2" t="s">
        <v>292</v>
      </c>
      <c r="I1843" s="13">
        <v>6</v>
      </c>
      <c r="J1843" s="10">
        <v>616.85</v>
      </c>
      <c r="K1843" s="10">
        <f t="shared" si="57"/>
        <v>3701.1000000000004</v>
      </c>
      <c r="L1843" s="2">
        <v>0.2</v>
      </c>
      <c r="M1843" s="2" t="s">
        <v>66</v>
      </c>
      <c r="N1843" s="2" t="s">
        <v>35</v>
      </c>
    </row>
    <row r="1844" spans="1:14" x14ac:dyDescent="0.2">
      <c r="A1844" s="13">
        <v>100191</v>
      </c>
      <c r="B1844" s="5">
        <v>45609</v>
      </c>
      <c r="C1844" s="5" t="str">
        <f t="shared" si="56"/>
        <v>Nov</v>
      </c>
      <c r="D1844" s="2" t="s">
        <v>479</v>
      </c>
      <c r="E1844" s="2" t="s">
        <v>61</v>
      </c>
      <c r="F1844" s="2" t="s">
        <v>119</v>
      </c>
      <c r="G1844" s="2" t="s">
        <v>33</v>
      </c>
      <c r="H1844" s="2" t="s">
        <v>81</v>
      </c>
      <c r="I1844" s="13">
        <v>5</v>
      </c>
      <c r="J1844" s="10">
        <v>558.99</v>
      </c>
      <c r="K1844" s="10">
        <f t="shared" si="57"/>
        <v>2794.95</v>
      </c>
      <c r="L1844" s="2">
        <v>0.25</v>
      </c>
      <c r="M1844" s="2" t="s">
        <v>66</v>
      </c>
      <c r="N1844" s="2" t="s">
        <v>52</v>
      </c>
    </row>
    <row r="1845" spans="1:14" x14ac:dyDescent="0.2">
      <c r="A1845" s="13">
        <v>101789</v>
      </c>
      <c r="B1845" s="5">
        <v>45374</v>
      </c>
      <c r="C1845" s="5" t="str">
        <f t="shared" si="56"/>
        <v>Mar</v>
      </c>
      <c r="D1845" s="2" t="s">
        <v>974</v>
      </c>
      <c r="E1845" s="2" t="s">
        <v>31</v>
      </c>
      <c r="F1845" s="2" t="s">
        <v>54</v>
      </c>
      <c r="G1845" s="2" t="s">
        <v>45</v>
      </c>
      <c r="H1845" s="2" t="s">
        <v>153</v>
      </c>
      <c r="I1845" s="13">
        <v>8</v>
      </c>
      <c r="J1845" s="10">
        <v>11456.26</v>
      </c>
      <c r="K1845" s="10">
        <f t="shared" si="57"/>
        <v>91650.08</v>
      </c>
      <c r="L1845" s="2">
        <v>0.1</v>
      </c>
      <c r="M1845" s="2" t="s">
        <v>66</v>
      </c>
      <c r="N1845" s="2" t="s">
        <v>143</v>
      </c>
    </row>
    <row r="1846" spans="1:14" x14ac:dyDescent="0.2">
      <c r="A1846" s="13">
        <v>101857</v>
      </c>
      <c r="B1846" s="5">
        <v>45431</v>
      </c>
      <c r="C1846" s="5" t="str">
        <f t="shared" si="56"/>
        <v>May</v>
      </c>
      <c r="D1846" s="2" t="s">
        <v>620</v>
      </c>
      <c r="E1846" s="2" t="s">
        <v>61</v>
      </c>
      <c r="F1846" s="2" t="s">
        <v>14</v>
      </c>
      <c r="G1846" s="2" t="s">
        <v>50</v>
      </c>
      <c r="H1846" s="2" t="s">
        <v>62</v>
      </c>
      <c r="I1846" s="13">
        <v>8</v>
      </c>
      <c r="J1846" s="10">
        <v>5262.71</v>
      </c>
      <c r="K1846" s="10">
        <f t="shared" si="57"/>
        <v>42101.68</v>
      </c>
      <c r="L1846" s="2">
        <v>0</v>
      </c>
      <c r="M1846" s="2" t="s">
        <v>24</v>
      </c>
      <c r="N1846" s="2" t="s">
        <v>25</v>
      </c>
    </row>
    <row r="1847" spans="1:14" x14ac:dyDescent="0.2">
      <c r="A1847" s="13">
        <v>100283</v>
      </c>
      <c r="B1847" s="5">
        <v>45636</v>
      </c>
      <c r="C1847" s="5" t="str">
        <f t="shared" si="56"/>
        <v>Dec</v>
      </c>
      <c r="D1847" s="2" t="s">
        <v>974</v>
      </c>
      <c r="E1847" s="2" t="s">
        <v>61</v>
      </c>
      <c r="F1847" s="2" t="s">
        <v>119</v>
      </c>
      <c r="G1847" s="2" t="s">
        <v>50</v>
      </c>
      <c r="H1847" s="2" t="s">
        <v>207</v>
      </c>
      <c r="I1847" s="13">
        <v>4</v>
      </c>
      <c r="J1847" s="10">
        <v>6418.29</v>
      </c>
      <c r="K1847" s="10">
        <f t="shared" si="57"/>
        <v>25673.16</v>
      </c>
      <c r="L1847" s="2">
        <v>0.2</v>
      </c>
      <c r="M1847" s="2" t="s">
        <v>41</v>
      </c>
      <c r="N1847" s="2" t="s">
        <v>121</v>
      </c>
    </row>
    <row r="1848" spans="1:14" x14ac:dyDescent="0.2">
      <c r="A1848" s="13">
        <v>100030</v>
      </c>
      <c r="B1848" s="5">
        <v>45485</v>
      </c>
      <c r="C1848" s="5" t="str">
        <f t="shared" si="56"/>
        <v>Jul</v>
      </c>
      <c r="D1848" s="2" t="s">
        <v>122</v>
      </c>
      <c r="E1848" s="2" t="s">
        <v>140</v>
      </c>
      <c r="F1848" s="2" t="s">
        <v>49</v>
      </c>
      <c r="G1848" s="2" t="s">
        <v>45</v>
      </c>
      <c r="H1848" s="2" t="s">
        <v>153</v>
      </c>
      <c r="I1848" s="13">
        <v>7</v>
      </c>
      <c r="J1848" s="10">
        <v>29147.95</v>
      </c>
      <c r="K1848" s="10">
        <f t="shared" si="57"/>
        <v>204035.65</v>
      </c>
      <c r="L1848" s="2">
        <v>0.1</v>
      </c>
      <c r="M1848" s="2" t="s">
        <v>41</v>
      </c>
      <c r="N1848" s="2" t="s">
        <v>52</v>
      </c>
    </row>
    <row r="1849" spans="1:14" x14ac:dyDescent="0.2">
      <c r="A1849" s="13">
        <v>100170</v>
      </c>
      <c r="B1849" s="5">
        <v>45562</v>
      </c>
      <c r="C1849" s="5" t="str">
        <f t="shared" si="56"/>
        <v>Sep</v>
      </c>
      <c r="D1849" s="2" t="s">
        <v>406</v>
      </c>
      <c r="E1849" s="2" t="s">
        <v>37</v>
      </c>
      <c r="F1849" s="2" t="s">
        <v>38</v>
      </c>
      <c r="G1849" s="2" t="s">
        <v>45</v>
      </c>
      <c r="H1849" s="2" t="s">
        <v>97</v>
      </c>
      <c r="I1849" s="13">
        <v>5</v>
      </c>
      <c r="J1849" s="10">
        <v>27107.17</v>
      </c>
      <c r="K1849" s="10">
        <f t="shared" si="57"/>
        <v>135535.84999999998</v>
      </c>
      <c r="L1849" s="2">
        <v>0.15</v>
      </c>
      <c r="M1849" s="2" t="s">
        <v>24</v>
      </c>
      <c r="N1849" s="2" t="s">
        <v>143</v>
      </c>
    </row>
    <row r="1850" spans="1:14" x14ac:dyDescent="0.2">
      <c r="A1850" s="13">
        <v>101002</v>
      </c>
      <c r="B1850" s="5">
        <v>45417</v>
      </c>
      <c r="C1850" s="5" t="str">
        <f t="shared" si="56"/>
        <v>May</v>
      </c>
      <c r="D1850" s="2" t="s">
        <v>273</v>
      </c>
      <c r="E1850" s="2" t="s">
        <v>140</v>
      </c>
      <c r="F1850" s="2" t="s">
        <v>49</v>
      </c>
      <c r="G1850" s="2" t="s">
        <v>15</v>
      </c>
      <c r="H1850" s="2" t="s">
        <v>16</v>
      </c>
      <c r="I1850" s="13">
        <v>5</v>
      </c>
      <c r="J1850" s="10">
        <v>24488.69</v>
      </c>
      <c r="K1850" s="10">
        <f t="shared" si="57"/>
        <v>122443.45</v>
      </c>
      <c r="L1850" s="2">
        <v>0.25</v>
      </c>
      <c r="M1850" s="2" t="s">
        <v>83</v>
      </c>
      <c r="N1850" s="2" t="s">
        <v>42</v>
      </c>
    </row>
    <row r="1851" spans="1:14" x14ac:dyDescent="0.2">
      <c r="A1851" s="13">
        <v>101205</v>
      </c>
      <c r="B1851" s="5">
        <v>45436</v>
      </c>
      <c r="C1851" s="5" t="str">
        <f t="shared" si="56"/>
        <v>May</v>
      </c>
      <c r="D1851" s="2" t="s">
        <v>383</v>
      </c>
      <c r="E1851" s="2" t="s">
        <v>140</v>
      </c>
      <c r="F1851" s="2" t="s">
        <v>79</v>
      </c>
      <c r="G1851" s="2" t="s">
        <v>33</v>
      </c>
      <c r="H1851" s="2" t="s">
        <v>34</v>
      </c>
      <c r="I1851" s="13">
        <v>9</v>
      </c>
      <c r="J1851" s="10">
        <v>330</v>
      </c>
      <c r="K1851" s="10">
        <f t="shared" si="57"/>
        <v>2970</v>
      </c>
      <c r="L1851" s="2">
        <v>0</v>
      </c>
      <c r="M1851" s="2" t="s">
        <v>17</v>
      </c>
      <c r="N1851" s="2" t="s">
        <v>18</v>
      </c>
    </row>
    <row r="1852" spans="1:14" x14ac:dyDescent="0.2">
      <c r="A1852" s="13">
        <v>100101</v>
      </c>
      <c r="B1852" s="5">
        <v>45475</v>
      </c>
      <c r="C1852" s="5" t="str">
        <f t="shared" si="56"/>
        <v>Jul</v>
      </c>
      <c r="D1852" s="2" t="s">
        <v>492</v>
      </c>
      <c r="E1852" s="2" t="s">
        <v>61</v>
      </c>
      <c r="F1852" s="2" t="s">
        <v>14</v>
      </c>
      <c r="G1852" s="2" t="s">
        <v>50</v>
      </c>
      <c r="H1852" s="2" t="s">
        <v>56</v>
      </c>
      <c r="I1852" s="13">
        <v>12</v>
      </c>
      <c r="J1852" s="10">
        <v>6012.94</v>
      </c>
      <c r="K1852" s="10">
        <f t="shared" si="57"/>
        <v>72155.28</v>
      </c>
      <c r="L1852" s="2">
        <v>0.2</v>
      </c>
      <c r="M1852" s="2" t="s">
        <v>66</v>
      </c>
      <c r="N1852" s="2" t="s">
        <v>143</v>
      </c>
    </row>
    <row r="1853" spans="1:14" x14ac:dyDescent="0.2">
      <c r="A1853" s="13">
        <v>100198</v>
      </c>
      <c r="B1853" s="5">
        <v>45299</v>
      </c>
      <c r="C1853" s="5" t="str">
        <f t="shared" si="56"/>
        <v>Jan</v>
      </c>
      <c r="D1853" s="2" t="s">
        <v>743</v>
      </c>
      <c r="E1853" s="2" t="s">
        <v>31</v>
      </c>
      <c r="F1853" s="2" t="s">
        <v>54</v>
      </c>
      <c r="G1853" s="2" t="s">
        <v>45</v>
      </c>
      <c r="H1853" s="2" t="s">
        <v>111</v>
      </c>
      <c r="I1853" s="13">
        <v>5</v>
      </c>
      <c r="J1853" s="10">
        <v>15597.09</v>
      </c>
      <c r="K1853" s="10">
        <f t="shared" si="57"/>
        <v>77985.45</v>
      </c>
      <c r="L1853" s="2">
        <v>0</v>
      </c>
      <c r="M1853" s="2" t="s">
        <v>17</v>
      </c>
      <c r="N1853" s="2" t="s">
        <v>25</v>
      </c>
    </row>
    <row r="1854" spans="1:14" x14ac:dyDescent="0.2">
      <c r="A1854" s="13">
        <v>100496</v>
      </c>
      <c r="B1854" s="5">
        <v>45311</v>
      </c>
      <c r="C1854" s="5" t="str">
        <f t="shared" si="56"/>
        <v>Jan</v>
      </c>
      <c r="D1854" s="2" t="s">
        <v>126</v>
      </c>
      <c r="E1854" s="2" t="s">
        <v>27</v>
      </c>
      <c r="F1854" s="2" t="s">
        <v>133</v>
      </c>
      <c r="G1854" s="2" t="s">
        <v>33</v>
      </c>
      <c r="H1854" s="2" t="s">
        <v>158</v>
      </c>
      <c r="I1854" s="13">
        <v>9</v>
      </c>
      <c r="J1854" s="10">
        <v>419.49</v>
      </c>
      <c r="K1854" s="10">
        <f t="shared" si="57"/>
        <v>3775.41</v>
      </c>
      <c r="L1854" s="2">
        <v>0.1</v>
      </c>
      <c r="M1854" s="2" t="s">
        <v>29</v>
      </c>
      <c r="N1854" s="2" t="s">
        <v>18</v>
      </c>
    </row>
    <row r="1855" spans="1:14" x14ac:dyDescent="0.2">
      <c r="A1855" s="13">
        <v>101746</v>
      </c>
      <c r="B1855" s="5">
        <v>45487</v>
      </c>
      <c r="C1855" s="5" t="str">
        <f t="shared" si="56"/>
        <v>Jul</v>
      </c>
      <c r="D1855" s="2" t="s">
        <v>537</v>
      </c>
      <c r="E1855" s="2" t="s">
        <v>37</v>
      </c>
      <c r="F1855" s="2" t="s">
        <v>69</v>
      </c>
      <c r="G1855" s="2" t="s">
        <v>15</v>
      </c>
      <c r="H1855" s="2" t="s">
        <v>205</v>
      </c>
      <c r="I1855" s="13">
        <v>8</v>
      </c>
      <c r="J1855" s="10">
        <v>20425.37</v>
      </c>
      <c r="K1855" s="10">
        <f t="shared" si="57"/>
        <v>163402.96</v>
      </c>
      <c r="L1855" s="2">
        <v>0.15</v>
      </c>
      <c r="M1855" s="2" t="s">
        <v>83</v>
      </c>
      <c r="N1855" s="2" t="s">
        <v>18</v>
      </c>
    </row>
    <row r="1856" spans="1:14" x14ac:dyDescent="0.2">
      <c r="A1856" s="13">
        <v>100648</v>
      </c>
      <c r="B1856" s="5">
        <v>45487</v>
      </c>
      <c r="C1856" s="5" t="str">
        <f t="shared" si="56"/>
        <v>Jul</v>
      </c>
      <c r="D1856" s="2" t="s">
        <v>450</v>
      </c>
      <c r="E1856" s="2" t="s">
        <v>31</v>
      </c>
      <c r="F1856" s="2" t="s">
        <v>32</v>
      </c>
      <c r="G1856" s="2" t="s">
        <v>45</v>
      </c>
      <c r="H1856" s="2" t="s">
        <v>71</v>
      </c>
      <c r="I1856" s="13">
        <v>4</v>
      </c>
      <c r="J1856" s="10">
        <v>15437.62</v>
      </c>
      <c r="K1856" s="10">
        <f t="shared" si="57"/>
        <v>61750.48</v>
      </c>
      <c r="L1856" s="2">
        <v>0</v>
      </c>
      <c r="M1856" s="2" t="s">
        <v>41</v>
      </c>
      <c r="N1856" s="2" t="s">
        <v>121</v>
      </c>
    </row>
    <row r="1857" spans="1:14" x14ac:dyDescent="0.2">
      <c r="A1857" s="13">
        <v>100988</v>
      </c>
      <c r="B1857" s="5">
        <v>45328</v>
      </c>
      <c r="C1857" s="5" t="str">
        <f t="shared" si="56"/>
        <v>Feb</v>
      </c>
      <c r="D1857" s="2" t="s">
        <v>387</v>
      </c>
      <c r="E1857" s="2" t="s">
        <v>37</v>
      </c>
      <c r="F1857" s="2" t="s">
        <v>38</v>
      </c>
      <c r="G1857" s="2" t="s">
        <v>50</v>
      </c>
      <c r="H1857" s="2" t="s">
        <v>56</v>
      </c>
      <c r="I1857" s="13">
        <v>-2</v>
      </c>
      <c r="J1857" s="10">
        <v>11697.84</v>
      </c>
      <c r="K1857" s="10">
        <f t="shared" si="57"/>
        <v>-23395.68</v>
      </c>
      <c r="L1857" s="2">
        <v>0.05</v>
      </c>
      <c r="M1857" s="2" t="s">
        <v>66</v>
      </c>
      <c r="N1857" s="2" t="s">
        <v>52</v>
      </c>
    </row>
    <row r="1858" spans="1:14" x14ac:dyDescent="0.2">
      <c r="A1858" s="13">
        <v>100045</v>
      </c>
      <c r="B1858" s="5">
        <v>45324</v>
      </c>
      <c r="C1858" s="5" t="str">
        <f t="shared" ref="C1858:C1921" si="58">TEXT(B1858,"mmm")</f>
        <v>Feb</v>
      </c>
      <c r="D1858" s="2" t="s">
        <v>123</v>
      </c>
      <c r="E1858" s="2" t="s">
        <v>37</v>
      </c>
      <c r="F1858" s="2" t="s">
        <v>69</v>
      </c>
      <c r="G1858" s="2" t="s">
        <v>22</v>
      </c>
      <c r="H1858" s="2" t="s">
        <v>75</v>
      </c>
      <c r="I1858" s="13">
        <v>3</v>
      </c>
      <c r="J1858" s="10">
        <v>851.27</v>
      </c>
      <c r="K1858" s="10">
        <f t="shared" ref="K1858:K1921" si="59">I1858*J1858</f>
        <v>2553.81</v>
      </c>
      <c r="L1858" s="2">
        <v>0.2</v>
      </c>
      <c r="M1858" s="2" t="s">
        <v>29</v>
      </c>
      <c r="N1858" s="2" t="s">
        <v>143</v>
      </c>
    </row>
    <row r="1859" spans="1:14" x14ac:dyDescent="0.2">
      <c r="A1859" s="13">
        <v>101958</v>
      </c>
      <c r="B1859" s="5">
        <v>45349</v>
      </c>
      <c r="C1859" s="5" t="str">
        <f t="shared" si="58"/>
        <v>Feb</v>
      </c>
      <c r="D1859" s="2" t="s">
        <v>337</v>
      </c>
      <c r="E1859" s="2" t="s">
        <v>31</v>
      </c>
      <c r="F1859" s="2" t="s">
        <v>32</v>
      </c>
      <c r="G1859" s="2" t="s">
        <v>22</v>
      </c>
      <c r="H1859" s="2" t="s">
        <v>232</v>
      </c>
      <c r="I1859" s="13">
        <v>12</v>
      </c>
      <c r="J1859" s="10">
        <v>1920.9</v>
      </c>
      <c r="K1859" s="10">
        <f t="shared" si="59"/>
        <v>23050.800000000003</v>
      </c>
      <c r="L1859" s="2">
        <v>0.15</v>
      </c>
      <c r="M1859" s="2" t="s">
        <v>17</v>
      </c>
      <c r="N1859" s="2" t="s">
        <v>143</v>
      </c>
    </row>
    <row r="1860" spans="1:14" x14ac:dyDescent="0.2">
      <c r="A1860" s="13">
        <v>100711</v>
      </c>
      <c r="B1860" s="5">
        <v>45519</v>
      </c>
      <c r="C1860" s="5" t="str">
        <f t="shared" si="58"/>
        <v>Aug</v>
      </c>
      <c r="D1860" s="2" t="s">
        <v>1019</v>
      </c>
      <c r="E1860" s="2" t="s">
        <v>140</v>
      </c>
      <c r="F1860" s="2" t="s">
        <v>79</v>
      </c>
      <c r="G1860" s="2" t="s">
        <v>15</v>
      </c>
      <c r="H1860" s="2" t="s">
        <v>116</v>
      </c>
      <c r="I1860" s="13">
        <v>6</v>
      </c>
      <c r="J1860" s="10">
        <v>4900.5200000000004</v>
      </c>
      <c r="K1860" s="10">
        <f t="shared" si="59"/>
        <v>29403.120000000003</v>
      </c>
      <c r="L1860" s="2">
        <v>0.25</v>
      </c>
      <c r="M1860" s="2" t="s">
        <v>24</v>
      </c>
      <c r="N1860" s="2" t="s">
        <v>143</v>
      </c>
    </row>
    <row r="1861" spans="1:14" x14ac:dyDescent="0.2">
      <c r="A1861" s="13">
        <v>100374</v>
      </c>
      <c r="B1861" s="5">
        <v>45591</v>
      </c>
      <c r="C1861" s="5" t="str">
        <f t="shared" si="58"/>
        <v>Oct</v>
      </c>
      <c r="D1861" s="2" t="s">
        <v>1048</v>
      </c>
      <c r="E1861" s="2" t="s">
        <v>61</v>
      </c>
      <c r="F1861" s="2" t="s">
        <v>119</v>
      </c>
      <c r="G1861" s="2" t="s">
        <v>45</v>
      </c>
      <c r="H1861" s="2" t="s">
        <v>149</v>
      </c>
      <c r="I1861" s="13">
        <v>4</v>
      </c>
      <c r="J1861" s="10">
        <v>27390.12</v>
      </c>
      <c r="K1861" s="10">
        <f t="shared" si="59"/>
        <v>109560.48</v>
      </c>
      <c r="L1861" s="2">
        <v>0.1</v>
      </c>
      <c r="M1861" s="2" t="s">
        <v>17</v>
      </c>
      <c r="N1861" s="2" t="s">
        <v>52</v>
      </c>
    </row>
    <row r="1862" spans="1:14" x14ac:dyDescent="0.2">
      <c r="A1862" s="13">
        <v>100679</v>
      </c>
      <c r="B1862" s="5">
        <v>45487</v>
      </c>
      <c r="C1862" s="5" t="str">
        <f t="shared" si="58"/>
        <v>Jul</v>
      </c>
      <c r="D1862" s="2" t="s">
        <v>304</v>
      </c>
      <c r="E1862" s="2" t="s">
        <v>61</v>
      </c>
      <c r="F1862" s="2" t="s">
        <v>119</v>
      </c>
      <c r="G1862" s="2" t="s">
        <v>45</v>
      </c>
      <c r="H1862" s="2" t="s">
        <v>153</v>
      </c>
      <c r="I1862" s="13">
        <v>9</v>
      </c>
      <c r="J1862" s="10">
        <v>39683.47</v>
      </c>
      <c r="K1862" s="10">
        <f t="shared" si="59"/>
        <v>357151.23</v>
      </c>
      <c r="L1862" s="2">
        <v>0</v>
      </c>
      <c r="M1862" s="2" t="s">
        <v>66</v>
      </c>
      <c r="N1862" s="2" t="s">
        <v>18</v>
      </c>
    </row>
    <row r="1863" spans="1:14" x14ac:dyDescent="0.2">
      <c r="A1863" s="13">
        <v>100567</v>
      </c>
      <c r="B1863" s="5">
        <v>45311</v>
      </c>
      <c r="C1863" s="5" t="str">
        <f t="shared" si="58"/>
        <v>Jan</v>
      </c>
      <c r="D1863" s="2" t="s">
        <v>1069</v>
      </c>
      <c r="E1863" s="2" t="s">
        <v>37</v>
      </c>
      <c r="F1863" s="2" t="s">
        <v>38</v>
      </c>
      <c r="G1863" s="2" t="s">
        <v>50</v>
      </c>
      <c r="H1863" s="2" t="s">
        <v>99</v>
      </c>
      <c r="I1863" s="13">
        <v>11</v>
      </c>
      <c r="J1863" s="10">
        <v>9190.25</v>
      </c>
      <c r="K1863" s="10">
        <f t="shared" si="59"/>
        <v>101092.75</v>
      </c>
      <c r="L1863" s="2">
        <v>0</v>
      </c>
      <c r="M1863" s="2" t="s">
        <v>17</v>
      </c>
      <c r="N1863" s="2" t="s">
        <v>52</v>
      </c>
    </row>
    <row r="1864" spans="1:14" x14ac:dyDescent="0.2">
      <c r="A1864" s="13">
        <v>101673</v>
      </c>
      <c r="B1864" s="5">
        <v>45306</v>
      </c>
      <c r="C1864" s="5" t="str">
        <f t="shared" si="58"/>
        <v>Jan</v>
      </c>
      <c r="D1864" s="2" t="s">
        <v>463</v>
      </c>
      <c r="E1864" s="2" t="s">
        <v>27</v>
      </c>
      <c r="F1864" s="2" t="s">
        <v>21</v>
      </c>
      <c r="G1864" s="2" t="s">
        <v>50</v>
      </c>
      <c r="H1864" s="2" t="s">
        <v>207</v>
      </c>
      <c r="I1864" s="13">
        <v>7</v>
      </c>
      <c r="J1864" s="10">
        <v>5625.77</v>
      </c>
      <c r="K1864" s="10">
        <f t="shared" si="59"/>
        <v>39380.39</v>
      </c>
      <c r="L1864" s="2">
        <v>0.25</v>
      </c>
      <c r="M1864" s="2" t="s">
        <v>29</v>
      </c>
      <c r="N1864" s="2" t="s">
        <v>18</v>
      </c>
    </row>
    <row r="1865" spans="1:14" x14ac:dyDescent="0.2">
      <c r="A1865" s="13">
        <v>101822</v>
      </c>
      <c r="B1865" s="5">
        <v>45434</v>
      </c>
      <c r="C1865" s="5" t="str">
        <f t="shared" si="58"/>
        <v>May</v>
      </c>
      <c r="D1865" s="2" t="s">
        <v>410</v>
      </c>
      <c r="E1865" s="2" t="s">
        <v>37</v>
      </c>
      <c r="F1865" s="2" t="s">
        <v>69</v>
      </c>
      <c r="G1865" s="2" t="s">
        <v>33</v>
      </c>
      <c r="H1865" s="2" t="s">
        <v>93</v>
      </c>
      <c r="I1865" s="13">
        <v>5</v>
      </c>
      <c r="J1865" s="10">
        <v>262.48</v>
      </c>
      <c r="K1865" s="10">
        <f t="shared" si="59"/>
        <v>1312.4</v>
      </c>
      <c r="L1865" s="2">
        <v>0.25</v>
      </c>
      <c r="M1865" s="2" t="s">
        <v>29</v>
      </c>
      <c r="N1865" s="2" t="s">
        <v>18</v>
      </c>
    </row>
    <row r="1866" spans="1:14" x14ac:dyDescent="0.2">
      <c r="A1866" s="13">
        <v>100848</v>
      </c>
      <c r="B1866" s="5">
        <v>45427</v>
      </c>
      <c r="C1866" s="5" t="str">
        <f t="shared" si="58"/>
        <v>May</v>
      </c>
      <c r="D1866" s="2" t="s">
        <v>560</v>
      </c>
      <c r="E1866" s="2" t="s">
        <v>61</v>
      </c>
      <c r="F1866" s="2" t="s">
        <v>14</v>
      </c>
      <c r="G1866" s="2" t="s">
        <v>64</v>
      </c>
      <c r="H1866" s="2" t="s">
        <v>242</v>
      </c>
      <c r="I1866" s="13">
        <v>10</v>
      </c>
      <c r="J1866" s="10">
        <v>300.07</v>
      </c>
      <c r="K1866" s="10">
        <f t="shared" si="59"/>
        <v>3000.7</v>
      </c>
      <c r="L1866" s="2">
        <v>0.2</v>
      </c>
      <c r="M1866" s="2" t="s">
        <v>29</v>
      </c>
      <c r="N1866" s="2" t="s">
        <v>87</v>
      </c>
    </row>
    <row r="1867" spans="1:14" x14ac:dyDescent="0.2">
      <c r="A1867" s="13">
        <v>100461</v>
      </c>
      <c r="B1867" s="5">
        <v>45576</v>
      </c>
      <c r="C1867" s="5" t="str">
        <f t="shared" si="58"/>
        <v>Oct</v>
      </c>
      <c r="D1867" s="2" t="s">
        <v>656</v>
      </c>
      <c r="E1867" s="2" t="s">
        <v>31</v>
      </c>
      <c r="F1867" s="2" t="s">
        <v>54</v>
      </c>
      <c r="G1867" s="2" t="s">
        <v>22</v>
      </c>
      <c r="H1867" s="2" t="s">
        <v>75</v>
      </c>
      <c r="I1867" s="13">
        <v>11</v>
      </c>
      <c r="J1867" s="10">
        <v>1968.42</v>
      </c>
      <c r="K1867" s="10">
        <f t="shared" si="59"/>
        <v>21652.620000000003</v>
      </c>
      <c r="L1867" s="2">
        <v>0</v>
      </c>
      <c r="M1867" s="2" t="s">
        <v>17</v>
      </c>
      <c r="N1867" s="2" t="s">
        <v>25</v>
      </c>
    </row>
    <row r="1868" spans="1:14" x14ac:dyDescent="0.2">
      <c r="A1868" s="13">
        <v>101438</v>
      </c>
      <c r="B1868" s="5">
        <v>45452</v>
      </c>
      <c r="C1868" s="5" t="str">
        <f t="shared" si="58"/>
        <v>Jun</v>
      </c>
      <c r="D1868" s="2" t="s">
        <v>208</v>
      </c>
      <c r="E1868" s="2" t="s">
        <v>61</v>
      </c>
      <c r="F1868" s="2" t="s">
        <v>14</v>
      </c>
      <c r="G1868" s="2" t="s">
        <v>106</v>
      </c>
      <c r="H1868" s="2" t="s">
        <v>103</v>
      </c>
      <c r="I1868" s="13">
        <v>6</v>
      </c>
      <c r="J1868" s="10">
        <v>3492.66</v>
      </c>
      <c r="K1868" s="10">
        <f t="shared" si="59"/>
        <v>20955.96</v>
      </c>
      <c r="L1868" s="2">
        <v>0.1</v>
      </c>
      <c r="M1868" s="2" t="s">
        <v>17</v>
      </c>
      <c r="N1868" s="2" t="s">
        <v>35</v>
      </c>
    </row>
    <row r="1869" spans="1:14" x14ac:dyDescent="0.2">
      <c r="A1869" s="13">
        <v>101156</v>
      </c>
      <c r="B1869" s="5">
        <v>45433</v>
      </c>
      <c r="C1869" s="5" t="str">
        <f t="shared" si="58"/>
        <v>May</v>
      </c>
      <c r="D1869" s="2" t="s">
        <v>262</v>
      </c>
      <c r="E1869" s="2" t="s">
        <v>37</v>
      </c>
      <c r="F1869" s="2" t="s">
        <v>38</v>
      </c>
      <c r="G1869" s="2" t="s">
        <v>15</v>
      </c>
      <c r="H1869" s="2" t="s">
        <v>59</v>
      </c>
      <c r="I1869" s="13">
        <v>12</v>
      </c>
      <c r="J1869" s="10">
        <v>8508.9</v>
      </c>
      <c r="K1869" s="10">
        <f t="shared" si="59"/>
        <v>102106.79999999999</v>
      </c>
      <c r="L1869" s="2">
        <v>0.1</v>
      </c>
      <c r="M1869" s="2" t="s">
        <v>66</v>
      </c>
      <c r="N1869" s="2" t="s">
        <v>42</v>
      </c>
    </row>
    <row r="1870" spans="1:14" x14ac:dyDescent="0.2">
      <c r="A1870" s="13">
        <v>100040</v>
      </c>
      <c r="B1870" s="5">
        <v>45608</v>
      </c>
      <c r="C1870" s="5" t="str">
        <f t="shared" si="58"/>
        <v>Nov</v>
      </c>
      <c r="D1870" s="2" t="s">
        <v>911</v>
      </c>
      <c r="E1870" s="2" t="s">
        <v>61</v>
      </c>
      <c r="F1870" s="2" t="s">
        <v>14</v>
      </c>
      <c r="G1870" s="2" t="s">
        <v>50</v>
      </c>
      <c r="H1870" s="2" t="s">
        <v>56</v>
      </c>
      <c r="I1870" s="13">
        <v>12</v>
      </c>
      <c r="J1870" s="10">
        <v>3864.32</v>
      </c>
      <c r="K1870" s="10">
        <f t="shared" si="59"/>
        <v>46371.840000000004</v>
      </c>
      <c r="L1870" s="2">
        <v>0.05</v>
      </c>
      <c r="M1870" s="2" t="s">
        <v>41</v>
      </c>
      <c r="N1870" s="2" t="s">
        <v>35</v>
      </c>
    </row>
    <row r="1871" spans="1:14" x14ac:dyDescent="0.2">
      <c r="A1871" s="13">
        <v>100435</v>
      </c>
      <c r="B1871" s="5">
        <v>45641</v>
      </c>
      <c r="C1871" s="5" t="str">
        <f t="shared" si="58"/>
        <v>Dec</v>
      </c>
      <c r="D1871" s="2" t="s">
        <v>322</v>
      </c>
      <c r="E1871" s="2" t="s">
        <v>27</v>
      </c>
      <c r="F1871" s="2" t="s">
        <v>21</v>
      </c>
      <c r="G1871" s="2" t="s">
        <v>64</v>
      </c>
      <c r="H1871" s="2" t="s">
        <v>114</v>
      </c>
      <c r="I1871" s="13">
        <v>10</v>
      </c>
      <c r="J1871" s="10">
        <v>645.97</v>
      </c>
      <c r="K1871" s="10">
        <f t="shared" si="59"/>
        <v>6459.7000000000007</v>
      </c>
      <c r="L1871" s="2">
        <v>0</v>
      </c>
      <c r="M1871" s="2" t="s">
        <v>41</v>
      </c>
      <c r="N1871" s="2" t="s">
        <v>143</v>
      </c>
    </row>
    <row r="1872" spans="1:14" x14ac:dyDescent="0.2">
      <c r="A1872" s="13">
        <v>100974</v>
      </c>
      <c r="B1872" s="5">
        <v>45403</v>
      </c>
      <c r="C1872" s="5" t="str">
        <f t="shared" si="58"/>
        <v>Apr</v>
      </c>
      <c r="D1872" s="2" t="s">
        <v>762</v>
      </c>
      <c r="E1872" s="2" t="s">
        <v>27</v>
      </c>
      <c r="F1872" s="2" t="s">
        <v>133</v>
      </c>
      <c r="G1872" s="2" t="s">
        <v>45</v>
      </c>
      <c r="H1872" s="2" t="s">
        <v>111</v>
      </c>
      <c r="I1872" s="13">
        <v>2</v>
      </c>
      <c r="J1872" s="10">
        <v>29587.35</v>
      </c>
      <c r="K1872" s="10">
        <f t="shared" si="59"/>
        <v>59174.7</v>
      </c>
      <c r="L1872" s="2">
        <v>0</v>
      </c>
      <c r="M1872" s="2" t="s">
        <v>24</v>
      </c>
      <c r="N1872" s="2" t="s">
        <v>143</v>
      </c>
    </row>
    <row r="1873" spans="1:14" x14ac:dyDescent="0.2">
      <c r="A1873" s="13">
        <v>101240</v>
      </c>
      <c r="B1873" s="5">
        <v>45450</v>
      </c>
      <c r="C1873" s="5" t="str">
        <f t="shared" si="58"/>
        <v>Jun</v>
      </c>
      <c r="D1873" s="2" t="s">
        <v>321</v>
      </c>
      <c r="E1873" s="2" t="s">
        <v>37</v>
      </c>
      <c r="F1873" s="2" t="s">
        <v>38</v>
      </c>
      <c r="G1873" s="2" t="s">
        <v>33</v>
      </c>
      <c r="H1873" s="2" t="s">
        <v>158</v>
      </c>
      <c r="I1873" s="13">
        <v>5</v>
      </c>
      <c r="J1873" s="10">
        <v>421.81</v>
      </c>
      <c r="K1873" s="10">
        <f t="shared" si="59"/>
        <v>2109.0500000000002</v>
      </c>
      <c r="L1873" s="2">
        <v>0.1</v>
      </c>
      <c r="M1873" s="2" t="s">
        <v>83</v>
      </c>
      <c r="N1873" s="2" t="s">
        <v>87</v>
      </c>
    </row>
    <row r="1874" spans="1:14" x14ac:dyDescent="0.2">
      <c r="A1874" s="13">
        <v>101008</v>
      </c>
      <c r="B1874" s="5">
        <v>45341</v>
      </c>
      <c r="C1874" s="5" t="str">
        <f t="shared" si="58"/>
        <v>Feb</v>
      </c>
      <c r="D1874" s="2" t="s">
        <v>462</v>
      </c>
      <c r="E1874" s="2" t="s">
        <v>61</v>
      </c>
      <c r="F1874" s="2" t="s">
        <v>119</v>
      </c>
      <c r="G1874" s="2" t="s">
        <v>45</v>
      </c>
      <c r="H1874" s="2" t="s">
        <v>153</v>
      </c>
      <c r="I1874" s="13">
        <v>2</v>
      </c>
      <c r="J1874" s="10">
        <v>41210.050000000003</v>
      </c>
      <c r="K1874" s="10">
        <f t="shared" si="59"/>
        <v>82420.100000000006</v>
      </c>
      <c r="L1874" s="2">
        <v>0.05</v>
      </c>
      <c r="M1874" s="2" t="s">
        <v>24</v>
      </c>
      <c r="N1874" s="2" t="s">
        <v>52</v>
      </c>
    </row>
    <row r="1875" spans="1:14" x14ac:dyDescent="0.2">
      <c r="A1875" s="13">
        <v>101580</v>
      </c>
      <c r="B1875" s="5">
        <v>45459</v>
      </c>
      <c r="C1875" s="5" t="str">
        <f t="shared" si="58"/>
        <v>Jun</v>
      </c>
      <c r="D1875" s="2" t="s">
        <v>579</v>
      </c>
      <c r="E1875" s="2" t="s">
        <v>27</v>
      </c>
      <c r="F1875" s="2" t="s">
        <v>133</v>
      </c>
      <c r="G1875" s="2" t="s">
        <v>15</v>
      </c>
      <c r="H1875" s="2" t="s">
        <v>16</v>
      </c>
      <c r="I1875" s="13">
        <v>4</v>
      </c>
      <c r="J1875" s="10">
        <v>2978.99</v>
      </c>
      <c r="K1875" s="10">
        <f t="shared" si="59"/>
        <v>11915.96</v>
      </c>
      <c r="L1875" s="2">
        <v>0</v>
      </c>
      <c r="M1875" s="2" t="s">
        <v>24</v>
      </c>
      <c r="N1875" s="2" t="s">
        <v>87</v>
      </c>
    </row>
    <row r="1876" spans="1:14" x14ac:dyDescent="0.2">
      <c r="A1876" s="13">
        <v>101591</v>
      </c>
      <c r="B1876" s="5">
        <v>45608</v>
      </c>
      <c r="C1876" s="5" t="str">
        <f t="shared" si="58"/>
        <v>Nov</v>
      </c>
      <c r="D1876" s="2" t="s">
        <v>287</v>
      </c>
      <c r="E1876" s="2" t="s">
        <v>37</v>
      </c>
      <c r="F1876" s="2" t="s">
        <v>69</v>
      </c>
      <c r="G1876" s="2" t="s">
        <v>106</v>
      </c>
      <c r="H1876" s="2" t="s">
        <v>135</v>
      </c>
      <c r="I1876" s="13">
        <v>3</v>
      </c>
      <c r="J1876" s="10">
        <v>2972.54</v>
      </c>
      <c r="K1876" s="10">
        <f t="shared" si="59"/>
        <v>8917.619999999999</v>
      </c>
      <c r="L1876" s="2">
        <v>0.15</v>
      </c>
      <c r="M1876" s="2" t="s">
        <v>17</v>
      </c>
      <c r="N1876" s="2" t="s">
        <v>143</v>
      </c>
    </row>
    <row r="1877" spans="1:14" x14ac:dyDescent="0.2">
      <c r="A1877" s="13">
        <v>101787</v>
      </c>
      <c r="B1877" s="5">
        <v>45534</v>
      </c>
      <c r="C1877" s="5" t="str">
        <f t="shared" si="58"/>
        <v>Aug</v>
      </c>
      <c r="D1877" s="2" t="s">
        <v>429</v>
      </c>
      <c r="E1877" s="2" t="s">
        <v>31</v>
      </c>
      <c r="F1877" s="2" t="s">
        <v>54</v>
      </c>
      <c r="G1877" s="2" t="s">
        <v>45</v>
      </c>
      <c r="H1877" s="2" t="s">
        <v>111</v>
      </c>
      <c r="I1877" s="13">
        <v>10</v>
      </c>
      <c r="J1877" s="10">
        <v>35527.22</v>
      </c>
      <c r="K1877" s="10">
        <f t="shared" si="59"/>
        <v>355272.2</v>
      </c>
      <c r="L1877" s="2">
        <v>0.05</v>
      </c>
      <c r="M1877" s="2" t="s">
        <v>66</v>
      </c>
      <c r="N1877" s="2" t="s">
        <v>121</v>
      </c>
    </row>
    <row r="1878" spans="1:14" x14ac:dyDescent="0.2">
      <c r="A1878" s="13">
        <v>101499</v>
      </c>
      <c r="B1878" s="5">
        <v>45464</v>
      </c>
      <c r="C1878" s="5" t="str">
        <f t="shared" si="58"/>
        <v>Jun</v>
      </c>
      <c r="D1878" s="2" t="s">
        <v>502</v>
      </c>
      <c r="E1878" s="2" t="s">
        <v>27</v>
      </c>
      <c r="F1878" s="2" t="s">
        <v>133</v>
      </c>
      <c r="G1878" s="2" t="s">
        <v>50</v>
      </c>
      <c r="H1878" s="2" t="s">
        <v>207</v>
      </c>
      <c r="I1878" s="13">
        <v>12</v>
      </c>
      <c r="J1878" s="10">
        <v>1292.33</v>
      </c>
      <c r="K1878" s="10">
        <f t="shared" si="59"/>
        <v>15507.96</v>
      </c>
      <c r="L1878" s="2">
        <v>0</v>
      </c>
      <c r="M1878" s="2" t="s">
        <v>17</v>
      </c>
      <c r="N1878" s="2" t="s">
        <v>35</v>
      </c>
    </row>
    <row r="1879" spans="1:14" x14ac:dyDescent="0.2">
      <c r="A1879" s="13">
        <v>100457</v>
      </c>
      <c r="B1879" s="5">
        <v>45459</v>
      </c>
      <c r="C1879" s="5" t="str">
        <f t="shared" si="58"/>
        <v>Jun</v>
      </c>
      <c r="D1879" s="2" t="s">
        <v>214</v>
      </c>
      <c r="E1879" s="2" t="s">
        <v>31</v>
      </c>
      <c r="F1879" s="2" t="s">
        <v>54</v>
      </c>
      <c r="G1879" s="2" t="s">
        <v>50</v>
      </c>
      <c r="H1879" s="2" t="s">
        <v>99</v>
      </c>
      <c r="I1879" s="13">
        <v>7</v>
      </c>
      <c r="J1879" s="10">
        <v>11709.74</v>
      </c>
      <c r="K1879" s="10">
        <f t="shared" si="59"/>
        <v>81968.179999999993</v>
      </c>
      <c r="L1879" s="2">
        <v>0</v>
      </c>
      <c r="M1879" s="2" t="s">
        <v>24</v>
      </c>
      <c r="N1879" s="2" t="s">
        <v>87</v>
      </c>
    </row>
    <row r="1880" spans="1:14" x14ac:dyDescent="0.2">
      <c r="A1880" s="13">
        <v>101836</v>
      </c>
      <c r="B1880" s="5">
        <v>45376</v>
      </c>
      <c r="C1880" s="5" t="str">
        <f t="shared" si="58"/>
        <v>Mar</v>
      </c>
      <c r="D1880" s="2" t="s">
        <v>540</v>
      </c>
      <c r="E1880" s="2" t="s">
        <v>140</v>
      </c>
      <c r="F1880" s="2" t="s">
        <v>79</v>
      </c>
      <c r="G1880" s="2" t="s">
        <v>106</v>
      </c>
      <c r="H1880" s="2" t="s">
        <v>137</v>
      </c>
      <c r="I1880" s="13">
        <v>12</v>
      </c>
      <c r="J1880" s="10">
        <v>3279.51</v>
      </c>
      <c r="K1880" s="10">
        <f t="shared" si="59"/>
        <v>39354.120000000003</v>
      </c>
      <c r="L1880" s="2">
        <v>0.2</v>
      </c>
      <c r="M1880" s="2" t="s">
        <v>29</v>
      </c>
      <c r="N1880" s="2" t="s">
        <v>25</v>
      </c>
    </row>
    <row r="1881" spans="1:14" x14ac:dyDescent="0.2">
      <c r="A1881" s="13">
        <v>100261</v>
      </c>
      <c r="B1881" s="5">
        <v>45566</v>
      </c>
      <c r="C1881" s="5" t="str">
        <f t="shared" si="58"/>
        <v>Oct</v>
      </c>
      <c r="D1881" s="2" t="s">
        <v>100</v>
      </c>
      <c r="E1881" s="2" t="s">
        <v>27</v>
      </c>
      <c r="F1881" s="2" t="s">
        <v>133</v>
      </c>
      <c r="G1881" s="2" t="s">
        <v>106</v>
      </c>
      <c r="H1881" s="2" t="s">
        <v>135</v>
      </c>
      <c r="I1881" s="13">
        <v>4</v>
      </c>
      <c r="J1881" s="10">
        <v>1066.23</v>
      </c>
      <c r="K1881" s="10">
        <f t="shared" si="59"/>
        <v>4264.92</v>
      </c>
      <c r="L1881" s="2">
        <v>0</v>
      </c>
      <c r="M1881" s="2" t="s">
        <v>24</v>
      </c>
      <c r="N1881" s="2" t="s">
        <v>25</v>
      </c>
    </row>
    <row r="1882" spans="1:14" x14ac:dyDescent="0.2">
      <c r="A1882" s="13">
        <v>101841</v>
      </c>
      <c r="B1882" s="5">
        <v>45442</v>
      </c>
      <c r="C1882" s="5" t="str">
        <f t="shared" si="58"/>
        <v>May</v>
      </c>
      <c r="D1882" s="2" t="s">
        <v>410</v>
      </c>
      <c r="E1882" s="2" t="s">
        <v>37</v>
      </c>
      <c r="F1882" s="2" t="s">
        <v>69</v>
      </c>
      <c r="G1882" s="2" t="s">
        <v>45</v>
      </c>
      <c r="H1882" s="2" t="s">
        <v>111</v>
      </c>
      <c r="I1882" s="13">
        <v>5</v>
      </c>
      <c r="J1882" s="10">
        <v>15546.67</v>
      </c>
      <c r="K1882" s="10">
        <f t="shared" si="59"/>
        <v>77733.350000000006</v>
      </c>
      <c r="L1882" s="2">
        <v>0.05</v>
      </c>
      <c r="M1882" s="2" t="s">
        <v>66</v>
      </c>
      <c r="N1882" s="2" t="s">
        <v>87</v>
      </c>
    </row>
    <row r="1883" spans="1:14" x14ac:dyDescent="0.2">
      <c r="A1883" s="13">
        <v>100036</v>
      </c>
      <c r="B1883" s="5">
        <v>45600</v>
      </c>
      <c r="C1883" s="5" t="str">
        <f t="shared" si="58"/>
        <v>Nov</v>
      </c>
      <c r="D1883" s="2" t="s">
        <v>784</v>
      </c>
      <c r="E1883" s="2" t="s">
        <v>61</v>
      </c>
      <c r="F1883" s="2" t="s">
        <v>119</v>
      </c>
      <c r="G1883" s="2" t="s">
        <v>45</v>
      </c>
      <c r="H1883" s="2" t="s">
        <v>71</v>
      </c>
      <c r="I1883" s="13">
        <v>5</v>
      </c>
      <c r="J1883" s="10">
        <v>0</v>
      </c>
      <c r="K1883" s="10">
        <f t="shared" si="59"/>
        <v>0</v>
      </c>
      <c r="L1883" s="2">
        <v>0.25</v>
      </c>
      <c r="M1883" s="2" t="s">
        <v>29</v>
      </c>
      <c r="N1883" s="2" t="s">
        <v>121</v>
      </c>
    </row>
    <row r="1884" spans="1:14" x14ac:dyDescent="0.2">
      <c r="A1884" s="13">
        <v>100828</v>
      </c>
      <c r="B1884" s="5">
        <v>45622</v>
      </c>
      <c r="C1884" s="5" t="str">
        <f t="shared" si="58"/>
        <v>Nov</v>
      </c>
      <c r="D1884" s="2" t="s">
        <v>398</v>
      </c>
      <c r="E1884" s="2" t="s">
        <v>61</v>
      </c>
      <c r="F1884" s="2" t="s">
        <v>14</v>
      </c>
      <c r="G1884" s="2" t="s">
        <v>106</v>
      </c>
      <c r="H1884" s="2" t="s">
        <v>135</v>
      </c>
      <c r="I1884" s="13">
        <v>10</v>
      </c>
      <c r="J1884" s="10">
        <v>3254.76</v>
      </c>
      <c r="K1884" s="10">
        <f t="shared" si="59"/>
        <v>32547.600000000002</v>
      </c>
      <c r="L1884" s="2">
        <v>0</v>
      </c>
      <c r="M1884" s="2" t="s">
        <v>29</v>
      </c>
      <c r="N1884" s="2" t="s">
        <v>35</v>
      </c>
    </row>
    <row r="1885" spans="1:14" x14ac:dyDescent="0.2">
      <c r="A1885" s="13">
        <v>100310</v>
      </c>
      <c r="B1885" s="5">
        <v>45350</v>
      </c>
      <c r="C1885" s="5" t="str">
        <f t="shared" si="58"/>
        <v>Feb</v>
      </c>
      <c r="D1885" s="2" t="s">
        <v>854</v>
      </c>
      <c r="E1885" s="2" t="s">
        <v>140</v>
      </c>
      <c r="F1885" s="2" t="s">
        <v>49</v>
      </c>
      <c r="G1885" s="2" t="s">
        <v>22</v>
      </c>
      <c r="H1885" s="2" t="s">
        <v>145</v>
      </c>
      <c r="I1885" s="13">
        <v>6</v>
      </c>
      <c r="J1885" s="10">
        <v>973.89</v>
      </c>
      <c r="K1885" s="10">
        <f t="shared" si="59"/>
        <v>5843.34</v>
      </c>
      <c r="L1885" s="2">
        <v>0.05</v>
      </c>
      <c r="M1885" s="2" t="s">
        <v>83</v>
      </c>
      <c r="N1885" s="2" t="s">
        <v>52</v>
      </c>
    </row>
    <row r="1886" spans="1:14" x14ac:dyDescent="0.2">
      <c r="A1886" s="13">
        <v>100277</v>
      </c>
      <c r="B1886" s="5">
        <v>45500</v>
      </c>
      <c r="C1886" s="5" t="str">
        <f t="shared" si="58"/>
        <v>Jul</v>
      </c>
      <c r="D1886" s="2" t="s">
        <v>1053</v>
      </c>
      <c r="E1886" s="2" t="s">
        <v>140</v>
      </c>
      <c r="F1886" s="2" t="s">
        <v>49</v>
      </c>
      <c r="G1886" s="2" t="s">
        <v>22</v>
      </c>
      <c r="H1886" s="2" t="s">
        <v>23</v>
      </c>
      <c r="I1886" s="13">
        <v>7</v>
      </c>
      <c r="J1886" s="10">
        <v>2380.2199999999998</v>
      </c>
      <c r="K1886" s="10">
        <f t="shared" si="59"/>
        <v>16661.539999999997</v>
      </c>
      <c r="L1886" s="2">
        <v>0.15</v>
      </c>
      <c r="M1886" s="2" t="s">
        <v>83</v>
      </c>
      <c r="N1886" s="2" t="s">
        <v>121</v>
      </c>
    </row>
    <row r="1887" spans="1:14" x14ac:dyDescent="0.2">
      <c r="A1887" s="13">
        <v>100637</v>
      </c>
      <c r="B1887" s="5">
        <v>45593</v>
      </c>
      <c r="C1887" s="5" t="str">
        <f t="shared" si="58"/>
        <v>Oct</v>
      </c>
      <c r="D1887" s="2" t="s">
        <v>475</v>
      </c>
      <c r="E1887" s="2" t="s">
        <v>31</v>
      </c>
      <c r="F1887" s="2" t="s">
        <v>54</v>
      </c>
      <c r="G1887" s="2" t="s">
        <v>22</v>
      </c>
      <c r="H1887" s="2" t="s">
        <v>141</v>
      </c>
      <c r="I1887" s="13">
        <v>4</v>
      </c>
      <c r="J1887" s="10">
        <v>2462.66</v>
      </c>
      <c r="K1887" s="10">
        <f t="shared" si="59"/>
        <v>9850.64</v>
      </c>
      <c r="L1887" s="2">
        <v>0.05</v>
      </c>
      <c r="M1887" s="2" t="s">
        <v>24</v>
      </c>
      <c r="N1887" s="2" t="s">
        <v>18</v>
      </c>
    </row>
    <row r="1888" spans="1:14" x14ac:dyDescent="0.2">
      <c r="A1888" s="13">
        <v>100623</v>
      </c>
      <c r="B1888" s="5">
        <v>45502</v>
      </c>
      <c r="C1888" s="5" t="str">
        <f t="shared" si="58"/>
        <v>Jul</v>
      </c>
      <c r="D1888" s="2" t="s">
        <v>396</v>
      </c>
      <c r="E1888" s="2" t="s">
        <v>140</v>
      </c>
      <c r="F1888" s="2" t="s">
        <v>49</v>
      </c>
      <c r="G1888" s="2" t="s">
        <v>22</v>
      </c>
      <c r="H1888" s="2" t="s">
        <v>145</v>
      </c>
      <c r="I1888" s="13">
        <v>4</v>
      </c>
      <c r="J1888" s="10">
        <v>2146.4299999999998</v>
      </c>
      <c r="K1888" s="10">
        <f t="shared" si="59"/>
        <v>8585.7199999999993</v>
      </c>
      <c r="L1888" s="2">
        <v>0</v>
      </c>
      <c r="M1888" s="2" t="s">
        <v>29</v>
      </c>
      <c r="N1888" s="2" t="s">
        <v>121</v>
      </c>
    </row>
    <row r="1889" spans="1:14" x14ac:dyDescent="0.2">
      <c r="A1889" s="13">
        <v>101860</v>
      </c>
      <c r="B1889" s="5">
        <v>45611</v>
      </c>
      <c r="C1889" s="5" t="str">
        <f t="shared" si="58"/>
        <v>Nov</v>
      </c>
      <c r="D1889" s="2" t="s">
        <v>508</v>
      </c>
      <c r="E1889" s="2" t="s">
        <v>27</v>
      </c>
      <c r="F1889" s="2" t="s">
        <v>133</v>
      </c>
      <c r="G1889" s="2" t="s">
        <v>15</v>
      </c>
      <c r="H1889" s="2" t="s">
        <v>59</v>
      </c>
      <c r="I1889" s="13">
        <v>1</v>
      </c>
      <c r="J1889" s="10">
        <v>11072.64</v>
      </c>
      <c r="K1889" s="10">
        <f t="shared" si="59"/>
        <v>11072.64</v>
      </c>
      <c r="L1889" s="2">
        <v>0.15</v>
      </c>
      <c r="M1889" s="2" t="s">
        <v>41</v>
      </c>
      <c r="N1889" s="2" t="s">
        <v>143</v>
      </c>
    </row>
    <row r="1890" spans="1:14" x14ac:dyDescent="0.2">
      <c r="A1890" s="13">
        <v>100845</v>
      </c>
      <c r="B1890" s="5">
        <v>45393</v>
      </c>
      <c r="C1890" s="5" t="str">
        <f t="shared" si="58"/>
        <v>Apr</v>
      </c>
      <c r="D1890" s="2" t="s">
        <v>774</v>
      </c>
      <c r="E1890" s="2" t="s">
        <v>140</v>
      </c>
      <c r="F1890" s="2" t="s">
        <v>49</v>
      </c>
      <c r="G1890" s="2" t="s">
        <v>22</v>
      </c>
      <c r="H1890" s="2" t="s">
        <v>232</v>
      </c>
      <c r="I1890" s="13">
        <v>1</v>
      </c>
      <c r="J1890" s="10">
        <v>2387.58</v>
      </c>
      <c r="K1890" s="10">
        <f t="shared" si="59"/>
        <v>2387.58</v>
      </c>
      <c r="L1890" s="2">
        <v>0</v>
      </c>
      <c r="M1890" s="2" t="s">
        <v>41</v>
      </c>
      <c r="N1890" s="2" t="s">
        <v>143</v>
      </c>
    </row>
    <row r="1891" spans="1:14" x14ac:dyDescent="0.2">
      <c r="A1891" s="13">
        <v>100394</v>
      </c>
      <c r="B1891" s="5">
        <v>45527</v>
      </c>
      <c r="C1891" s="5" t="str">
        <f t="shared" si="58"/>
        <v>Aug</v>
      </c>
      <c r="D1891" s="2" t="s">
        <v>1069</v>
      </c>
      <c r="E1891" s="2" t="s">
        <v>27</v>
      </c>
      <c r="F1891" s="2" t="s">
        <v>133</v>
      </c>
      <c r="G1891" s="2" t="s">
        <v>15</v>
      </c>
      <c r="H1891" s="2" t="s">
        <v>152</v>
      </c>
      <c r="I1891" s="13">
        <v>1</v>
      </c>
      <c r="J1891" s="10">
        <v>2368.88</v>
      </c>
      <c r="K1891" s="10">
        <f t="shared" si="59"/>
        <v>2368.88</v>
      </c>
      <c r="L1891" s="2">
        <v>0</v>
      </c>
      <c r="M1891" s="2" t="s">
        <v>83</v>
      </c>
      <c r="N1891" s="2" t="s">
        <v>18</v>
      </c>
    </row>
    <row r="1892" spans="1:14" x14ac:dyDescent="0.2">
      <c r="A1892" s="13">
        <v>101770</v>
      </c>
      <c r="B1892" s="5">
        <v>45598</v>
      </c>
      <c r="C1892" s="5" t="str">
        <f t="shared" si="58"/>
        <v>Nov</v>
      </c>
      <c r="D1892" s="2" t="s">
        <v>543</v>
      </c>
      <c r="E1892" s="2" t="s">
        <v>31</v>
      </c>
      <c r="F1892" s="2" t="s">
        <v>54</v>
      </c>
      <c r="G1892" s="2" t="s">
        <v>64</v>
      </c>
      <c r="H1892" s="2" t="s">
        <v>40</v>
      </c>
      <c r="I1892" s="13">
        <v>3</v>
      </c>
      <c r="J1892" s="10">
        <v>603.29</v>
      </c>
      <c r="K1892" s="10">
        <f t="shared" si="59"/>
        <v>1809.87</v>
      </c>
      <c r="L1892" s="2">
        <v>0</v>
      </c>
      <c r="M1892" s="2" t="s">
        <v>29</v>
      </c>
      <c r="N1892" s="2" t="s">
        <v>35</v>
      </c>
    </row>
    <row r="1893" spans="1:14" x14ac:dyDescent="0.2">
      <c r="A1893" s="13">
        <v>100108</v>
      </c>
      <c r="B1893" s="5">
        <v>45497</v>
      </c>
      <c r="C1893" s="5" t="str">
        <f t="shared" si="58"/>
        <v>Jul</v>
      </c>
      <c r="D1893" s="2" t="s">
        <v>940</v>
      </c>
      <c r="E1893" s="2" t="s">
        <v>61</v>
      </c>
      <c r="F1893" s="2" t="s">
        <v>119</v>
      </c>
      <c r="G1893" s="2" t="s">
        <v>50</v>
      </c>
      <c r="H1893" s="2" t="s">
        <v>207</v>
      </c>
      <c r="I1893" s="13">
        <v>4</v>
      </c>
      <c r="J1893" s="10">
        <v>9384.16</v>
      </c>
      <c r="K1893" s="10">
        <f t="shared" si="59"/>
        <v>37536.639999999999</v>
      </c>
      <c r="L1893" s="2">
        <v>0.05</v>
      </c>
      <c r="M1893" s="2" t="s">
        <v>66</v>
      </c>
      <c r="N1893" s="2" t="s">
        <v>25</v>
      </c>
    </row>
    <row r="1894" spans="1:14" x14ac:dyDescent="0.2">
      <c r="A1894" s="13">
        <v>100350</v>
      </c>
      <c r="B1894" s="5">
        <v>45478</v>
      </c>
      <c r="C1894" s="5" t="str">
        <f t="shared" si="58"/>
        <v>Jul</v>
      </c>
      <c r="D1894" s="2" t="s">
        <v>844</v>
      </c>
      <c r="E1894" s="2" t="s">
        <v>37</v>
      </c>
      <c r="F1894" s="2" t="s">
        <v>69</v>
      </c>
      <c r="G1894" s="2" t="s">
        <v>33</v>
      </c>
      <c r="H1894" s="2" t="s">
        <v>158</v>
      </c>
      <c r="I1894" s="13">
        <v>4</v>
      </c>
      <c r="J1894" s="10">
        <v>398.84</v>
      </c>
      <c r="K1894" s="10">
        <f t="shared" si="59"/>
        <v>1595.36</v>
      </c>
      <c r="L1894" s="2">
        <v>0</v>
      </c>
      <c r="M1894" s="2" t="s">
        <v>29</v>
      </c>
      <c r="N1894" s="2" t="s">
        <v>25</v>
      </c>
    </row>
    <row r="1895" spans="1:14" x14ac:dyDescent="0.2">
      <c r="A1895" s="13">
        <v>100525</v>
      </c>
      <c r="B1895" s="5">
        <v>45533</v>
      </c>
      <c r="C1895" s="5" t="str">
        <f t="shared" si="58"/>
        <v>Aug</v>
      </c>
      <c r="D1895" s="2" t="s">
        <v>390</v>
      </c>
      <c r="E1895" s="2" t="s">
        <v>27</v>
      </c>
      <c r="F1895" s="2" t="s">
        <v>133</v>
      </c>
      <c r="G1895" s="2" t="s">
        <v>45</v>
      </c>
      <c r="H1895" s="2" t="s">
        <v>149</v>
      </c>
      <c r="I1895" s="13">
        <v>7</v>
      </c>
      <c r="J1895" s="10">
        <v>7258.43</v>
      </c>
      <c r="K1895" s="10">
        <f t="shared" si="59"/>
        <v>50809.01</v>
      </c>
      <c r="L1895" s="2">
        <v>0.05</v>
      </c>
      <c r="M1895" s="2" t="s">
        <v>41</v>
      </c>
      <c r="N1895" s="2" t="s">
        <v>18</v>
      </c>
    </row>
    <row r="1896" spans="1:14" x14ac:dyDescent="0.2">
      <c r="A1896" s="13">
        <v>100785</v>
      </c>
      <c r="B1896" s="5">
        <v>45508</v>
      </c>
      <c r="C1896" s="5" t="str">
        <f t="shared" si="58"/>
        <v>Aug</v>
      </c>
      <c r="D1896" s="2" t="s">
        <v>255</v>
      </c>
      <c r="E1896" s="2" t="s">
        <v>27</v>
      </c>
      <c r="F1896" s="2" t="s">
        <v>21</v>
      </c>
      <c r="G1896" s="2" t="s">
        <v>106</v>
      </c>
      <c r="H1896" s="2" t="s">
        <v>135</v>
      </c>
      <c r="I1896" s="13">
        <v>6</v>
      </c>
      <c r="J1896" s="10">
        <v>0</v>
      </c>
      <c r="K1896" s="10">
        <f t="shared" si="59"/>
        <v>0</v>
      </c>
      <c r="L1896" s="2">
        <v>0.15</v>
      </c>
      <c r="M1896" s="2" t="s">
        <v>17</v>
      </c>
      <c r="N1896" s="2" t="s">
        <v>25</v>
      </c>
    </row>
    <row r="1897" spans="1:14" x14ac:dyDescent="0.2">
      <c r="A1897" s="13">
        <v>100048</v>
      </c>
      <c r="B1897" s="5">
        <v>45494</v>
      </c>
      <c r="C1897" s="5" t="str">
        <f t="shared" si="58"/>
        <v>Jul</v>
      </c>
      <c r="D1897" s="2" t="s">
        <v>940</v>
      </c>
      <c r="E1897" s="2" t="s">
        <v>140</v>
      </c>
      <c r="F1897" s="2" t="s">
        <v>49</v>
      </c>
      <c r="G1897" s="2" t="s">
        <v>33</v>
      </c>
      <c r="H1897" s="2" t="s">
        <v>34</v>
      </c>
      <c r="I1897" s="13">
        <v>4</v>
      </c>
      <c r="J1897" s="10">
        <v>548.49</v>
      </c>
      <c r="K1897" s="10">
        <f t="shared" si="59"/>
        <v>2193.96</v>
      </c>
      <c r="L1897" s="2">
        <v>0.15</v>
      </c>
      <c r="M1897" s="2" t="s">
        <v>83</v>
      </c>
      <c r="N1897" s="2" t="s">
        <v>87</v>
      </c>
    </row>
    <row r="1898" spans="1:14" x14ac:dyDescent="0.2">
      <c r="A1898" s="13">
        <v>101656</v>
      </c>
      <c r="B1898" s="5">
        <v>45558</v>
      </c>
      <c r="C1898" s="5" t="str">
        <f t="shared" si="58"/>
        <v>Sep</v>
      </c>
      <c r="D1898" s="2" t="s">
        <v>1056</v>
      </c>
      <c r="E1898" s="2" t="s">
        <v>27</v>
      </c>
      <c r="F1898" s="2" t="s">
        <v>21</v>
      </c>
      <c r="G1898" s="2" t="s">
        <v>22</v>
      </c>
      <c r="H1898" s="2" t="s">
        <v>75</v>
      </c>
      <c r="I1898" s="13">
        <v>9</v>
      </c>
      <c r="J1898" s="10">
        <v>1380.07</v>
      </c>
      <c r="K1898" s="10">
        <f t="shared" si="59"/>
        <v>12420.63</v>
      </c>
      <c r="L1898" s="2">
        <v>0.25</v>
      </c>
      <c r="M1898" s="2" t="s">
        <v>24</v>
      </c>
      <c r="N1898" s="2" t="s">
        <v>35</v>
      </c>
    </row>
    <row r="1899" spans="1:14" x14ac:dyDescent="0.2">
      <c r="A1899" s="13">
        <v>100022</v>
      </c>
      <c r="B1899" s="5">
        <v>45641</v>
      </c>
      <c r="C1899" s="5" t="str">
        <f t="shared" si="58"/>
        <v>Dec</v>
      </c>
      <c r="D1899" s="2" t="s">
        <v>779</v>
      </c>
      <c r="E1899" s="2" t="s">
        <v>31</v>
      </c>
      <c r="F1899" s="2" t="s">
        <v>32</v>
      </c>
      <c r="G1899" s="2" t="s">
        <v>106</v>
      </c>
      <c r="H1899" s="2" t="s">
        <v>156</v>
      </c>
      <c r="I1899" s="13">
        <v>10</v>
      </c>
      <c r="J1899" s="10">
        <v>3135.4</v>
      </c>
      <c r="K1899" s="10">
        <f t="shared" si="59"/>
        <v>31354</v>
      </c>
      <c r="L1899" s="2">
        <v>0.05</v>
      </c>
      <c r="M1899" s="2" t="s">
        <v>41</v>
      </c>
      <c r="N1899" s="2" t="s">
        <v>35</v>
      </c>
    </row>
    <row r="1900" spans="1:14" x14ac:dyDescent="0.2">
      <c r="A1900" s="13">
        <v>100403</v>
      </c>
      <c r="B1900" s="5">
        <v>45325</v>
      </c>
      <c r="C1900" s="5" t="str">
        <f t="shared" si="58"/>
        <v>Feb</v>
      </c>
      <c r="D1900" s="2" t="s">
        <v>352</v>
      </c>
      <c r="E1900" s="2" t="s">
        <v>61</v>
      </c>
      <c r="F1900" s="2" t="s">
        <v>14</v>
      </c>
      <c r="G1900" s="2" t="s">
        <v>33</v>
      </c>
      <c r="H1900" s="2" t="s">
        <v>93</v>
      </c>
      <c r="I1900" s="13">
        <v>1</v>
      </c>
      <c r="J1900" s="10">
        <v>558.12</v>
      </c>
      <c r="K1900" s="10">
        <f t="shared" si="59"/>
        <v>558.12</v>
      </c>
      <c r="L1900" s="2">
        <v>0</v>
      </c>
      <c r="M1900" s="2" t="s">
        <v>83</v>
      </c>
      <c r="N1900" s="2" t="s">
        <v>42</v>
      </c>
    </row>
    <row r="1901" spans="1:14" x14ac:dyDescent="0.2">
      <c r="A1901" s="13">
        <v>101108</v>
      </c>
      <c r="B1901" s="5">
        <v>45294</v>
      </c>
      <c r="C1901" s="5" t="str">
        <f t="shared" si="58"/>
        <v>Jan</v>
      </c>
      <c r="D1901" s="2" t="s">
        <v>403</v>
      </c>
      <c r="E1901" s="2" t="s">
        <v>61</v>
      </c>
      <c r="F1901" s="2" t="s">
        <v>14</v>
      </c>
      <c r="G1901" s="2" t="s">
        <v>15</v>
      </c>
      <c r="H1901" s="2" t="s">
        <v>205</v>
      </c>
      <c r="I1901" s="13">
        <v>11</v>
      </c>
      <c r="J1901" s="10">
        <v>2939.99</v>
      </c>
      <c r="K1901" s="10">
        <f t="shared" si="59"/>
        <v>32339.89</v>
      </c>
      <c r="L1901" s="2">
        <v>0.2</v>
      </c>
      <c r="M1901" s="2" t="s">
        <v>29</v>
      </c>
      <c r="N1901" s="2" t="s">
        <v>121</v>
      </c>
    </row>
    <row r="1902" spans="1:14" x14ac:dyDescent="0.2">
      <c r="A1902" s="13">
        <v>101155</v>
      </c>
      <c r="B1902" s="5">
        <v>45349</v>
      </c>
      <c r="C1902" s="5" t="str">
        <f t="shared" si="58"/>
        <v>Feb</v>
      </c>
      <c r="D1902" s="2" t="s">
        <v>184</v>
      </c>
      <c r="E1902" s="2" t="s">
        <v>140</v>
      </c>
      <c r="F1902" s="2" t="s">
        <v>49</v>
      </c>
      <c r="G1902" s="2" t="s">
        <v>45</v>
      </c>
      <c r="H1902" s="2" t="s">
        <v>111</v>
      </c>
      <c r="I1902" s="13">
        <v>1</v>
      </c>
      <c r="J1902" s="10">
        <v>11829.88</v>
      </c>
      <c r="K1902" s="10">
        <f t="shared" si="59"/>
        <v>11829.88</v>
      </c>
      <c r="L1902" s="2">
        <v>0</v>
      </c>
      <c r="M1902" s="2" t="s">
        <v>17</v>
      </c>
      <c r="N1902" s="2" t="s">
        <v>35</v>
      </c>
    </row>
    <row r="1903" spans="1:14" x14ac:dyDescent="0.2">
      <c r="A1903" s="13">
        <v>101440</v>
      </c>
      <c r="B1903" s="5">
        <v>45440</v>
      </c>
      <c r="C1903" s="5" t="str">
        <f t="shared" si="58"/>
        <v>May</v>
      </c>
      <c r="D1903" s="2" t="s">
        <v>1069</v>
      </c>
      <c r="E1903" s="2" t="s">
        <v>61</v>
      </c>
      <c r="F1903" s="2" t="s">
        <v>14</v>
      </c>
      <c r="G1903" s="2" t="s">
        <v>64</v>
      </c>
      <c r="H1903" s="2" t="s">
        <v>40</v>
      </c>
      <c r="I1903" s="13">
        <v>9</v>
      </c>
      <c r="J1903" s="10">
        <v>306</v>
      </c>
      <c r="K1903" s="10">
        <f t="shared" si="59"/>
        <v>2754</v>
      </c>
      <c r="L1903" s="2">
        <v>0</v>
      </c>
      <c r="M1903" s="2" t="s">
        <v>83</v>
      </c>
      <c r="N1903" s="2" t="s">
        <v>25</v>
      </c>
    </row>
    <row r="1904" spans="1:14" x14ac:dyDescent="0.2">
      <c r="A1904" s="13">
        <v>100990</v>
      </c>
      <c r="B1904" s="5">
        <v>45456</v>
      </c>
      <c r="C1904" s="5" t="str">
        <f t="shared" si="58"/>
        <v>Jun</v>
      </c>
      <c r="D1904" s="2" t="s">
        <v>835</v>
      </c>
      <c r="E1904" s="2" t="s">
        <v>27</v>
      </c>
      <c r="F1904" s="2" t="s">
        <v>21</v>
      </c>
      <c r="G1904" s="2" t="s">
        <v>45</v>
      </c>
      <c r="H1904" s="2" t="s">
        <v>97</v>
      </c>
      <c r="I1904" s="13">
        <v>3</v>
      </c>
      <c r="J1904" s="10">
        <v>40095.050000000003</v>
      </c>
      <c r="K1904" s="10">
        <f t="shared" si="59"/>
        <v>120285.15000000001</v>
      </c>
      <c r="L1904" s="2">
        <v>0.15</v>
      </c>
      <c r="M1904" s="2" t="s">
        <v>41</v>
      </c>
      <c r="N1904" s="2" t="s">
        <v>52</v>
      </c>
    </row>
    <row r="1905" spans="1:14" x14ac:dyDescent="0.2">
      <c r="A1905" s="13">
        <v>101866</v>
      </c>
      <c r="B1905" s="5">
        <v>45633</v>
      </c>
      <c r="C1905" s="5" t="str">
        <f t="shared" si="58"/>
        <v>Dec</v>
      </c>
      <c r="D1905" s="2" t="s">
        <v>927</v>
      </c>
      <c r="E1905" s="2" t="s">
        <v>61</v>
      </c>
      <c r="F1905" s="2" t="s">
        <v>119</v>
      </c>
      <c r="G1905" s="2" t="s">
        <v>22</v>
      </c>
      <c r="H1905" s="2" t="s">
        <v>145</v>
      </c>
      <c r="I1905" s="13">
        <v>6</v>
      </c>
      <c r="J1905" s="10">
        <v>3046.97</v>
      </c>
      <c r="K1905" s="10">
        <f t="shared" si="59"/>
        <v>18281.82</v>
      </c>
      <c r="L1905" s="2">
        <v>0.2</v>
      </c>
      <c r="M1905" s="2" t="s">
        <v>24</v>
      </c>
      <c r="N1905" s="2" t="s">
        <v>52</v>
      </c>
    </row>
    <row r="1906" spans="1:14" x14ac:dyDescent="0.2">
      <c r="A1906" s="13">
        <v>100742</v>
      </c>
      <c r="B1906" s="5">
        <v>45337</v>
      </c>
      <c r="C1906" s="5" t="str">
        <f t="shared" si="58"/>
        <v>Feb</v>
      </c>
      <c r="D1906" s="2" t="s">
        <v>411</v>
      </c>
      <c r="E1906" s="2" t="s">
        <v>37</v>
      </c>
      <c r="F1906" s="2" t="s">
        <v>69</v>
      </c>
      <c r="G1906" s="2" t="s">
        <v>22</v>
      </c>
      <c r="H1906" s="2" t="s">
        <v>145</v>
      </c>
      <c r="I1906" s="13">
        <v>4</v>
      </c>
      <c r="J1906" s="10">
        <v>822.16</v>
      </c>
      <c r="K1906" s="10">
        <f t="shared" si="59"/>
        <v>3288.64</v>
      </c>
      <c r="L1906" s="2">
        <v>0</v>
      </c>
      <c r="M1906" s="2" t="s">
        <v>29</v>
      </c>
      <c r="N1906" s="2" t="s">
        <v>18</v>
      </c>
    </row>
    <row r="1907" spans="1:14" x14ac:dyDescent="0.2">
      <c r="A1907" s="13">
        <v>101722</v>
      </c>
      <c r="B1907" s="5">
        <v>45417</v>
      </c>
      <c r="C1907" s="5" t="str">
        <f t="shared" si="58"/>
        <v>May</v>
      </c>
      <c r="D1907" s="2" t="s">
        <v>703</v>
      </c>
      <c r="E1907" s="2" t="s">
        <v>31</v>
      </c>
      <c r="F1907" s="2" t="s">
        <v>32</v>
      </c>
      <c r="G1907" s="2" t="s">
        <v>15</v>
      </c>
      <c r="H1907" s="2" t="s">
        <v>152</v>
      </c>
      <c r="I1907" s="13">
        <v>6</v>
      </c>
      <c r="J1907" s="10">
        <v>16140.21</v>
      </c>
      <c r="K1907" s="10">
        <f t="shared" si="59"/>
        <v>96841.26</v>
      </c>
      <c r="L1907" s="2">
        <v>0</v>
      </c>
      <c r="M1907" s="2" t="s">
        <v>29</v>
      </c>
      <c r="N1907" s="2" t="s">
        <v>18</v>
      </c>
    </row>
    <row r="1908" spans="1:14" x14ac:dyDescent="0.2">
      <c r="A1908" s="13">
        <v>101311</v>
      </c>
      <c r="B1908" s="5">
        <v>45523</v>
      </c>
      <c r="C1908" s="5" t="str">
        <f t="shared" si="58"/>
        <v>Aug</v>
      </c>
      <c r="D1908" s="2" t="s">
        <v>790</v>
      </c>
      <c r="E1908" s="2" t="s">
        <v>140</v>
      </c>
      <c r="F1908" s="2" t="s">
        <v>79</v>
      </c>
      <c r="G1908" s="2" t="s">
        <v>64</v>
      </c>
      <c r="H1908" s="2" t="s">
        <v>165</v>
      </c>
      <c r="I1908" s="13">
        <v>1</v>
      </c>
      <c r="J1908" s="10">
        <v>656.8</v>
      </c>
      <c r="K1908" s="10">
        <f t="shared" si="59"/>
        <v>656.8</v>
      </c>
      <c r="L1908" s="2">
        <v>0</v>
      </c>
      <c r="M1908" s="2" t="s">
        <v>41</v>
      </c>
      <c r="N1908" s="2" t="s">
        <v>35</v>
      </c>
    </row>
    <row r="1909" spans="1:14" x14ac:dyDescent="0.2">
      <c r="A1909" s="13">
        <v>101148</v>
      </c>
      <c r="B1909" s="5">
        <v>45441</v>
      </c>
      <c r="C1909" s="5" t="str">
        <f t="shared" si="58"/>
        <v>May</v>
      </c>
      <c r="D1909" s="2" t="s">
        <v>319</v>
      </c>
      <c r="E1909" s="2" t="s">
        <v>140</v>
      </c>
      <c r="F1909" s="2" t="s">
        <v>49</v>
      </c>
      <c r="G1909" s="2" t="s">
        <v>45</v>
      </c>
      <c r="H1909" s="2" t="s">
        <v>153</v>
      </c>
      <c r="I1909" s="13">
        <v>12</v>
      </c>
      <c r="J1909" s="10">
        <v>35659.120000000003</v>
      </c>
      <c r="K1909" s="10">
        <f t="shared" si="59"/>
        <v>427909.44000000006</v>
      </c>
      <c r="L1909" s="2">
        <v>0</v>
      </c>
      <c r="M1909" s="2" t="s">
        <v>24</v>
      </c>
      <c r="N1909" s="2" t="s">
        <v>25</v>
      </c>
    </row>
    <row r="1910" spans="1:14" x14ac:dyDescent="0.2">
      <c r="A1910" s="13">
        <v>100034</v>
      </c>
      <c r="B1910" s="5">
        <v>45298</v>
      </c>
      <c r="C1910" s="5" t="str">
        <f t="shared" si="58"/>
        <v>Jan</v>
      </c>
      <c r="D1910" s="2" t="s">
        <v>705</v>
      </c>
      <c r="E1910" s="2" t="s">
        <v>27</v>
      </c>
      <c r="F1910" s="2" t="s">
        <v>21</v>
      </c>
      <c r="G1910" s="2" t="s">
        <v>50</v>
      </c>
      <c r="H1910" s="2" t="s">
        <v>51</v>
      </c>
      <c r="I1910" s="13">
        <v>1</v>
      </c>
      <c r="J1910" s="10">
        <v>4056.17</v>
      </c>
      <c r="K1910" s="10">
        <f t="shared" si="59"/>
        <v>4056.17</v>
      </c>
      <c r="L1910" s="2">
        <v>0</v>
      </c>
      <c r="M1910" s="2" t="s">
        <v>17</v>
      </c>
      <c r="N1910" s="2" t="s">
        <v>52</v>
      </c>
    </row>
    <row r="1911" spans="1:14" x14ac:dyDescent="0.2">
      <c r="A1911" s="13">
        <v>100788</v>
      </c>
      <c r="B1911" s="5">
        <v>45471</v>
      </c>
      <c r="C1911" s="5" t="str">
        <f t="shared" si="58"/>
        <v>Jun</v>
      </c>
      <c r="D1911" s="2" t="s">
        <v>468</v>
      </c>
      <c r="E1911" s="2" t="s">
        <v>31</v>
      </c>
      <c r="F1911" s="2" t="s">
        <v>54</v>
      </c>
      <c r="G1911" s="2" t="s">
        <v>22</v>
      </c>
      <c r="H1911" s="2" t="s">
        <v>232</v>
      </c>
      <c r="I1911" s="13">
        <v>12</v>
      </c>
      <c r="J1911" s="10">
        <v>1927.41</v>
      </c>
      <c r="K1911" s="10">
        <f t="shared" si="59"/>
        <v>23128.920000000002</v>
      </c>
      <c r="L1911" s="2">
        <v>0.15</v>
      </c>
      <c r="M1911" s="2" t="s">
        <v>83</v>
      </c>
      <c r="N1911" s="2" t="s">
        <v>87</v>
      </c>
    </row>
    <row r="1912" spans="1:14" x14ac:dyDescent="0.2">
      <c r="A1912" s="13">
        <v>101541</v>
      </c>
      <c r="B1912" s="5">
        <v>45312</v>
      </c>
      <c r="C1912" s="5" t="str">
        <f t="shared" si="58"/>
        <v>Jan</v>
      </c>
      <c r="D1912" s="2" t="s">
        <v>627</v>
      </c>
      <c r="E1912" s="2" t="s">
        <v>37</v>
      </c>
      <c r="F1912" s="2" t="s">
        <v>69</v>
      </c>
      <c r="G1912" s="2" t="s">
        <v>45</v>
      </c>
      <c r="H1912" s="2" t="s">
        <v>71</v>
      </c>
      <c r="I1912" s="13">
        <v>12</v>
      </c>
      <c r="J1912" s="10">
        <v>10493.17</v>
      </c>
      <c r="K1912" s="10">
        <f t="shared" si="59"/>
        <v>125918.04000000001</v>
      </c>
      <c r="L1912" s="2">
        <v>0.2</v>
      </c>
      <c r="M1912" s="2" t="s">
        <v>24</v>
      </c>
      <c r="N1912" s="2" t="s">
        <v>25</v>
      </c>
    </row>
    <row r="1913" spans="1:14" x14ac:dyDescent="0.2">
      <c r="A1913" s="13">
        <v>100924</v>
      </c>
      <c r="B1913" s="5">
        <v>45626</v>
      </c>
      <c r="C1913" s="5" t="str">
        <f t="shared" si="58"/>
        <v>Nov</v>
      </c>
      <c r="D1913" s="2" t="s">
        <v>865</v>
      </c>
      <c r="E1913" s="2" t="s">
        <v>27</v>
      </c>
      <c r="F1913" s="2" t="s">
        <v>133</v>
      </c>
      <c r="G1913" s="2" t="s">
        <v>15</v>
      </c>
      <c r="H1913" s="2" t="s">
        <v>152</v>
      </c>
      <c r="I1913" s="13">
        <v>7</v>
      </c>
      <c r="J1913" s="10">
        <v>10296.48</v>
      </c>
      <c r="K1913" s="10">
        <f t="shared" si="59"/>
        <v>72075.360000000001</v>
      </c>
      <c r="L1913" s="2">
        <v>0.1</v>
      </c>
      <c r="M1913" s="2" t="s">
        <v>17</v>
      </c>
      <c r="N1913" s="2" t="s">
        <v>52</v>
      </c>
    </row>
    <row r="1914" spans="1:14" x14ac:dyDescent="0.2">
      <c r="A1914" s="13">
        <v>101044</v>
      </c>
      <c r="B1914" s="5">
        <v>45488</v>
      </c>
      <c r="C1914" s="5" t="str">
        <f t="shared" si="58"/>
        <v>Jul</v>
      </c>
      <c r="D1914" s="2" t="s">
        <v>711</v>
      </c>
      <c r="E1914" s="2" t="s">
        <v>31</v>
      </c>
      <c r="F1914" s="2" t="s">
        <v>54</v>
      </c>
      <c r="G1914" s="2" t="s">
        <v>33</v>
      </c>
      <c r="H1914" s="2" t="s">
        <v>34</v>
      </c>
      <c r="I1914" s="13">
        <v>12</v>
      </c>
      <c r="J1914" s="10">
        <v>203.69</v>
      </c>
      <c r="K1914" s="10">
        <f t="shared" si="59"/>
        <v>2444.2799999999997</v>
      </c>
      <c r="L1914" s="2">
        <v>0.1</v>
      </c>
      <c r="M1914" s="2" t="s">
        <v>83</v>
      </c>
      <c r="N1914" s="2" t="s">
        <v>25</v>
      </c>
    </row>
    <row r="1915" spans="1:14" x14ac:dyDescent="0.2">
      <c r="A1915" s="13">
        <v>101955</v>
      </c>
      <c r="B1915" s="5">
        <v>45546</v>
      </c>
      <c r="C1915" s="5" t="str">
        <f t="shared" si="58"/>
        <v>Sep</v>
      </c>
      <c r="D1915" s="2" t="s">
        <v>210</v>
      </c>
      <c r="E1915" s="2" t="s">
        <v>31</v>
      </c>
      <c r="F1915" s="2" t="s">
        <v>54</v>
      </c>
      <c r="G1915" s="2" t="s">
        <v>64</v>
      </c>
      <c r="H1915" s="2" t="s">
        <v>40</v>
      </c>
      <c r="I1915" s="13">
        <v>2</v>
      </c>
      <c r="J1915" s="10">
        <v>690.52</v>
      </c>
      <c r="K1915" s="10">
        <f t="shared" si="59"/>
        <v>1381.04</v>
      </c>
      <c r="L1915" s="2">
        <v>0</v>
      </c>
      <c r="M1915" s="2" t="s">
        <v>41</v>
      </c>
      <c r="N1915" s="2" t="s">
        <v>35</v>
      </c>
    </row>
    <row r="1916" spans="1:14" x14ac:dyDescent="0.2">
      <c r="A1916" s="13">
        <v>101244</v>
      </c>
      <c r="B1916" s="5">
        <v>45614</v>
      </c>
      <c r="C1916" s="5" t="str">
        <f t="shared" si="58"/>
        <v>Nov</v>
      </c>
      <c r="D1916" s="2" t="s">
        <v>401</v>
      </c>
      <c r="E1916" s="2" t="s">
        <v>61</v>
      </c>
      <c r="F1916" s="2" t="s">
        <v>119</v>
      </c>
      <c r="G1916" s="2" t="s">
        <v>45</v>
      </c>
      <c r="H1916" s="2" t="s">
        <v>71</v>
      </c>
      <c r="I1916" s="13">
        <v>11</v>
      </c>
      <c r="J1916" s="10">
        <v>31798.76</v>
      </c>
      <c r="K1916" s="10">
        <f t="shared" si="59"/>
        <v>349786.36</v>
      </c>
      <c r="L1916" s="2">
        <v>0.15</v>
      </c>
      <c r="M1916" s="2" t="s">
        <v>66</v>
      </c>
      <c r="N1916" s="2" t="s">
        <v>35</v>
      </c>
    </row>
    <row r="1917" spans="1:14" x14ac:dyDescent="0.2">
      <c r="A1917" s="13">
        <v>101916</v>
      </c>
      <c r="B1917" s="5">
        <v>45477</v>
      </c>
      <c r="C1917" s="5" t="str">
        <f t="shared" si="58"/>
        <v>Jul</v>
      </c>
      <c r="D1917" s="2" t="s">
        <v>1057</v>
      </c>
      <c r="E1917" s="2" t="s">
        <v>37</v>
      </c>
      <c r="F1917" s="2" t="s">
        <v>69</v>
      </c>
      <c r="G1917" s="2" t="s">
        <v>64</v>
      </c>
      <c r="H1917" s="2" t="s">
        <v>114</v>
      </c>
      <c r="I1917" s="13">
        <v>2</v>
      </c>
      <c r="J1917" s="10">
        <v>614.65</v>
      </c>
      <c r="K1917" s="10">
        <f t="shared" si="59"/>
        <v>1229.3</v>
      </c>
      <c r="L1917" s="2">
        <v>0</v>
      </c>
      <c r="M1917" s="2" t="s">
        <v>29</v>
      </c>
      <c r="N1917" s="2" t="s">
        <v>18</v>
      </c>
    </row>
    <row r="1918" spans="1:14" x14ac:dyDescent="0.2">
      <c r="A1918" s="13">
        <v>100580</v>
      </c>
      <c r="B1918" s="5">
        <v>45585</v>
      </c>
      <c r="C1918" s="5" t="str">
        <f t="shared" si="58"/>
        <v>Oct</v>
      </c>
      <c r="D1918" s="2" t="s">
        <v>413</v>
      </c>
      <c r="E1918" s="2" t="s">
        <v>61</v>
      </c>
      <c r="F1918" s="2" t="s">
        <v>119</v>
      </c>
      <c r="G1918" s="2" t="s">
        <v>64</v>
      </c>
      <c r="H1918" s="2" t="s">
        <v>114</v>
      </c>
      <c r="I1918" s="13">
        <v>4</v>
      </c>
      <c r="J1918" s="10">
        <v>618.42999999999995</v>
      </c>
      <c r="K1918" s="10">
        <f t="shared" si="59"/>
        <v>2473.7199999999998</v>
      </c>
      <c r="L1918" s="2">
        <v>0.1</v>
      </c>
      <c r="M1918" s="2" t="s">
        <v>41</v>
      </c>
      <c r="N1918" s="2" t="s">
        <v>42</v>
      </c>
    </row>
    <row r="1919" spans="1:14" x14ac:dyDescent="0.2">
      <c r="A1919" s="13">
        <v>100482</v>
      </c>
      <c r="B1919" s="5">
        <v>45424</v>
      </c>
      <c r="C1919" s="5" t="str">
        <f t="shared" si="58"/>
        <v>May</v>
      </c>
      <c r="D1919" s="2" t="s">
        <v>616</v>
      </c>
      <c r="E1919" s="2" t="s">
        <v>27</v>
      </c>
      <c r="F1919" s="2" t="s">
        <v>21</v>
      </c>
      <c r="G1919" s="2" t="s">
        <v>15</v>
      </c>
      <c r="H1919" s="2" t="s">
        <v>59</v>
      </c>
      <c r="I1919" s="13">
        <v>2</v>
      </c>
      <c r="J1919" s="10">
        <v>21811.94</v>
      </c>
      <c r="K1919" s="10">
        <f t="shared" si="59"/>
        <v>43623.88</v>
      </c>
      <c r="L1919" s="2">
        <v>0.15</v>
      </c>
      <c r="M1919" s="2" t="s">
        <v>41</v>
      </c>
      <c r="N1919" s="2" t="s">
        <v>52</v>
      </c>
    </row>
    <row r="1920" spans="1:14" x14ac:dyDescent="0.2">
      <c r="A1920" s="13">
        <v>100932</v>
      </c>
      <c r="B1920" s="5">
        <v>45655</v>
      </c>
      <c r="C1920" s="5" t="str">
        <f t="shared" si="58"/>
        <v>Dec</v>
      </c>
      <c r="D1920" s="2" t="s">
        <v>692</v>
      </c>
      <c r="E1920" s="2" t="s">
        <v>27</v>
      </c>
      <c r="F1920" s="2" t="s">
        <v>21</v>
      </c>
      <c r="G1920" s="2" t="s">
        <v>33</v>
      </c>
      <c r="H1920" s="2" t="s">
        <v>158</v>
      </c>
      <c r="I1920" s="13">
        <v>12</v>
      </c>
      <c r="J1920" s="10">
        <v>0</v>
      </c>
      <c r="K1920" s="10">
        <f t="shared" si="59"/>
        <v>0</v>
      </c>
      <c r="L1920" s="2">
        <v>0.1</v>
      </c>
      <c r="M1920" s="2" t="s">
        <v>66</v>
      </c>
      <c r="N1920" s="2" t="s">
        <v>87</v>
      </c>
    </row>
    <row r="1921" spans="1:14" x14ac:dyDescent="0.2">
      <c r="A1921" s="13">
        <v>100357</v>
      </c>
      <c r="B1921" s="5">
        <v>45420</v>
      </c>
      <c r="C1921" s="5" t="str">
        <f t="shared" si="58"/>
        <v>May</v>
      </c>
      <c r="D1921" s="2" t="s">
        <v>874</v>
      </c>
      <c r="E1921" s="2" t="s">
        <v>27</v>
      </c>
      <c r="F1921" s="2" t="s">
        <v>21</v>
      </c>
      <c r="G1921" s="2" t="s">
        <v>33</v>
      </c>
      <c r="H1921" s="2" t="s">
        <v>93</v>
      </c>
      <c r="I1921" s="13">
        <v>6</v>
      </c>
      <c r="J1921" s="10">
        <v>299.81</v>
      </c>
      <c r="K1921" s="10">
        <f t="shared" si="59"/>
        <v>1798.8600000000001</v>
      </c>
      <c r="L1921" s="2">
        <v>0.2</v>
      </c>
      <c r="M1921" s="2" t="s">
        <v>83</v>
      </c>
      <c r="N1921" s="2" t="s">
        <v>52</v>
      </c>
    </row>
    <row r="1922" spans="1:14" x14ac:dyDescent="0.2">
      <c r="A1922" s="13">
        <v>101686</v>
      </c>
      <c r="B1922" s="5">
        <v>45462</v>
      </c>
      <c r="C1922" s="5" t="str">
        <f t="shared" ref="C1922:C1985" si="60">TEXT(B1922,"mmm")</f>
        <v>Jun</v>
      </c>
      <c r="D1922" s="2" t="s">
        <v>174</v>
      </c>
      <c r="E1922" s="2" t="s">
        <v>37</v>
      </c>
      <c r="F1922" s="2" t="s">
        <v>69</v>
      </c>
      <c r="G1922" s="2" t="s">
        <v>15</v>
      </c>
      <c r="H1922" s="2" t="s">
        <v>152</v>
      </c>
      <c r="I1922" s="13">
        <v>12</v>
      </c>
      <c r="J1922" s="10">
        <v>11915.87</v>
      </c>
      <c r="K1922" s="10">
        <f t="shared" ref="K1922:K1985" si="61">I1922*J1922</f>
        <v>142990.44</v>
      </c>
      <c r="L1922" s="2">
        <v>0</v>
      </c>
      <c r="M1922" s="2" t="s">
        <v>29</v>
      </c>
      <c r="N1922" s="2" t="s">
        <v>52</v>
      </c>
    </row>
    <row r="1923" spans="1:14" x14ac:dyDescent="0.2">
      <c r="A1923" s="13">
        <v>101249</v>
      </c>
      <c r="B1923" s="5">
        <v>45334</v>
      </c>
      <c r="C1923" s="5" t="str">
        <f t="shared" si="60"/>
        <v>Feb</v>
      </c>
      <c r="D1923" s="2" t="s">
        <v>296</v>
      </c>
      <c r="E1923" s="2" t="s">
        <v>61</v>
      </c>
      <c r="F1923" s="2" t="s">
        <v>14</v>
      </c>
      <c r="G1923" s="2" t="s">
        <v>33</v>
      </c>
      <c r="H1923" s="2" t="s">
        <v>158</v>
      </c>
      <c r="I1923" s="13">
        <v>2</v>
      </c>
      <c r="J1923" s="10">
        <v>417.65</v>
      </c>
      <c r="K1923" s="10">
        <f t="shared" si="61"/>
        <v>835.3</v>
      </c>
      <c r="L1923" s="2">
        <v>0.05</v>
      </c>
      <c r="M1923" s="2" t="s">
        <v>66</v>
      </c>
      <c r="N1923" s="2" t="s">
        <v>121</v>
      </c>
    </row>
    <row r="1924" spans="1:14" x14ac:dyDescent="0.2">
      <c r="A1924" s="13">
        <v>100760</v>
      </c>
      <c r="B1924" s="5">
        <v>45483</v>
      </c>
      <c r="C1924" s="5" t="str">
        <f t="shared" si="60"/>
        <v>Jul</v>
      </c>
      <c r="D1924" s="2" t="s">
        <v>695</v>
      </c>
      <c r="E1924" s="2" t="s">
        <v>37</v>
      </c>
      <c r="F1924" s="2" t="s">
        <v>38</v>
      </c>
      <c r="G1924" s="2" t="s">
        <v>64</v>
      </c>
      <c r="H1924" s="2" t="s">
        <v>292</v>
      </c>
      <c r="I1924" s="13">
        <v>4</v>
      </c>
      <c r="J1924" s="10">
        <v>676.16</v>
      </c>
      <c r="K1924" s="10">
        <f t="shared" si="61"/>
        <v>2704.64</v>
      </c>
      <c r="L1924" s="2">
        <v>0</v>
      </c>
      <c r="M1924" s="2" t="s">
        <v>83</v>
      </c>
      <c r="N1924" s="2" t="s">
        <v>87</v>
      </c>
    </row>
    <row r="1925" spans="1:14" x14ac:dyDescent="0.2">
      <c r="A1925" s="13">
        <v>100093</v>
      </c>
      <c r="B1925" s="5">
        <v>45475</v>
      </c>
      <c r="C1925" s="5" t="str">
        <f t="shared" si="60"/>
        <v>Jul</v>
      </c>
      <c r="D1925" s="2" t="s">
        <v>233</v>
      </c>
      <c r="E1925" s="2" t="s">
        <v>140</v>
      </c>
      <c r="F1925" s="2" t="s">
        <v>79</v>
      </c>
      <c r="G1925" s="2" t="s">
        <v>106</v>
      </c>
      <c r="H1925" s="2" t="s">
        <v>103</v>
      </c>
      <c r="I1925" s="13">
        <v>11</v>
      </c>
      <c r="J1925" s="10">
        <v>3111.57</v>
      </c>
      <c r="K1925" s="10">
        <f t="shared" si="61"/>
        <v>34227.270000000004</v>
      </c>
      <c r="L1925" s="2">
        <v>0</v>
      </c>
      <c r="M1925" s="2" t="s">
        <v>41</v>
      </c>
      <c r="N1925" s="2" t="s">
        <v>121</v>
      </c>
    </row>
    <row r="1926" spans="1:14" x14ac:dyDescent="0.2">
      <c r="A1926" s="13">
        <v>101176</v>
      </c>
      <c r="B1926" s="5">
        <v>45387</v>
      </c>
      <c r="C1926" s="5" t="str">
        <f t="shared" si="60"/>
        <v>Apr</v>
      </c>
      <c r="D1926" s="2" t="s">
        <v>286</v>
      </c>
      <c r="E1926" s="2" t="s">
        <v>31</v>
      </c>
      <c r="F1926" s="2" t="s">
        <v>32</v>
      </c>
      <c r="G1926" s="2" t="s">
        <v>45</v>
      </c>
      <c r="H1926" s="2" t="s">
        <v>97</v>
      </c>
      <c r="I1926" s="13">
        <v>9</v>
      </c>
      <c r="J1926" s="10">
        <v>5264.51</v>
      </c>
      <c r="K1926" s="10">
        <f t="shared" si="61"/>
        <v>47380.590000000004</v>
      </c>
      <c r="L1926" s="2">
        <v>0</v>
      </c>
      <c r="M1926" s="2" t="s">
        <v>29</v>
      </c>
      <c r="N1926" s="2" t="s">
        <v>35</v>
      </c>
    </row>
    <row r="1927" spans="1:14" x14ac:dyDescent="0.2">
      <c r="A1927" s="13">
        <v>101416</v>
      </c>
      <c r="B1927" s="5">
        <v>45405</v>
      </c>
      <c r="C1927" s="5" t="str">
        <f t="shared" si="60"/>
        <v>Apr</v>
      </c>
      <c r="D1927" s="2" t="s">
        <v>934</v>
      </c>
      <c r="E1927" s="2" t="s">
        <v>37</v>
      </c>
      <c r="F1927" s="2" t="s">
        <v>38</v>
      </c>
      <c r="G1927" s="2" t="s">
        <v>50</v>
      </c>
      <c r="H1927" s="2" t="s">
        <v>62</v>
      </c>
      <c r="I1927" s="13">
        <v>7</v>
      </c>
      <c r="J1927" s="10">
        <v>5373.21</v>
      </c>
      <c r="K1927" s="10">
        <f t="shared" si="61"/>
        <v>37612.47</v>
      </c>
      <c r="L1927" s="2">
        <v>0.15</v>
      </c>
      <c r="M1927" s="2" t="s">
        <v>29</v>
      </c>
      <c r="N1927" s="2" t="s">
        <v>52</v>
      </c>
    </row>
    <row r="1928" spans="1:14" x14ac:dyDescent="0.2">
      <c r="A1928" s="13">
        <v>101342</v>
      </c>
      <c r="B1928" s="5">
        <v>45482</v>
      </c>
      <c r="C1928" s="5" t="str">
        <f t="shared" si="60"/>
        <v>Jul</v>
      </c>
      <c r="D1928" s="2" t="s">
        <v>115</v>
      </c>
      <c r="E1928" s="2" t="s">
        <v>140</v>
      </c>
      <c r="F1928" s="2" t="s">
        <v>49</v>
      </c>
      <c r="G1928" s="2" t="s">
        <v>15</v>
      </c>
      <c r="H1928" s="2" t="s">
        <v>16</v>
      </c>
      <c r="I1928" s="13">
        <v>4</v>
      </c>
      <c r="J1928" s="10">
        <v>12288.28</v>
      </c>
      <c r="K1928" s="10">
        <f t="shared" si="61"/>
        <v>49153.120000000003</v>
      </c>
      <c r="L1928" s="2">
        <v>0.25</v>
      </c>
      <c r="M1928" s="2" t="s">
        <v>83</v>
      </c>
      <c r="N1928" s="2" t="s">
        <v>35</v>
      </c>
    </row>
    <row r="1929" spans="1:14" x14ac:dyDescent="0.2">
      <c r="A1929" s="13">
        <v>101473</v>
      </c>
      <c r="B1929" s="5">
        <v>45398</v>
      </c>
      <c r="C1929" s="5" t="str">
        <f t="shared" si="60"/>
        <v>Apr</v>
      </c>
      <c r="D1929" s="2" t="s">
        <v>390</v>
      </c>
      <c r="E1929" s="2" t="s">
        <v>140</v>
      </c>
      <c r="F1929" s="2" t="s">
        <v>49</v>
      </c>
      <c r="G1929" s="2" t="s">
        <v>50</v>
      </c>
      <c r="H1929" s="2" t="s">
        <v>207</v>
      </c>
      <c r="I1929" s="13">
        <v>7</v>
      </c>
      <c r="J1929" s="10">
        <v>11490.58</v>
      </c>
      <c r="K1929" s="10">
        <f t="shared" si="61"/>
        <v>80434.06</v>
      </c>
      <c r="L1929" s="2">
        <v>0.2</v>
      </c>
      <c r="M1929" s="2" t="s">
        <v>24</v>
      </c>
      <c r="N1929" s="2" t="s">
        <v>25</v>
      </c>
    </row>
    <row r="1930" spans="1:14" x14ac:dyDescent="0.2">
      <c r="A1930" s="13">
        <v>100804</v>
      </c>
      <c r="B1930" s="5">
        <v>45419</v>
      </c>
      <c r="C1930" s="5" t="str">
        <f t="shared" si="60"/>
        <v>May</v>
      </c>
      <c r="D1930" s="2" t="s">
        <v>677</v>
      </c>
      <c r="E1930" s="2" t="s">
        <v>61</v>
      </c>
      <c r="F1930" s="2" t="s">
        <v>14</v>
      </c>
      <c r="G1930" s="2" t="s">
        <v>50</v>
      </c>
      <c r="H1930" s="2" t="s">
        <v>51</v>
      </c>
      <c r="I1930" s="13"/>
      <c r="J1930" s="10">
        <v>8280.65</v>
      </c>
      <c r="K1930" s="10">
        <f t="shared" si="61"/>
        <v>0</v>
      </c>
      <c r="L1930" s="2">
        <v>0.05</v>
      </c>
      <c r="M1930" s="2" t="s">
        <v>41</v>
      </c>
      <c r="N1930" s="2" t="s">
        <v>42</v>
      </c>
    </row>
    <row r="1931" spans="1:14" x14ac:dyDescent="0.2">
      <c r="A1931" s="13">
        <v>100746</v>
      </c>
      <c r="B1931" s="5">
        <v>45445</v>
      </c>
      <c r="C1931" s="5" t="str">
        <f t="shared" si="60"/>
        <v>Jun</v>
      </c>
      <c r="D1931" s="2" t="s">
        <v>339</v>
      </c>
      <c r="E1931" s="2" t="s">
        <v>31</v>
      </c>
      <c r="F1931" s="2" t="s">
        <v>32</v>
      </c>
      <c r="G1931" s="2" t="s">
        <v>64</v>
      </c>
      <c r="H1931" s="2" t="s">
        <v>165</v>
      </c>
      <c r="I1931" s="13">
        <v>1</v>
      </c>
      <c r="J1931" s="10">
        <v>484.93</v>
      </c>
      <c r="K1931" s="10">
        <f t="shared" si="61"/>
        <v>484.93</v>
      </c>
      <c r="L1931" s="2">
        <v>0.2</v>
      </c>
      <c r="M1931" s="2" t="s">
        <v>66</v>
      </c>
      <c r="N1931" s="2" t="s">
        <v>35</v>
      </c>
    </row>
    <row r="1932" spans="1:14" x14ac:dyDescent="0.2">
      <c r="A1932" s="13">
        <v>101547</v>
      </c>
      <c r="B1932" s="5">
        <v>45489</v>
      </c>
      <c r="C1932" s="5" t="str">
        <f t="shared" si="60"/>
        <v>Jul</v>
      </c>
      <c r="D1932" s="2" t="s">
        <v>882</v>
      </c>
      <c r="E1932" s="2" t="s">
        <v>37</v>
      </c>
      <c r="F1932" s="2" t="s">
        <v>38</v>
      </c>
      <c r="G1932" s="2" t="s">
        <v>15</v>
      </c>
      <c r="H1932" s="2" t="s">
        <v>152</v>
      </c>
      <c r="I1932" s="13">
        <v>6</v>
      </c>
      <c r="J1932" s="10">
        <v>13167.1</v>
      </c>
      <c r="K1932" s="10">
        <f t="shared" si="61"/>
        <v>79002.600000000006</v>
      </c>
      <c r="L1932" s="2">
        <v>0</v>
      </c>
      <c r="M1932" s="2" t="s">
        <v>17</v>
      </c>
      <c r="N1932" s="2" t="s">
        <v>42</v>
      </c>
    </row>
    <row r="1933" spans="1:14" x14ac:dyDescent="0.2">
      <c r="A1933" s="13">
        <v>100280</v>
      </c>
      <c r="B1933" s="5">
        <v>45391</v>
      </c>
      <c r="C1933" s="5" t="str">
        <f t="shared" si="60"/>
        <v>Apr</v>
      </c>
      <c r="D1933" s="2" t="s">
        <v>853</v>
      </c>
      <c r="E1933" s="2" t="s">
        <v>37</v>
      </c>
      <c r="F1933" s="2" t="s">
        <v>38</v>
      </c>
      <c r="G1933" s="2" t="s">
        <v>33</v>
      </c>
      <c r="H1933" s="2" t="s">
        <v>81</v>
      </c>
      <c r="I1933" s="13">
        <v>8</v>
      </c>
      <c r="J1933" s="10">
        <v>334.74</v>
      </c>
      <c r="K1933" s="10">
        <f t="shared" si="61"/>
        <v>2677.92</v>
      </c>
      <c r="L1933" s="2">
        <v>0</v>
      </c>
      <c r="M1933" s="2" t="s">
        <v>83</v>
      </c>
      <c r="N1933" s="2" t="s">
        <v>35</v>
      </c>
    </row>
    <row r="1934" spans="1:14" x14ac:dyDescent="0.2">
      <c r="A1934" s="13">
        <v>101608</v>
      </c>
      <c r="B1934" s="5">
        <v>45293</v>
      </c>
      <c r="C1934" s="5" t="str">
        <f t="shared" si="60"/>
        <v>Jan</v>
      </c>
      <c r="D1934" s="2" t="s">
        <v>508</v>
      </c>
      <c r="E1934" s="2" t="s">
        <v>61</v>
      </c>
      <c r="F1934" s="2" t="s">
        <v>119</v>
      </c>
      <c r="G1934" s="2" t="s">
        <v>106</v>
      </c>
      <c r="H1934" s="2" t="s">
        <v>135</v>
      </c>
      <c r="I1934" s="13">
        <v>2</v>
      </c>
      <c r="J1934" s="10">
        <v>2046.51</v>
      </c>
      <c r="K1934" s="10">
        <f t="shared" si="61"/>
        <v>4093.02</v>
      </c>
      <c r="L1934" s="2">
        <v>0</v>
      </c>
      <c r="M1934" s="2" t="s">
        <v>66</v>
      </c>
      <c r="N1934" s="2" t="s">
        <v>87</v>
      </c>
    </row>
    <row r="1935" spans="1:14" x14ac:dyDescent="0.2">
      <c r="A1935" s="13">
        <v>100765</v>
      </c>
      <c r="B1935" s="5">
        <v>45618</v>
      </c>
      <c r="C1935" s="5" t="str">
        <f t="shared" si="60"/>
        <v>Nov</v>
      </c>
      <c r="D1935" s="2" t="s">
        <v>1069</v>
      </c>
      <c r="E1935" s="2" t="s">
        <v>61</v>
      </c>
      <c r="F1935" s="2" t="s">
        <v>14</v>
      </c>
      <c r="G1935" s="2" t="s">
        <v>45</v>
      </c>
      <c r="H1935" s="2" t="s">
        <v>71</v>
      </c>
      <c r="I1935" s="13">
        <v>7</v>
      </c>
      <c r="J1935" s="10">
        <v>27187.279999999999</v>
      </c>
      <c r="K1935" s="10">
        <f t="shared" si="61"/>
        <v>190310.96</v>
      </c>
      <c r="L1935" s="2">
        <v>0.2</v>
      </c>
      <c r="M1935" s="2" t="s">
        <v>24</v>
      </c>
      <c r="N1935" s="2" t="s">
        <v>87</v>
      </c>
    </row>
    <row r="1936" spans="1:14" x14ac:dyDescent="0.2">
      <c r="A1936" s="13">
        <v>100605</v>
      </c>
      <c r="B1936" s="5">
        <v>45564</v>
      </c>
      <c r="C1936" s="5" t="str">
        <f t="shared" si="60"/>
        <v>Sep</v>
      </c>
      <c r="D1936" s="2" t="s">
        <v>1059</v>
      </c>
      <c r="E1936" s="2" t="s">
        <v>31</v>
      </c>
      <c r="F1936" s="2" t="s">
        <v>32</v>
      </c>
      <c r="G1936" s="2" t="s">
        <v>50</v>
      </c>
      <c r="H1936" s="2" t="s">
        <v>207</v>
      </c>
      <c r="I1936" s="13">
        <v>3</v>
      </c>
      <c r="J1936" s="10">
        <v>3105.32</v>
      </c>
      <c r="K1936" s="10">
        <f t="shared" si="61"/>
        <v>9315.9600000000009</v>
      </c>
      <c r="L1936" s="2">
        <v>0</v>
      </c>
      <c r="M1936" s="2" t="s">
        <v>29</v>
      </c>
      <c r="N1936" s="2" t="s">
        <v>121</v>
      </c>
    </row>
    <row r="1937" spans="1:14" x14ac:dyDescent="0.2">
      <c r="A1937" s="13">
        <v>101469</v>
      </c>
      <c r="B1937" s="5">
        <v>45605</v>
      </c>
      <c r="C1937" s="5" t="str">
        <f t="shared" si="60"/>
        <v>Nov</v>
      </c>
      <c r="D1937" s="2" t="s">
        <v>307</v>
      </c>
      <c r="E1937" s="2" t="s">
        <v>61</v>
      </c>
      <c r="F1937" s="2" t="s">
        <v>119</v>
      </c>
      <c r="G1937" s="2" t="s">
        <v>106</v>
      </c>
      <c r="H1937" s="2" t="s">
        <v>137</v>
      </c>
      <c r="I1937" s="13">
        <v>10</v>
      </c>
      <c r="J1937" s="10">
        <v>2724.23</v>
      </c>
      <c r="K1937" s="10">
        <f t="shared" si="61"/>
        <v>27242.3</v>
      </c>
      <c r="L1937" s="2">
        <v>0.15</v>
      </c>
      <c r="M1937" s="2" t="s">
        <v>17</v>
      </c>
      <c r="N1937" s="2" t="s">
        <v>87</v>
      </c>
    </row>
    <row r="1938" spans="1:14" x14ac:dyDescent="0.2">
      <c r="A1938" s="13">
        <v>101374</v>
      </c>
      <c r="B1938" s="5">
        <v>45500</v>
      </c>
      <c r="C1938" s="5" t="str">
        <f t="shared" si="60"/>
        <v>Jul</v>
      </c>
      <c r="D1938" s="2" t="s">
        <v>256</v>
      </c>
      <c r="E1938" s="2" t="s">
        <v>27</v>
      </c>
      <c r="F1938" s="2" t="s">
        <v>21</v>
      </c>
      <c r="G1938" s="2" t="s">
        <v>22</v>
      </c>
      <c r="H1938" s="2" t="s">
        <v>75</v>
      </c>
      <c r="I1938" s="13">
        <v>5</v>
      </c>
      <c r="J1938" s="10">
        <v>1611.81</v>
      </c>
      <c r="K1938" s="10">
        <f t="shared" si="61"/>
        <v>8059.0499999999993</v>
      </c>
      <c r="L1938" s="2">
        <v>0</v>
      </c>
      <c r="M1938" s="2" t="s">
        <v>17</v>
      </c>
      <c r="N1938" s="2" t="s">
        <v>87</v>
      </c>
    </row>
    <row r="1939" spans="1:14" x14ac:dyDescent="0.2">
      <c r="A1939" s="13">
        <v>101952</v>
      </c>
      <c r="B1939" s="5">
        <v>45515</v>
      </c>
      <c r="C1939" s="5" t="str">
        <f t="shared" si="60"/>
        <v>Aug</v>
      </c>
      <c r="D1939" s="2" t="s">
        <v>513</v>
      </c>
      <c r="E1939" s="2" t="s">
        <v>27</v>
      </c>
      <c r="F1939" s="2" t="s">
        <v>21</v>
      </c>
      <c r="G1939" s="2" t="s">
        <v>50</v>
      </c>
      <c r="H1939" s="2" t="s">
        <v>56</v>
      </c>
      <c r="I1939" s="13">
        <v>12</v>
      </c>
      <c r="J1939" s="10">
        <v>10489.81</v>
      </c>
      <c r="K1939" s="10">
        <f t="shared" si="61"/>
        <v>125877.72</v>
      </c>
      <c r="L1939" s="2">
        <v>0.25</v>
      </c>
      <c r="M1939" s="2" t="s">
        <v>66</v>
      </c>
      <c r="N1939" s="2" t="s">
        <v>87</v>
      </c>
    </row>
    <row r="1940" spans="1:14" x14ac:dyDescent="0.2">
      <c r="A1940" s="13">
        <v>101399</v>
      </c>
      <c r="B1940" s="5">
        <v>45379</v>
      </c>
      <c r="C1940" s="5" t="str">
        <f t="shared" si="60"/>
        <v>Mar</v>
      </c>
      <c r="D1940" s="2" t="s">
        <v>253</v>
      </c>
      <c r="E1940" s="2" t="s">
        <v>140</v>
      </c>
      <c r="F1940" s="2" t="s">
        <v>79</v>
      </c>
      <c r="G1940" s="2" t="s">
        <v>22</v>
      </c>
      <c r="H1940" s="2" t="s">
        <v>75</v>
      </c>
      <c r="I1940" s="13">
        <v>11</v>
      </c>
      <c r="J1940" s="10">
        <v>1235.24</v>
      </c>
      <c r="K1940" s="10">
        <f t="shared" si="61"/>
        <v>13587.64</v>
      </c>
      <c r="L1940" s="2">
        <v>0.25</v>
      </c>
      <c r="M1940" s="2" t="s">
        <v>24</v>
      </c>
      <c r="N1940" s="2" t="s">
        <v>87</v>
      </c>
    </row>
    <row r="1941" spans="1:14" x14ac:dyDescent="0.2">
      <c r="A1941" s="13">
        <v>100401</v>
      </c>
      <c r="B1941" s="5">
        <v>45437</v>
      </c>
      <c r="C1941" s="5" t="str">
        <f t="shared" si="60"/>
        <v>May</v>
      </c>
      <c r="D1941" s="2" t="s">
        <v>139</v>
      </c>
      <c r="E1941" s="2" t="s">
        <v>31</v>
      </c>
      <c r="F1941" s="2" t="s">
        <v>32</v>
      </c>
      <c r="G1941" s="2" t="s">
        <v>50</v>
      </c>
      <c r="H1941" s="2" t="s">
        <v>51</v>
      </c>
      <c r="I1941" s="13">
        <v>7</v>
      </c>
      <c r="J1941" s="10">
        <v>6862.89</v>
      </c>
      <c r="K1941" s="10">
        <f t="shared" si="61"/>
        <v>48040.23</v>
      </c>
      <c r="L1941" s="2">
        <v>0.2</v>
      </c>
      <c r="M1941" s="2" t="s">
        <v>41</v>
      </c>
      <c r="N1941" s="2" t="s">
        <v>143</v>
      </c>
    </row>
    <row r="1942" spans="1:14" x14ac:dyDescent="0.2">
      <c r="A1942" s="13">
        <v>101729</v>
      </c>
      <c r="B1942" s="5">
        <v>45340</v>
      </c>
      <c r="C1942" s="5" t="str">
        <f t="shared" si="60"/>
        <v>Feb</v>
      </c>
      <c r="D1942" s="2" t="s">
        <v>213</v>
      </c>
      <c r="E1942" s="2" t="s">
        <v>31</v>
      </c>
      <c r="F1942" s="2" t="s">
        <v>32</v>
      </c>
      <c r="G1942" s="2" t="s">
        <v>15</v>
      </c>
      <c r="H1942" s="2" t="s">
        <v>205</v>
      </c>
      <c r="I1942" s="13">
        <v>4</v>
      </c>
      <c r="J1942" s="10">
        <v>14767.73</v>
      </c>
      <c r="K1942" s="10">
        <f t="shared" si="61"/>
        <v>59070.92</v>
      </c>
      <c r="L1942" s="2">
        <v>0</v>
      </c>
      <c r="M1942" s="2" t="s">
        <v>83</v>
      </c>
      <c r="N1942" s="2" t="s">
        <v>121</v>
      </c>
    </row>
    <row r="1943" spans="1:14" x14ac:dyDescent="0.2">
      <c r="A1943" s="13">
        <v>100258</v>
      </c>
      <c r="B1943" s="5">
        <v>45529</v>
      </c>
      <c r="C1943" s="5" t="str">
        <f t="shared" si="60"/>
        <v>Aug</v>
      </c>
      <c r="D1943" s="2" t="s">
        <v>176</v>
      </c>
      <c r="E1943" s="2" t="s">
        <v>61</v>
      </c>
      <c r="F1943" s="2" t="s">
        <v>14</v>
      </c>
      <c r="G1943" s="2" t="s">
        <v>33</v>
      </c>
      <c r="H1943" s="2" t="s">
        <v>34</v>
      </c>
      <c r="I1943" s="13">
        <v>6</v>
      </c>
      <c r="J1943" s="10">
        <v>184.75</v>
      </c>
      <c r="K1943" s="10">
        <f t="shared" si="61"/>
        <v>1108.5</v>
      </c>
      <c r="L1943" s="2">
        <v>0.05</v>
      </c>
      <c r="M1943" s="2" t="s">
        <v>41</v>
      </c>
      <c r="N1943" s="2" t="s">
        <v>35</v>
      </c>
    </row>
    <row r="1944" spans="1:14" x14ac:dyDescent="0.2">
      <c r="A1944" s="13">
        <v>100945</v>
      </c>
      <c r="B1944" s="5">
        <v>45637</v>
      </c>
      <c r="C1944" s="5" t="str">
        <f t="shared" si="60"/>
        <v>Dec</v>
      </c>
      <c r="D1944" s="2" t="s">
        <v>331</v>
      </c>
      <c r="E1944" s="2" t="s">
        <v>37</v>
      </c>
      <c r="F1944" s="2" t="s">
        <v>38</v>
      </c>
      <c r="G1944" s="2" t="s">
        <v>45</v>
      </c>
      <c r="H1944" s="2" t="s">
        <v>149</v>
      </c>
      <c r="I1944" s="13">
        <v>7</v>
      </c>
      <c r="J1944" s="10">
        <v>31065.08</v>
      </c>
      <c r="K1944" s="10">
        <f t="shared" si="61"/>
        <v>217455.56</v>
      </c>
      <c r="L1944" s="2">
        <v>0</v>
      </c>
      <c r="M1944" s="2" t="s">
        <v>17</v>
      </c>
      <c r="N1944" s="2" t="s">
        <v>35</v>
      </c>
    </row>
    <row r="1945" spans="1:14" x14ac:dyDescent="0.2">
      <c r="A1945" s="13">
        <v>101876</v>
      </c>
      <c r="B1945" s="5">
        <v>45362</v>
      </c>
      <c r="C1945" s="5" t="str">
        <f t="shared" si="60"/>
        <v>Mar</v>
      </c>
      <c r="D1945" s="2" t="s">
        <v>716</v>
      </c>
      <c r="E1945" s="2" t="s">
        <v>37</v>
      </c>
      <c r="F1945" s="2" t="s">
        <v>38</v>
      </c>
      <c r="G1945" s="2" t="s">
        <v>22</v>
      </c>
      <c r="H1945" s="2" t="s">
        <v>141</v>
      </c>
      <c r="I1945" s="13">
        <v>10</v>
      </c>
      <c r="J1945" s="10">
        <v>2298.85</v>
      </c>
      <c r="K1945" s="10">
        <f t="shared" si="61"/>
        <v>22988.5</v>
      </c>
      <c r="L1945" s="2">
        <v>0.2</v>
      </c>
      <c r="M1945" s="2" t="s">
        <v>66</v>
      </c>
      <c r="N1945" s="2" t="s">
        <v>35</v>
      </c>
    </row>
    <row r="1946" spans="1:14" x14ac:dyDescent="0.2">
      <c r="A1946" s="13">
        <v>101097</v>
      </c>
      <c r="B1946" s="5">
        <v>45319</v>
      </c>
      <c r="C1946" s="5" t="str">
        <f t="shared" si="60"/>
        <v>Jan</v>
      </c>
      <c r="D1946" s="2" t="s">
        <v>732</v>
      </c>
      <c r="E1946" s="2" t="s">
        <v>140</v>
      </c>
      <c r="F1946" s="2" t="s">
        <v>49</v>
      </c>
      <c r="G1946" s="2" t="s">
        <v>50</v>
      </c>
      <c r="H1946" s="2" t="s">
        <v>207</v>
      </c>
      <c r="I1946" s="13">
        <v>4</v>
      </c>
      <c r="J1946" s="10">
        <v>10521.21</v>
      </c>
      <c r="K1946" s="10">
        <f t="shared" si="61"/>
        <v>42084.84</v>
      </c>
      <c r="L1946" s="2">
        <v>0.2</v>
      </c>
      <c r="M1946" s="2" t="s">
        <v>29</v>
      </c>
      <c r="N1946" s="2" t="s">
        <v>87</v>
      </c>
    </row>
    <row r="1947" spans="1:14" x14ac:dyDescent="0.2">
      <c r="A1947" s="13">
        <v>101220</v>
      </c>
      <c r="B1947" s="5">
        <v>45322</v>
      </c>
      <c r="C1947" s="5" t="str">
        <f t="shared" si="60"/>
        <v>Jan</v>
      </c>
      <c r="D1947" s="2" t="s">
        <v>774</v>
      </c>
      <c r="E1947" s="2" t="s">
        <v>61</v>
      </c>
      <c r="F1947" s="2" t="s">
        <v>14</v>
      </c>
      <c r="G1947" s="2" t="s">
        <v>64</v>
      </c>
      <c r="H1947" s="2" t="s">
        <v>114</v>
      </c>
      <c r="I1947" s="13">
        <v>10</v>
      </c>
      <c r="J1947" s="10">
        <v>93.47</v>
      </c>
      <c r="K1947" s="10">
        <f t="shared" si="61"/>
        <v>934.7</v>
      </c>
      <c r="L1947" s="2">
        <v>0.25</v>
      </c>
      <c r="M1947" s="2" t="s">
        <v>83</v>
      </c>
      <c r="N1947" s="2" t="s">
        <v>143</v>
      </c>
    </row>
    <row r="1948" spans="1:14" x14ac:dyDescent="0.2">
      <c r="A1948" s="13">
        <v>101508</v>
      </c>
      <c r="B1948" s="5">
        <v>45582</v>
      </c>
      <c r="C1948" s="5" t="str">
        <f t="shared" si="60"/>
        <v>Oct</v>
      </c>
      <c r="D1948" s="2" t="s">
        <v>229</v>
      </c>
      <c r="E1948" s="2" t="s">
        <v>31</v>
      </c>
      <c r="F1948" s="2" t="s">
        <v>32</v>
      </c>
      <c r="G1948" s="2" t="s">
        <v>50</v>
      </c>
      <c r="H1948" s="2" t="s">
        <v>51</v>
      </c>
      <c r="I1948" s="13">
        <v>9</v>
      </c>
      <c r="J1948" s="10">
        <v>2274.65</v>
      </c>
      <c r="K1948" s="10">
        <f t="shared" si="61"/>
        <v>20471.850000000002</v>
      </c>
      <c r="L1948" s="2">
        <v>0</v>
      </c>
      <c r="M1948" s="2" t="s">
        <v>66</v>
      </c>
      <c r="N1948" s="2" t="s">
        <v>42</v>
      </c>
    </row>
    <row r="1949" spans="1:14" x14ac:dyDescent="0.2">
      <c r="A1949" s="13">
        <v>101880</v>
      </c>
      <c r="B1949" s="5">
        <v>45329</v>
      </c>
      <c r="C1949" s="5" t="str">
        <f t="shared" si="60"/>
        <v>Feb</v>
      </c>
      <c r="D1949" s="2" t="s">
        <v>660</v>
      </c>
      <c r="E1949" s="2" t="s">
        <v>27</v>
      </c>
      <c r="F1949" s="2" t="s">
        <v>133</v>
      </c>
      <c r="G1949" s="2" t="s">
        <v>106</v>
      </c>
      <c r="H1949" s="2" t="s">
        <v>103</v>
      </c>
      <c r="I1949" s="13">
        <v>-2</v>
      </c>
      <c r="J1949" s="10">
        <v>3182.38</v>
      </c>
      <c r="K1949" s="10">
        <f t="shared" si="61"/>
        <v>-6364.76</v>
      </c>
      <c r="L1949" s="2">
        <v>0.05</v>
      </c>
      <c r="M1949" s="2" t="s">
        <v>17</v>
      </c>
      <c r="N1949" s="2" t="s">
        <v>25</v>
      </c>
    </row>
    <row r="1950" spans="1:14" x14ac:dyDescent="0.2">
      <c r="A1950" s="13">
        <v>101162</v>
      </c>
      <c r="B1950" s="5">
        <v>45578</v>
      </c>
      <c r="C1950" s="5" t="str">
        <f t="shared" si="60"/>
        <v>Oct</v>
      </c>
      <c r="D1950" s="2" t="s">
        <v>948</v>
      </c>
      <c r="E1950" s="2" t="s">
        <v>37</v>
      </c>
      <c r="F1950" s="2" t="s">
        <v>69</v>
      </c>
      <c r="G1950" s="2" t="s">
        <v>64</v>
      </c>
      <c r="H1950" s="2" t="s">
        <v>114</v>
      </c>
      <c r="I1950" s="13"/>
      <c r="J1950" s="10">
        <v>558.98</v>
      </c>
      <c r="K1950" s="10">
        <f t="shared" si="61"/>
        <v>0</v>
      </c>
      <c r="L1950" s="2">
        <v>0</v>
      </c>
      <c r="M1950" s="2" t="s">
        <v>83</v>
      </c>
      <c r="N1950" s="2" t="s">
        <v>42</v>
      </c>
    </row>
    <row r="1951" spans="1:14" x14ac:dyDescent="0.2">
      <c r="A1951" s="13">
        <v>100495</v>
      </c>
      <c r="B1951" s="5">
        <v>45339</v>
      </c>
      <c r="C1951" s="5" t="str">
        <f t="shared" si="60"/>
        <v>Feb</v>
      </c>
      <c r="D1951" s="2" t="s">
        <v>150</v>
      </c>
      <c r="E1951" s="2" t="s">
        <v>37</v>
      </c>
      <c r="F1951" s="2" t="s">
        <v>38</v>
      </c>
      <c r="G1951" s="2" t="s">
        <v>45</v>
      </c>
      <c r="H1951" s="2" t="s">
        <v>46</v>
      </c>
      <c r="I1951" s="13">
        <v>2</v>
      </c>
      <c r="J1951" s="10">
        <v>44822.27</v>
      </c>
      <c r="K1951" s="10">
        <f t="shared" si="61"/>
        <v>89644.54</v>
      </c>
      <c r="L1951" s="2">
        <v>0.15</v>
      </c>
      <c r="M1951" s="2" t="s">
        <v>66</v>
      </c>
      <c r="N1951" s="2" t="s">
        <v>52</v>
      </c>
    </row>
    <row r="1952" spans="1:14" x14ac:dyDescent="0.2">
      <c r="A1952" s="13">
        <v>100773</v>
      </c>
      <c r="B1952" s="5">
        <v>45544</v>
      </c>
      <c r="C1952" s="5" t="str">
        <f t="shared" si="60"/>
        <v>Sep</v>
      </c>
      <c r="D1952" s="2" t="s">
        <v>68</v>
      </c>
      <c r="E1952" s="2" t="s">
        <v>27</v>
      </c>
      <c r="F1952" s="2" t="s">
        <v>133</v>
      </c>
      <c r="G1952" s="2" t="s">
        <v>33</v>
      </c>
      <c r="H1952" s="2" t="s">
        <v>158</v>
      </c>
      <c r="I1952" s="13">
        <v>8</v>
      </c>
      <c r="J1952" s="10">
        <v>72.849999999999994</v>
      </c>
      <c r="K1952" s="10">
        <f t="shared" si="61"/>
        <v>582.79999999999995</v>
      </c>
      <c r="L1952" s="2">
        <v>0</v>
      </c>
      <c r="M1952" s="2" t="s">
        <v>29</v>
      </c>
      <c r="N1952" s="2" t="s">
        <v>35</v>
      </c>
    </row>
    <row r="1953" spans="1:14" x14ac:dyDescent="0.2">
      <c r="A1953" s="13">
        <v>100551</v>
      </c>
      <c r="B1953" s="5">
        <v>45396</v>
      </c>
      <c r="C1953" s="5" t="str">
        <f t="shared" si="60"/>
        <v>Apr</v>
      </c>
      <c r="D1953" s="2" t="s">
        <v>901</v>
      </c>
      <c r="E1953" s="2" t="s">
        <v>31</v>
      </c>
      <c r="F1953" s="2" t="s">
        <v>32</v>
      </c>
      <c r="G1953" s="2" t="s">
        <v>45</v>
      </c>
      <c r="H1953" s="2" t="s">
        <v>97</v>
      </c>
      <c r="I1953" s="13">
        <v>1</v>
      </c>
      <c r="J1953" s="10">
        <v>7916.86</v>
      </c>
      <c r="K1953" s="10">
        <f t="shared" si="61"/>
        <v>7916.86</v>
      </c>
      <c r="L1953" s="2">
        <v>0.2</v>
      </c>
      <c r="M1953" s="2" t="s">
        <v>66</v>
      </c>
      <c r="N1953" s="2" t="s">
        <v>87</v>
      </c>
    </row>
    <row r="1954" spans="1:14" x14ac:dyDescent="0.2">
      <c r="A1954" s="13">
        <v>101487</v>
      </c>
      <c r="B1954" s="5">
        <v>45582</v>
      </c>
      <c r="C1954" s="5" t="str">
        <f t="shared" si="60"/>
        <v>Oct</v>
      </c>
      <c r="D1954" s="2" t="s">
        <v>894</v>
      </c>
      <c r="E1954" s="2" t="s">
        <v>61</v>
      </c>
      <c r="F1954" s="2" t="s">
        <v>14</v>
      </c>
      <c r="G1954" s="2" t="s">
        <v>64</v>
      </c>
      <c r="H1954" s="2" t="s">
        <v>114</v>
      </c>
      <c r="I1954" s="13">
        <v>10</v>
      </c>
      <c r="J1954" s="10">
        <v>677.02</v>
      </c>
      <c r="K1954" s="10">
        <f t="shared" si="61"/>
        <v>6770.2</v>
      </c>
      <c r="L1954" s="2">
        <v>0.1</v>
      </c>
      <c r="M1954" s="2" t="s">
        <v>66</v>
      </c>
      <c r="N1954" s="2" t="s">
        <v>42</v>
      </c>
    </row>
    <row r="1955" spans="1:14" x14ac:dyDescent="0.2">
      <c r="A1955" s="13">
        <v>100202</v>
      </c>
      <c r="B1955" s="5">
        <v>45298</v>
      </c>
      <c r="C1955" s="5" t="str">
        <f t="shared" si="60"/>
        <v>Jan</v>
      </c>
      <c r="D1955" s="2" t="s">
        <v>506</v>
      </c>
      <c r="E1955" s="2" t="s">
        <v>31</v>
      </c>
      <c r="F1955" s="2" t="s">
        <v>32</v>
      </c>
      <c r="G1955" s="2" t="s">
        <v>45</v>
      </c>
      <c r="H1955" s="2" t="s">
        <v>46</v>
      </c>
      <c r="I1955" s="13">
        <v>3</v>
      </c>
      <c r="J1955" s="10">
        <v>24237.94</v>
      </c>
      <c r="K1955" s="10">
        <f t="shared" si="61"/>
        <v>72713.819999999992</v>
      </c>
      <c r="L1955" s="2">
        <v>0</v>
      </c>
      <c r="M1955" s="2" t="s">
        <v>66</v>
      </c>
      <c r="N1955" s="2" t="s">
        <v>143</v>
      </c>
    </row>
    <row r="1956" spans="1:14" x14ac:dyDescent="0.2">
      <c r="A1956" s="13">
        <v>100313</v>
      </c>
      <c r="B1956" s="5">
        <v>45422</v>
      </c>
      <c r="C1956" s="5" t="str">
        <f t="shared" si="60"/>
        <v>May</v>
      </c>
      <c r="D1956" s="2" t="s">
        <v>1069</v>
      </c>
      <c r="E1956" s="2" t="s">
        <v>31</v>
      </c>
      <c r="F1956" s="2" t="s">
        <v>54</v>
      </c>
      <c r="G1956" s="2" t="s">
        <v>50</v>
      </c>
      <c r="H1956" s="2" t="s">
        <v>99</v>
      </c>
      <c r="I1956" s="13">
        <v>8</v>
      </c>
      <c r="J1956" s="10">
        <v>6181.67</v>
      </c>
      <c r="K1956" s="10">
        <f t="shared" si="61"/>
        <v>49453.36</v>
      </c>
      <c r="L1956" s="2">
        <v>0.25</v>
      </c>
      <c r="M1956" s="2" t="s">
        <v>41</v>
      </c>
      <c r="N1956" s="2" t="s">
        <v>35</v>
      </c>
    </row>
    <row r="1957" spans="1:14" x14ac:dyDescent="0.2">
      <c r="A1957" s="13">
        <v>100291</v>
      </c>
      <c r="B1957" s="5">
        <v>45374</v>
      </c>
      <c r="C1957" s="5" t="str">
        <f t="shared" si="60"/>
        <v>Mar</v>
      </c>
      <c r="D1957" s="2" t="s">
        <v>612</v>
      </c>
      <c r="E1957" s="2" t="s">
        <v>31</v>
      </c>
      <c r="F1957" s="2" t="s">
        <v>54</v>
      </c>
      <c r="G1957" s="2" t="s">
        <v>106</v>
      </c>
      <c r="H1957" s="2" t="s">
        <v>103</v>
      </c>
      <c r="I1957" s="13">
        <v>8</v>
      </c>
      <c r="J1957" s="10">
        <v>3738.87</v>
      </c>
      <c r="K1957" s="10">
        <f t="shared" si="61"/>
        <v>29910.959999999999</v>
      </c>
      <c r="L1957" s="2">
        <v>0</v>
      </c>
      <c r="M1957" s="2" t="s">
        <v>41</v>
      </c>
      <c r="N1957" s="2" t="s">
        <v>143</v>
      </c>
    </row>
    <row r="1958" spans="1:14" x14ac:dyDescent="0.2">
      <c r="A1958" s="13">
        <v>101985</v>
      </c>
      <c r="B1958" s="5">
        <v>45307</v>
      </c>
      <c r="C1958" s="5" t="str">
        <f t="shared" si="60"/>
        <v>Jan</v>
      </c>
      <c r="D1958" s="2" t="s">
        <v>201</v>
      </c>
      <c r="E1958" s="2" t="s">
        <v>31</v>
      </c>
      <c r="F1958" s="2" t="s">
        <v>54</v>
      </c>
      <c r="G1958" s="2" t="s">
        <v>45</v>
      </c>
      <c r="H1958" s="2" t="s">
        <v>153</v>
      </c>
      <c r="I1958" s="13">
        <v>10</v>
      </c>
      <c r="J1958" s="10">
        <v>41827.9</v>
      </c>
      <c r="K1958" s="10">
        <f t="shared" si="61"/>
        <v>418279</v>
      </c>
      <c r="L1958" s="2">
        <v>0.25</v>
      </c>
      <c r="M1958" s="2" t="s">
        <v>83</v>
      </c>
      <c r="N1958" s="2" t="s">
        <v>25</v>
      </c>
    </row>
    <row r="1959" spans="1:14" x14ac:dyDescent="0.2">
      <c r="A1959" s="13">
        <v>101214</v>
      </c>
      <c r="B1959" s="5">
        <v>45496</v>
      </c>
      <c r="C1959" s="5" t="str">
        <f t="shared" si="60"/>
        <v>Jul</v>
      </c>
      <c r="D1959" s="2" t="s">
        <v>959</v>
      </c>
      <c r="E1959" s="2" t="s">
        <v>140</v>
      </c>
      <c r="F1959" s="2" t="s">
        <v>79</v>
      </c>
      <c r="G1959" s="2" t="s">
        <v>45</v>
      </c>
      <c r="H1959" s="2" t="s">
        <v>149</v>
      </c>
      <c r="I1959" s="13">
        <v>2</v>
      </c>
      <c r="J1959" s="10">
        <v>33302.26</v>
      </c>
      <c r="K1959" s="10">
        <f t="shared" si="61"/>
        <v>66604.52</v>
      </c>
      <c r="L1959" s="2">
        <v>0</v>
      </c>
      <c r="M1959" s="2" t="s">
        <v>83</v>
      </c>
      <c r="N1959" s="2" t="s">
        <v>121</v>
      </c>
    </row>
    <row r="1960" spans="1:14" x14ac:dyDescent="0.2">
      <c r="A1960" s="13">
        <v>100764</v>
      </c>
      <c r="B1960" s="5">
        <v>45497</v>
      </c>
      <c r="C1960" s="5" t="str">
        <f t="shared" si="60"/>
        <v>Jul</v>
      </c>
      <c r="D1960" s="2" t="s">
        <v>249</v>
      </c>
      <c r="E1960" s="2" t="s">
        <v>61</v>
      </c>
      <c r="F1960" s="2" t="s">
        <v>119</v>
      </c>
      <c r="G1960" s="2" t="s">
        <v>22</v>
      </c>
      <c r="H1960" s="2" t="s">
        <v>145</v>
      </c>
      <c r="I1960" s="13">
        <v>9</v>
      </c>
      <c r="J1960" s="10">
        <v>3214.37</v>
      </c>
      <c r="K1960" s="10">
        <f t="shared" si="61"/>
        <v>28929.329999999998</v>
      </c>
      <c r="L1960" s="2">
        <v>0</v>
      </c>
      <c r="M1960" s="2" t="s">
        <v>41</v>
      </c>
      <c r="N1960" s="2" t="s">
        <v>121</v>
      </c>
    </row>
    <row r="1961" spans="1:14" x14ac:dyDescent="0.2">
      <c r="A1961" s="13">
        <v>101137</v>
      </c>
      <c r="B1961" s="5">
        <v>45508</v>
      </c>
      <c r="C1961" s="5" t="str">
        <f t="shared" si="60"/>
        <v>Aug</v>
      </c>
      <c r="D1961" s="2" t="s">
        <v>990</v>
      </c>
      <c r="E1961" s="2" t="s">
        <v>27</v>
      </c>
      <c r="F1961" s="2" t="s">
        <v>133</v>
      </c>
      <c r="G1961" s="2" t="s">
        <v>45</v>
      </c>
      <c r="H1961" s="2" t="s">
        <v>153</v>
      </c>
      <c r="I1961" s="13">
        <v>11</v>
      </c>
      <c r="J1961" s="10">
        <v>11596.66</v>
      </c>
      <c r="K1961" s="10">
        <f t="shared" si="61"/>
        <v>127563.26</v>
      </c>
      <c r="L1961" s="2">
        <v>0</v>
      </c>
      <c r="M1961" s="2" t="s">
        <v>17</v>
      </c>
      <c r="N1961" s="2" t="s">
        <v>52</v>
      </c>
    </row>
    <row r="1962" spans="1:14" x14ac:dyDescent="0.2">
      <c r="A1962" s="13">
        <v>100950</v>
      </c>
      <c r="B1962" s="5">
        <v>45632</v>
      </c>
      <c r="C1962" s="5" t="str">
        <f t="shared" si="60"/>
        <v>Dec</v>
      </c>
      <c r="D1962" s="2" t="s">
        <v>217</v>
      </c>
      <c r="E1962" s="2" t="s">
        <v>140</v>
      </c>
      <c r="F1962" s="2" t="s">
        <v>49</v>
      </c>
      <c r="G1962" s="2" t="s">
        <v>15</v>
      </c>
      <c r="H1962" s="2" t="s">
        <v>205</v>
      </c>
      <c r="I1962" s="13">
        <v>12</v>
      </c>
      <c r="J1962" s="10">
        <v>23769.61</v>
      </c>
      <c r="K1962" s="10">
        <f t="shared" si="61"/>
        <v>285235.32</v>
      </c>
      <c r="L1962" s="2">
        <v>0</v>
      </c>
      <c r="M1962" s="2" t="s">
        <v>66</v>
      </c>
      <c r="N1962" s="2" t="s">
        <v>42</v>
      </c>
    </row>
    <row r="1963" spans="1:14" x14ac:dyDescent="0.2">
      <c r="A1963" s="13">
        <v>100184</v>
      </c>
      <c r="B1963" s="5">
        <v>45470</v>
      </c>
      <c r="C1963" s="5" t="str">
        <f t="shared" si="60"/>
        <v>Jun</v>
      </c>
      <c r="D1963" s="2" t="s">
        <v>108</v>
      </c>
      <c r="E1963" s="2" t="s">
        <v>37</v>
      </c>
      <c r="F1963" s="2" t="s">
        <v>69</v>
      </c>
      <c r="G1963" s="2" t="s">
        <v>33</v>
      </c>
      <c r="H1963" s="2" t="s">
        <v>158</v>
      </c>
      <c r="I1963" s="13">
        <v>9</v>
      </c>
      <c r="J1963" s="10">
        <v>508.45</v>
      </c>
      <c r="K1963" s="10">
        <f t="shared" si="61"/>
        <v>4576.05</v>
      </c>
      <c r="L1963" s="2">
        <v>0</v>
      </c>
      <c r="M1963" s="2" t="s">
        <v>17</v>
      </c>
      <c r="N1963" s="2" t="s">
        <v>52</v>
      </c>
    </row>
    <row r="1964" spans="1:14" x14ac:dyDescent="0.2">
      <c r="A1964" s="13">
        <v>101177</v>
      </c>
      <c r="B1964" s="5">
        <v>45535</v>
      </c>
      <c r="C1964" s="5" t="str">
        <f t="shared" si="60"/>
        <v>Aug</v>
      </c>
      <c r="D1964" s="2" t="s">
        <v>738</v>
      </c>
      <c r="E1964" s="2" t="s">
        <v>140</v>
      </c>
      <c r="F1964" s="2" t="s">
        <v>49</v>
      </c>
      <c r="G1964" s="2" t="s">
        <v>33</v>
      </c>
      <c r="H1964" s="2" t="s">
        <v>158</v>
      </c>
      <c r="I1964" s="13">
        <v>8</v>
      </c>
      <c r="J1964" s="10">
        <v>221.12</v>
      </c>
      <c r="K1964" s="10">
        <f t="shared" si="61"/>
        <v>1768.96</v>
      </c>
      <c r="L1964" s="2">
        <v>0</v>
      </c>
      <c r="M1964" s="2" t="s">
        <v>83</v>
      </c>
      <c r="N1964" s="2" t="s">
        <v>25</v>
      </c>
    </row>
    <row r="1965" spans="1:14" x14ac:dyDescent="0.2">
      <c r="A1965" s="13">
        <v>101849</v>
      </c>
      <c r="B1965" s="5">
        <v>45511</v>
      </c>
      <c r="C1965" s="5" t="str">
        <f t="shared" si="60"/>
        <v>Aug</v>
      </c>
      <c r="D1965" s="2" t="s">
        <v>545</v>
      </c>
      <c r="E1965" s="2" t="s">
        <v>37</v>
      </c>
      <c r="F1965" s="2" t="s">
        <v>69</v>
      </c>
      <c r="G1965" s="2" t="s">
        <v>50</v>
      </c>
      <c r="H1965" s="2" t="s">
        <v>207</v>
      </c>
      <c r="I1965" s="13">
        <v>4</v>
      </c>
      <c r="J1965" s="10">
        <v>10673.11</v>
      </c>
      <c r="K1965" s="10">
        <f t="shared" si="61"/>
        <v>42692.44</v>
      </c>
      <c r="L1965" s="2">
        <v>0.15</v>
      </c>
      <c r="M1965" s="2" t="s">
        <v>24</v>
      </c>
      <c r="N1965" s="2" t="s">
        <v>35</v>
      </c>
    </row>
    <row r="1966" spans="1:14" x14ac:dyDescent="0.2">
      <c r="A1966" s="13">
        <v>101350</v>
      </c>
      <c r="B1966" s="5">
        <v>45642</v>
      </c>
      <c r="C1966" s="5" t="str">
        <f t="shared" si="60"/>
        <v>Dec</v>
      </c>
      <c r="D1966" s="2" t="s">
        <v>493</v>
      </c>
      <c r="E1966" s="2" t="s">
        <v>27</v>
      </c>
      <c r="F1966" s="2" t="s">
        <v>133</v>
      </c>
      <c r="G1966" s="2" t="s">
        <v>106</v>
      </c>
      <c r="H1966" s="2" t="s">
        <v>137</v>
      </c>
      <c r="I1966" s="13">
        <v>10</v>
      </c>
      <c r="J1966" s="10">
        <v>1383.3</v>
      </c>
      <c r="K1966" s="10">
        <f t="shared" si="61"/>
        <v>13833</v>
      </c>
      <c r="L1966" s="2">
        <v>0.1</v>
      </c>
      <c r="M1966" s="2" t="s">
        <v>29</v>
      </c>
      <c r="N1966" s="2" t="s">
        <v>87</v>
      </c>
    </row>
    <row r="1967" spans="1:14" x14ac:dyDescent="0.2">
      <c r="A1967" s="13">
        <v>101728</v>
      </c>
      <c r="B1967" s="5">
        <v>45576</v>
      </c>
      <c r="C1967" s="5" t="str">
        <f t="shared" si="60"/>
        <v>Oct</v>
      </c>
      <c r="D1967" s="2" t="s">
        <v>379</v>
      </c>
      <c r="E1967" s="2" t="s">
        <v>31</v>
      </c>
      <c r="F1967" s="2" t="s">
        <v>54</v>
      </c>
      <c r="G1967" s="2" t="s">
        <v>64</v>
      </c>
      <c r="H1967" s="2" t="s">
        <v>40</v>
      </c>
      <c r="I1967" s="13">
        <v>5</v>
      </c>
      <c r="J1967" s="10">
        <v>816.8</v>
      </c>
      <c r="K1967" s="10">
        <f t="shared" si="61"/>
        <v>4084</v>
      </c>
      <c r="L1967" s="2">
        <v>0</v>
      </c>
      <c r="M1967" s="2" t="s">
        <v>41</v>
      </c>
      <c r="N1967" s="2" t="s">
        <v>35</v>
      </c>
    </row>
    <row r="1968" spans="1:14" x14ac:dyDescent="0.2">
      <c r="A1968" s="13">
        <v>101069</v>
      </c>
      <c r="B1968" s="5">
        <v>45419</v>
      </c>
      <c r="C1968" s="5" t="str">
        <f t="shared" si="60"/>
        <v>May</v>
      </c>
      <c r="D1968" s="2" t="s">
        <v>271</v>
      </c>
      <c r="E1968" s="2" t="s">
        <v>37</v>
      </c>
      <c r="F1968" s="2" t="s">
        <v>38</v>
      </c>
      <c r="G1968" s="2" t="s">
        <v>22</v>
      </c>
      <c r="H1968" s="2" t="s">
        <v>23</v>
      </c>
      <c r="I1968" s="13">
        <v>7</v>
      </c>
      <c r="J1968" s="10">
        <v>2435.61</v>
      </c>
      <c r="K1968" s="10">
        <f t="shared" si="61"/>
        <v>17049.27</v>
      </c>
      <c r="L1968" s="2">
        <v>0.25</v>
      </c>
      <c r="M1968" s="2" t="s">
        <v>66</v>
      </c>
      <c r="N1968" s="2" t="s">
        <v>121</v>
      </c>
    </row>
    <row r="1969" spans="1:14" x14ac:dyDescent="0.2">
      <c r="A1969" s="13">
        <v>101812</v>
      </c>
      <c r="B1969" s="5">
        <v>45494</v>
      </c>
      <c r="C1969" s="5" t="str">
        <f t="shared" si="60"/>
        <v>Jul</v>
      </c>
      <c r="D1969" s="2" t="s">
        <v>786</v>
      </c>
      <c r="E1969" s="2" t="s">
        <v>37</v>
      </c>
      <c r="F1969" s="2" t="s">
        <v>69</v>
      </c>
      <c r="G1969" s="2" t="s">
        <v>45</v>
      </c>
      <c r="H1969" s="2" t="s">
        <v>71</v>
      </c>
      <c r="I1969" s="13">
        <v>8</v>
      </c>
      <c r="J1969" s="10">
        <v>27934.97</v>
      </c>
      <c r="K1969" s="10">
        <f t="shared" si="61"/>
        <v>223479.76</v>
      </c>
      <c r="L1969" s="2">
        <v>0.2</v>
      </c>
      <c r="M1969" s="2" t="s">
        <v>66</v>
      </c>
      <c r="N1969" s="2" t="s">
        <v>87</v>
      </c>
    </row>
    <row r="1970" spans="1:14" x14ac:dyDescent="0.2">
      <c r="A1970" s="13">
        <v>101031</v>
      </c>
      <c r="B1970" s="5">
        <v>45575</v>
      </c>
      <c r="C1970" s="5" t="str">
        <f t="shared" si="60"/>
        <v>Oct</v>
      </c>
      <c r="D1970" s="2" t="s">
        <v>1062</v>
      </c>
      <c r="E1970" s="2" t="s">
        <v>37</v>
      </c>
      <c r="F1970" s="2" t="s">
        <v>38</v>
      </c>
      <c r="G1970" s="2" t="s">
        <v>106</v>
      </c>
      <c r="H1970" s="2" t="s">
        <v>103</v>
      </c>
      <c r="I1970" s="13">
        <v>8</v>
      </c>
      <c r="J1970" s="10">
        <v>4169.3</v>
      </c>
      <c r="K1970" s="10">
        <f t="shared" si="61"/>
        <v>33354.400000000001</v>
      </c>
      <c r="L1970" s="2">
        <v>0.1</v>
      </c>
      <c r="M1970" s="2" t="s">
        <v>29</v>
      </c>
      <c r="N1970" s="2" t="s">
        <v>18</v>
      </c>
    </row>
    <row r="1971" spans="1:14" x14ac:dyDescent="0.2">
      <c r="A1971" s="13">
        <v>100251</v>
      </c>
      <c r="B1971" s="5">
        <v>45446</v>
      </c>
      <c r="C1971" s="5" t="str">
        <f t="shared" si="60"/>
        <v>Jun</v>
      </c>
      <c r="D1971" s="2" t="s">
        <v>342</v>
      </c>
      <c r="E1971" s="2" t="s">
        <v>27</v>
      </c>
      <c r="F1971" s="2" t="s">
        <v>21</v>
      </c>
      <c r="G1971" s="2" t="s">
        <v>15</v>
      </c>
      <c r="H1971" s="2" t="s">
        <v>16</v>
      </c>
      <c r="I1971" s="13">
        <v>8</v>
      </c>
      <c r="J1971" s="10">
        <v>19604.099999999999</v>
      </c>
      <c r="K1971" s="10">
        <f t="shared" si="61"/>
        <v>156832.79999999999</v>
      </c>
      <c r="L1971" s="2">
        <v>0</v>
      </c>
      <c r="M1971" s="2" t="s">
        <v>24</v>
      </c>
      <c r="N1971" s="2" t="s">
        <v>87</v>
      </c>
    </row>
    <row r="1972" spans="1:14" x14ac:dyDescent="0.2">
      <c r="A1972" s="13">
        <v>100824</v>
      </c>
      <c r="B1972" s="5">
        <v>45317</v>
      </c>
      <c r="C1972" s="5" t="str">
        <f t="shared" si="60"/>
        <v>Jan</v>
      </c>
      <c r="D1972" s="2" t="s">
        <v>540</v>
      </c>
      <c r="E1972" s="2" t="s">
        <v>37</v>
      </c>
      <c r="F1972" s="2" t="s">
        <v>38</v>
      </c>
      <c r="G1972" s="2" t="s">
        <v>50</v>
      </c>
      <c r="H1972" s="2" t="s">
        <v>51</v>
      </c>
      <c r="I1972" s="13">
        <v>11</v>
      </c>
      <c r="J1972" s="10">
        <v>10846.26</v>
      </c>
      <c r="K1972" s="10">
        <f t="shared" si="61"/>
        <v>119308.86</v>
      </c>
      <c r="L1972" s="2">
        <v>0</v>
      </c>
      <c r="M1972" s="2" t="s">
        <v>41</v>
      </c>
      <c r="N1972" s="2" t="s">
        <v>18</v>
      </c>
    </row>
    <row r="1973" spans="1:14" x14ac:dyDescent="0.2">
      <c r="A1973" s="13">
        <v>101100</v>
      </c>
      <c r="B1973" s="5">
        <v>45357</v>
      </c>
      <c r="C1973" s="5" t="str">
        <f t="shared" si="60"/>
        <v>Mar</v>
      </c>
      <c r="D1973" s="2" t="s">
        <v>136</v>
      </c>
      <c r="E1973" s="2" t="s">
        <v>37</v>
      </c>
      <c r="F1973" s="2" t="s">
        <v>69</v>
      </c>
      <c r="G1973" s="2" t="s">
        <v>22</v>
      </c>
      <c r="H1973" s="2" t="s">
        <v>145</v>
      </c>
      <c r="I1973" s="13">
        <v>-3</v>
      </c>
      <c r="J1973" s="10">
        <v>2258.3200000000002</v>
      </c>
      <c r="K1973" s="10">
        <f t="shared" si="61"/>
        <v>-6774.9600000000009</v>
      </c>
      <c r="L1973" s="2">
        <v>0.2</v>
      </c>
      <c r="M1973" s="2" t="s">
        <v>66</v>
      </c>
      <c r="N1973" s="2" t="s">
        <v>35</v>
      </c>
    </row>
    <row r="1974" spans="1:14" x14ac:dyDescent="0.2">
      <c r="A1974" s="13">
        <v>101537</v>
      </c>
      <c r="B1974" s="5">
        <v>45634</v>
      </c>
      <c r="C1974" s="5" t="str">
        <f t="shared" si="60"/>
        <v>Dec</v>
      </c>
      <c r="D1974" s="2" t="s">
        <v>159</v>
      </c>
      <c r="E1974" s="2" t="s">
        <v>27</v>
      </c>
      <c r="F1974" s="2" t="s">
        <v>21</v>
      </c>
      <c r="G1974" s="2" t="s">
        <v>64</v>
      </c>
      <c r="H1974" s="2" t="s">
        <v>114</v>
      </c>
      <c r="I1974" s="13"/>
      <c r="J1974" s="10">
        <v>268.39</v>
      </c>
      <c r="K1974" s="10">
        <f t="shared" si="61"/>
        <v>0</v>
      </c>
      <c r="L1974" s="2">
        <v>0.2</v>
      </c>
      <c r="M1974" s="2" t="s">
        <v>29</v>
      </c>
      <c r="N1974" s="2" t="s">
        <v>35</v>
      </c>
    </row>
    <row r="1975" spans="1:14" x14ac:dyDescent="0.2">
      <c r="A1975" s="13">
        <v>100941</v>
      </c>
      <c r="B1975" s="5">
        <v>45622</v>
      </c>
      <c r="C1975" s="5" t="str">
        <f t="shared" si="60"/>
        <v>Nov</v>
      </c>
      <c r="D1975" s="2" t="s">
        <v>197</v>
      </c>
      <c r="E1975" s="2" t="s">
        <v>31</v>
      </c>
      <c r="F1975" s="2" t="s">
        <v>54</v>
      </c>
      <c r="G1975" s="2" t="s">
        <v>64</v>
      </c>
      <c r="H1975" s="2" t="s">
        <v>165</v>
      </c>
      <c r="I1975" s="13">
        <v>-1</v>
      </c>
      <c r="J1975" s="10">
        <v>103.49</v>
      </c>
      <c r="K1975" s="10">
        <f t="shared" si="61"/>
        <v>-103.49</v>
      </c>
      <c r="L1975" s="2">
        <v>0.25</v>
      </c>
      <c r="M1975" s="2" t="s">
        <v>83</v>
      </c>
      <c r="N1975" s="2" t="s">
        <v>87</v>
      </c>
    </row>
    <row r="1976" spans="1:14" x14ac:dyDescent="0.2">
      <c r="A1976" s="13">
        <v>100392</v>
      </c>
      <c r="B1976" s="5">
        <v>45627</v>
      </c>
      <c r="C1976" s="5" t="str">
        <f t="shared" si="60"/>
        <v>Dec</v>
      </c>
      <c r="D1976" s="2" t="s">
        <v>932</v>
      </c>
      <c r="E1976" s="2" t="s">
        <v>140</v>
      </c>
      <c r="F1976" s="2" t="s">
        <v>79</v>
      </c>
      <c r="G1976" s="2" t="s">
        <v>33</v>
      </c>
      <c r="H1976" s="2" t="s">
        <v>81</v>
      </c>
      <c r="I1976" s="13">
        <v>2</v>
      </c>
      <c r="J1976" s="10">
        <v>412.07</v>
      </c>
      <c r="K1976" s="10">
        <f t="shared" si="61"/>
        <v>824.14</v>
      </c>
      <c r="L1976" s="2">
        <v>0.25</v>
      </c>
      <c r="M1976" s="2" t="s">
        <v>41</v>
      </c>
      <c r="N1976" s="2" t="s">
        <v>25</v>
      </c>
    </row>
    <row r="1977" spans="1:14" x14ac:dyDescent="0.2">
      <c r="A1977" s="13">
        <v>101920</v>
      </c>
      <c r="B1977" s="5">
        <v>45467</v>
      </c>
      <c r="C1977" s="5" t="str">
        <f t="shared" si="60"/>
        <v>Jun</v>
      </c>
      <c r="D1977" s="2" t="s">
        <v>377</v>
      </c>
      <c r="E1977" s="2" t="s">
        <v>140</v>
      </c>
      <c r="F1977" s="2" t="s">
        <v>79</v>
      </c>
      <c r="G1977" s="2" t="s">
        <v>15</v>
      </c>
      <c r="H1977" s="2" t="s">
        <v>152</v>
      </c>
      <c r="I1977" s="13">
        <v>9</v>
      </c>
      <c r="J1977" s="10">
        <v>4607.17</v>
      </c>
      <c r="K1977" s="10">
        <f t="shared" si="61"/>
        <v>41464.53</v>
      </c>
      <c r="L1977" s="2">
        <v>0</v>
      </c>
      <c r="M1977" s="2" t="s">
        <v>24</v>
      </c>
      <c r="N1977" s="2" t="s">
        <v>52</v>
      </c>
    </row>
    <row r="1978" spans="1:14" x14ac:dyDescent="0.2">
      <c r="A1978" s="13">
        <v>101457</v>
      </c>
      <c r="B1978" s="5">
        <v>45541</v>
      </c>
      <c r="C1978" s="5" t="str">
        <f t="shared" si="60"/>
        <v>Sep</v>
      </c>
      <c r="D1978" s="2" t="s">
        <v>1059</v>
      </c>
      <c r="E1978" s="2" t="s">
        <v>61</v>
      </c>
      <c r="F1978" s="2" t="s">
        <v>14</v>
      </c>
      <c r="G1978" s="2" t="s">
        <v>33</v>
      </c>
      <c r="H1978" s="2" t="s">
        <v>81</v>
      </c>
      <c r="I1978" s="13">
        <v>9</v>
      </c>
      <c r="J1978" s="10">
        <v>89.43</v>
      </c>
      <c r="K1978" s="10">
        <f t="shared" si="61"/>
        <v>804.87000000000012</v>
      </c>
      <c r="L1978" s="2">
        <v>0.2</v>
      </c>
      <c r="M1978" s="2" t="s">
        <v>83</v>
      </c>
      <c r="N1978" s="2" t="s">
        <v>25</v>
      </c>
    </row>
    <row r="1979" spans="1:14" x14ac:dyDescent="0.2">
      <c r="A1979" s="13">
        <v>101093</v>
      </c>
      <c r="B1979" s="5"/>
      <c r="C1979" s="5" t="str">
        <f t="shared" si="60"/>
        <v>Jan</v>
      </c>
      <c r="D1979" s="2" t="s">
        <v>1069</v>
      </c>
      <c r="E1979" s="2" t="s">
        <v>27</v>
      </c>
      <c r="F1979" s="2" t="s">
        <v>21</v>
      </c>
      <c r="G1979" s="2" t="s">
        <v>50</v>
      </c>
      <c r="H1979" s="2" t="s">
        <v>56</v>
      </c>
      <c r="I1979" s="13">
        <v>4</v>
      </c>
      <c r="J1979" s="10">
        <v>11041.08</v>
      </c>
      <c r="K1979" s="10">
        <f t="shared" si="61"/>
        <v>44164.32</v>
      </c>
      <c r="L1979" s="2">
        <v>0</v>
      </c>
      <c r="M1979" s="2" t="s">
        <v>41</v>
      </c>
      <c r="N1979" s="2" t="s">
        <v>42</v>
      </c>
    </row>
    <row r="1980" spans="1:14" x14ac:dyDescent="0.2">
      <c r="A1980" s="13">
        <v>101192</v>
      </c>
      <c r="B1980" s="5"/>
      <c r="C1980" s="5" t="str">
        <f t="shared" si="60"/>
        <v>Jan</v>
      </c>
      <c r="D1980" s="2" t="s">
        <v>353</v>
      </c>
      <c r="E1980" s="2" t="s">
        <v>27</v>
      </c>
      <c r="F1980" s="2" t="s">
        <v>21</v>
      </c>
      <c r="G1980" s="2" t="s">
        <v>64</v>
      </c>
      <c r="H1980" s="2" t="s">
        <v>165</v>
      </c>
      <c r="I1980" s="13">
        <v>4</v>
      </c>
      <c r="J1980" s="10">
        <v>785.11</v>
      </c>
      <c r="K1980" s="10">
        <f t="shared" si="61"/>
        <v>3140.44</v>
      </c>
      <c r="L1980" s="2">
        <v>0</v>
      </c>
      <c r="M1980" s="2" t="s">
        <v>17</v>
      </c>
      <c r="N1980" s="2" t="s">
        <v>42</v>
      </c>
    </row>
    <row r="1981" spans="1:14" x14ac:dyDescent="0.2">
      <c r="A1981" s="13">
        <v>100905</v>
      </c>
      <c r="B1981" s="5"/>
      <c r="C1981" s="5" t="str">
        <f t="shared" si="60"/>
        <v>Jan</v>
      </c>
      <c r="D1981" s="2" t="s">
        <v>760</v>
      </c>
      <c r="E1981" s="2" t="s">
        <v>31</v>
      </c>
      <c r="F1981" s="2" t="s">
        <v>54</v>
      </c>
      <c r="G1981" s="2" t="s">
        <v>106</v>
      </c>
      <c r="H1981" s="2" t="s">
        <v>103</v>
      </c>
      <c r="I1981" s="13">
        <v>-2</v>
      </c>
      <c r="J1981" s="10">
        <v>0</v>
      </c>
      <c r="K1981" s="10">
        <f t="shared" si="61"/>
        <v>0</v>
      </c>
      <c r="L1981" s="2">
        <v>0.25</v>
      </c>
      <c r="M1981" s="2" t="s">
        <v>24</v>
      </c>
      <c r="N1981" s="2" t="s">
        <v>52</v>
      </c>
    </row>
    <row r="1982" spans="1:14" x14ac:dyDescent="0.2">
      <c r="A1982" s="13">
        <v>100731</v>
      </c>
      <c r="B1982" s="5"/>
      <c r="C1982" s="5" t="str">
        <f t="shared" si="60"/>
        <v>Jan</v>
      </c>
      <c r="D1982" s="2" t="s">
        <v>435</v>
      </c>
      <c r="E1982" s="2" t="s">
        <v>61</v>
      </c>
      <c r="F1982" s="2" t="s">
        <v>119</v>
      </c>
      <c r="G1982" s="2" t="s">
        <v>64</v>
      </c>
      <c r="H1982" s="2" t="s">
        <v>165</v>
      </c>
      <c r="I1982" s="13">
        <v>1</v>
      </c>
      <c r="J1982" s="10">
        <v>169.59</v>
      </c>
      <c r="K1982" s="10">
        <f t="shared" si="61"/>
        <v>169.59</v>
      </c>
      <c r="L1982" s="2">
        <v>0</v>
      </c>
      <c r="M1982" s="2" t="s">
        <v>83</v>
      </c>
      <c r="N1982" s="2" t="s">
        <v>35</v>
      </c>
    </row>
    <row r="1983" spans="1:14" x14ac:dyDescent="0.2">
      <c r="A1983" s="13">
        <v>100555</v>
      </c>
      <c r="B1983" s="5"/>
      <c r="C1983" s="5" t="str">
        <f t="shared" si="60"/>
        <v>Jan</v>
      </c>
      <c r="D1983" s="2" t="s">
        <v>972</v>
      </c>
      <c r="E1983" s="2" t="s">
        <v>31</v>
      </c>
      <c r="F1983" s="2" t="s">
        <v>54</v>
      </c>
      <c r="G1983" s="2" t="s">
        <v>106</v>
      </c>
      <c r="H1983" s="2" t="s">
        <v>135</v>
      </c>
      <c r="I1983" s="13">
        <v>6</v>
      </c>
      <c r="J1983" s="10">
        <v>2755.08</v>
      </c>
      <c r="K1983" s="10">
        <f t="shared" si="61"/>
        <v>16530.48</v>
      </c>
      <c r="L1983" s="2">
        <v>0</v>
      </c>
      <c r="M1983" s="2" t="s">
        <v>17</v>
      </c>
      <c r="N1983" s="2" t="s">
        <v>35</v>
      </c>
    </row>
    <row r="1984" spans="1:14" x14ac:dyDescent="0.2">
      <c r="A1984" s="13">
        <v>100367</v>
      </c>
      <c r="B1984" s="5"/>
      <c r="C1984" s="5" t="str">
        <f t="shared" si="60"/>
        <v>Jan</v>
      </c>
      <c r="D1984" s="2" t="s">
        <v>695</v>
      </c>
      <c r="E1984" s="2" t="s">
        <v>61</v>
      </c>
      <c r="F1984" s="2" t="s">
        <v>14</v>
      </c>
      <c r="G1984" s="2" t="s">
        <v>33</v>
      </c>
      <c r="H1984" s="2" t="s">
        <v>81</v>
      </c>
      <c r="I1984" s="13">
        <v>7</v>
      </c>
      <c r="J1984" s="10">
        <v>584.05999999999995</v>
      </c>
      <c r="K1984" s="10">
        <f t="shared" si="61"/>
        <v>4088.4199999999996</v>
      </c>
      <c r="L1984" s="2">
        <v>0</v>
      </c>
      <c r="M1984" s="2" t="s">
        <v>83</v>
      </c>
      <c r="N1984" s="2" t="s">
        <v>18</v>
      </c>
    </row>
    <row r="1985" spans="1:14" x14ac:dyDescent="0.2">
      <c r="A1985" s="13">
        <v>100346</v>
      </c>
      <c r="B1985" s="5"/>
      <c r="C1985" s="5" t="str">
        <f t="shared" si="60"/>
        <v>Jan</v>
      </c>
      <c r="D1985" s="2" t="s">
        <v>1057</v>
      </c>
      <c r="E1985" s="2" t="s">
        <v>31</v>
      </c>
      <c r="F1985" s="2" t="s">
        <v>54</v>
      </c>
      <c r="G1985" s="2" t="s">
        <v>106</v>
      </c>
      <c r="H1985" s="2" t="s">
        <v>135</v>
      </c>
      <c r="I1985" s="13">
        <v>12</v>
      </c>
      <c r="J1985" s="10">
        <v>2293.3000000000002</v>
      </c>
      <c r="K1985" s="10">
        <f t="shared" si="61"/>
        <v>27519.600000000002</v>
      </c>
      <c r="L1985" s="2">
        <v>0.05</v>
      </c>
      <c r="M1985" s="2" t="s">
        <v>24</v>
      </c>
      <c r="N1985" s="2" t="s">
        <v>121</v>
      </c>
    </row>
    <row r="1986" spans="1:14" x14ac:dyDescent="0.2">
      <c r="A1986" s="13">
        <v>101609</v>
      </c>
      <c r="B1986" s="5"/>
      <c r="C1986" s="5" t="str">
        <f t="shared" ref="C1986:C2049" si="62">TEXT(B1986,"mmm")</f>
        <v>Jan</v>
      </c>
      <c r="D1986" s="2" t="s">
        <v>1069</v>
      </c>
      <c r="E1986" s="2" t="s">
        <v>27</v>
      </c>
      <c r="F1986" s="2" t="s">
        <v>133</v>
      </c>
      <c r="G1986" s="2" t="s">
        <v>45</v>
      </c>
      <c r="H1986" s="2" t="s">
        <v>97</v>
      </c>
      <c r="I1986" s="13">
        <v>6</v>
      </c>
      <c r="J1986" s="10">
        <v>19779.95</v>
      </c>
      <c r="K1986" s="10">
        <f t="shared" ref="K1986:K2049" si="63">I1986*J1986</f>
        <v>118679.70000000001</v>
      </c>
      <c r="L1986" s="2">
        <v>0</v>
      </c>
      <c r="M1986" s="2" t="s">
        <v>66</v>
      </c>
      <c r="N1986" s="2" t="s">
        <v>121</v>
      </c>
    </row>
    <row r="1987" spans="1:14" x14ac:dyDescent="0.2">
      <c r="A1987" s="13">
        <v>100536</v>
      </c>
      <c r="B1987" s="5"/>
      <c r="C1987" s="5" t="str">
        <f t="shared" si="62"/>
        <v>Jan</v>
      </c>
      <c r="D1987" s="2" t="s">
        <v>127</v>
      </c>
      <c r="E1987" s="2" t="s">
        <v>140</v>
      </c>
      <c r="F1987" s="2" t="s">
        <v>79</v>
      </c>
      <c r="G1987" s="2" t="s">
        <v>22</v>
      </c>
      <c r="H1987" s="2" t="s">
        <v>232</v>
      </c>
      <c r="I1987" s="13">
        <v>12</v>
      </c>
      <c r="J1987" s="10">
        <v>3454.17</v>
      </c>
      <c r="K1987" s="10">
        <f t="shared" si="63"/>
        <v>41450.04</v>
      </c>
      <c r="L1987" s="2">
        <v>0.15</v>
      </c>
      <c r="M1987" s="2" t="s">
        <v>66</v>
      </c>
      <c r="N1987" s="2" t="s">
        <v>25</v>
      </c>
    </row>
    <row r="1988" spans="1:14" x14ac:dyDescent="0.2">
      <c r="A1988" s="13">
        <v>101423</v>
      </c>
      <c r="B1988" s="5"/>
      <c r="C1988" s="5" t="str">
        <f t="shared" si="62"/>
        <v>Jan</v>
      </c>
      <c r="D1988" s="2" t="s">
        <v>878</v>
      </c>
      <c r="E1988" s="2" t="s">
        <v>140</v>
      </c>
      <c r="F1988" s="2" t="s">
        <v>79</v>
      </c>
      <c r="G1988" s="2" t="s">
        <v>50</v>
      </c>
      <c r="H1988" s="2" t="s">
        <v>51</v>
      </c>
      <c r="I1988" s="13">
        <v>6</v>
      </c>
      <c r="J1988" s="10">
        <v>8105.09</v>
      </c>
      <c r="K1988" s="10">
        <f t="shared" si="63"/>
        <v>48630.54</v>
      </c>
      <c r="L1988" s="2">
        <v>0</v>
      </c>
      <c r="M1988" s="2" t="s">
        <v>83</v>
      </c>
      <c r="N1988" s="2" t="s">
        <v>143</v>
      </c>
    </row>
    <row r="1989" spans="1:14" x14ac:dyDescent="0.2">
      <c r="A1989" s="13">
        <v>101210</v>
      </c>
      <c r="B1989" s="5"/>
      <c r="C1989" s="5" t="str">
        <f t="shared" si="62"/>
        <v>Jan</v>
      </c>
      <c r="D1989" s="2" t="s">
        <v>900</v>
      </c>
      <c r="E1989" s="2" t="s">
        <v>31</v>
      </c>
      <c r="F1989" s="2" t="s">
        <v>32</v>
      </c>
      <c r="G1989" s="2" t="s">
        <v>106</v>
      </c>
      <c r="H1989" s="2" t="s">
        <v>156</v>
      </c>
      <c r="I1989" s="13">
        <v>12</v>
      </c>
      <c r="J1989" s="10">
        <v>2200.46</v>
      </c>
      <c r="K1989" s="10">
        <f t="shared" si="63"/>
        <v>26405.52</v>
      </c>
      <c r="L1989" s="2">
        <v>0.05</v>
      </c>
      <c r="M1989" s="2" t="s">
        <v>29</v>
      </c>
      <c r="N1989" s="2" t="s">
        <v>143</v>
      </c>
    </row>
    <row r="1990" spans="1:14" x14ac:dyDescent="0.2">
      <c r="A1990" s="13">
        <v>101373</v>
      </c>
      <c r="B1990" s="5"/>
      <c r="C1990" s="5" t="str">
        <f t="shared" si="62"/>
        <v>Jan</v>
      </c>
      <c r="D1990" s="2" t="s">
        <v>577</v>
      </c>
      <c r="E1990" s="2" t="s">
        <v>37</v>
      </c>
      <c r="F1990" s="2" t="s">
        <v>38</v>
      </c>
      <c r="G1990" s="2" t="s">
        <v>50</v>
      </c>
      <c r="H1990" s="2" t="s">
        <v>99</v>
      </c>
      <c r="I1990" s="13">
        <v>9</v>
      </c>
      <c r="J1990" s="10">
        <v>0</v>
      </c>
      <c r="K1990" s="10">
        <f t="shared" si="63"/>
        <v>0</v>
      </c>
      <c r="L1990" s="2">
        <v>0.05</v>
      </c>
      <c r="M1990" s="2" t="s">
        <v>66</v>
      </c>
      <c r="N1990" s="2" t="s">
        <v>25</v>
      </c>
    </row>
    <row r="1991" spans="1:14" x14ac:dyDescent="0.2">
      <c r="A1991" s="13">
        <v>101640</v>
      </c>
      <c r="B1991" s="5"/>
      <c r="C1991" s="5" t="str">
        <f t="shared" si="62"/>
        <v>Jan</v>
      </c>
      <c r="D1991" s="2" t="s">
        <v>396</v>
      </c>
      <c r="E1991" s="2" t="s">
        <v>27</v>
      </c>
      <c r="F1991" s="2" t="s">
        <v>21</v>
      </c>
      <c r="G1991" s="2" t="s">
        <v>22</v>
      </c>
      <c r="H1991" s="2" t="s">
        <v>141</v>
      </c>
      <c r="I1991" s="13">
        <v>1</v>
      </c>
      <c r="J1991" s="10">
        <v>3376.13</v>
      </c>
      <c r="K1991" s="10">
        <f t="shared" si="63"/>
        <v>3376.13</v>
      </c>
      <c r="L1991" s="2">
        <v>0</v>
      </c>
      <c r="M1991" s="2" t="s">
        <v>29</v>
      </c>
      <c r="N1991" s="2" t="s">
        <v>35</v>
      </c>
    </row>
    <row r="1992" spans="1:14" x14ac:dyDescent="0.2">
      <c r="A1992" s="13">
        <v>100920</v>
      </c>
      <c r="B1992" s="5"/>
      <c r="C1992" s="5" t="str">
        <f t="shared" si="62"/>
        <v>Jan</v>
      </c>
      <c r="D1992" s="2" t="s">
        <v>478</v>
      </c>
      <c r="E1992" s="2" t="s">
        <v>31</v>
      </c>
      <c r="F1992" s="2" t="s">
        <v>54</v>
      </c>
      <c r="G1992" s="2" t="s">
        <v>33</v>
      </c>
      <c r="H1992" s="2" t="s">
        <v>93</v>
      </c>
      <c r="I1992" s="13">
        <v>5</v>
      </c>
      <c r="J1992" s="10">
        <v>396.05</v>
      </c>
      <c r="K1992" s="10">
        <f t="shared" si="63"/>
        <v>1980.25</v>
      </c>
      <c r="L1992" s="2">
        <v>0</v>
      </c>
      <c r="M1992" s="2" t="s">
        <v>24</v>
      </c>
      <c r="N1992" s="2" t="s">
        <v>121</v>
      </c>
    </row>
    <row r="1993" spans="1:14" x14ac:dyDescent="0.2">
      <c r="A1993" s="13">
        <v>100212</v>
      </c>
      <c r="B1993" s="5"/>
      <c r="C1993" s="5" t="str">
        <f t="shared" si="62"/>
        <v>Jan</v>
      </c>
      <c r="D1993" s="2" t="s">
        <v>68</v>
      </c>
      <c r="E1993" s="2" t="s">
        <v>61</v>
      </c>
      <c r="F1993" s="2" t="s">
        <v>14</v>
      </c>
      <c r="G1993" s="2" t="s">
        <v>22</v>
      </c>
      <c r="H1993" s="2" t="s">
        <v>141</v>
      </c>
      <c r="I1993" s="13">
        <v>5</v>
      </c>
      <c r="J1993" s="10">
        <v>1926.26</v>
      </c>
      <c r="K1993" s="10">
        <f t="shared" si="63"/>
        <v>9631.2999999999993</v>
      </c>
      <c r="L1993" s="2">
        <v>0.1</v>
      </c>
      <c r="M1993" s="2" t="s">
        <v>66</v>
      </c>
      <c r="N1993" s="2" t="s">
        <v>18</v>
      </c>
    </row>
    <row r="1994" spans="1:14" x14ac:dyDescent="0.2">
      <c r="A1994" s="13">
        <v>101604</v>
      </c>
      <c r="B1994" s="5"/>
      <c r="C1994" s="5" t="str">
        <f t="shared" si="62"/>
        <v>Jan</v>
      </c>
      <c r="D1994" s="2" t="s">
        <v>300</v>
      </c>
      <c r="E1994" s="2" t="s">
        <v>61</v>
      </c>
      <c r="F1994" s="2" t="s">
        <v>119</v>
      </c>
      <c r="G1994" s="2" t="s">
        <v>50</v>
      </c>
      <c r="H1994" s="2" t="s">
        <v>62</v>
      </c>
      <c r="I1994" s="13">
        <v>8</v>
      </c>
      <c r="J1994" s="10">
        <v>1443.44</v>
      </c>
      <c r="K1994" s="10">
        <f t="shared" si="63"/>
        <v>11547.52</v>
      </c>
      <c r="L1994" s="2">
        <v>0</v>
      </c>
      <c r="M1994" s="2" t="s">
        <v>41</v>
      </c>
      <c r="N1994" s="2" t="s">
        <v>87</v>
      </c>
    </row>
    <row r="1995" spans="1:14" x14ac:dyDescent="0.2">
      <c r="A1995" s="13">
        <v>100503</v>
      </c>
      <c r="B1995" s="5"/>
      <c r="C1995" s="5" t="str">
        <f t="shared" si="62"/>
        <v>Jan</v>
      </c>
      <c r="D1995" s="2" t="s">
        <v>884</v>
      </c>
      <c r="E1995" s="2" t="s">
        <v>37</v>
      </c>
      <c r="F1995" s="2" t="s">
        <v>38</v>
      </c>
      <c r="G1995" s="2" t="s">
        <v>15</v>
      </c>
      <c r="H1995" s="2" t="s">
        <v>205</v>
      </c>
      <c r="I1995" s="13">
        <v>12</v>
      </c>
      <c r="J1995" s="10">
        <v>10092.94</v>
      </c>
      <c r="K1995" s="10">
        <f t="shared" si="63"/>
        <v>121115.28</v>
      </c>
      <c r="L1995" s="2">
        <v>0</v>
      </c>
      <c r="M1995" s="2" t="s">
        <v>29</v>
      </c>
      <c r="N1995" s="2" t="s">
        <v>52</v>
      </c>
    </row>
    <row r="1996" spans="1:14" x14ac:dyDescent="0.2">
      <c r="A1996" s="13">
        <v>100538</v>
      </c>
      <c r="B1996" s="5"/>
      <c r="C1996" s="5" t="str">
        <f t="shared" si="62"/>
        <v>Jan</v>
      </c>
      <c r="D1996" s="2" t="s">
        <v>760</v>
      </c>
      <c r="E1996" s="2" t="s">
        <v>140</v>
      </c>
      <c r="F1996" s="2" t="s">
        <v>79</v>
      </c>
      <c r="G1996" s="2" t="s">
        <v>45</v>
      </c>
      <c r="H1996" s="2" t="s">
        <v>46</v>
      </c>
      <c r="I1996" s="13">
        <v>7</v>
      </c>
      <c r="J1996" s="10">
        <v>37669.019999999997</v>
      </c>
      <c r="K1996" s="10">
        <f t="shared" si="63"/>
        <v>263683.13999999996</v>
      </c>
      <c r="L1996" s="2">
        <v>0</v>
      </c>
      <c r="M1996" s="2" t="s">
        <v>24</v>
      </c>
      <c r="N1996" s="2" t="s">
        <v>52</v>
      </c>
    </row>
    <row r="1997" spans="1:14" x14ac:dyDescent="0.2">
      <c r="A1997" s="13">
        <v>101221</v>
      </c>
      <c r="B1997" s="5"/>
      <c r="C1997" s="5" t="str">
        <f t="shared" si="62"/>
        <v>Jan</v>
      </c>
      <c r="D1997" s="2" t="s">
        <v>185</v>
      </c>
      <c r="E1997" s="2" t="s">
        <v>27</v>
      </c>
      <c r="F1997" s="2" t="s">
        <v>21</v>
      </c>
      <c r="G1997" s="2" t="s">
        <v>45</v>
      </c>
      <c r="H1997" s="2" t="s">
        <v>46</v>
      </c>
      <c r="I1997" s="13">
        <v>1</v>
      </c>
      <c r="J1997" s="10">
        <v>16076.09</v>
      </c>
      <c r="K1997" s="10">
        <f t="shared" si="63"/>
        <v>16076.09</v>
      </c>
      <c r="L1997" s="2">
        <v>0</v>
      </c>
      <c r="M1997" s="2" t="s">
        <v>17</v>
      </c>
      <c r="N1997" s="2" t="s">
        <v>18</v>
      </c>
    </row>
    <row r="1998" spans="1:14" x14ac:dyDescent="0.2">
      <c r="A1998" s="13">
        <v>100176</v>
      </c>
      <c r="B1998" s="5"/>
      <c r="C1998" s="5" t="str">
        <f t="shared" si="62"/>
        <v>Jan</v>
      </c>
      <c r="D1998" s="2" t="s">
        <v>147</v>
      </c>
      <c r="E1998" s="2" t="s">
        <v>140</v>
      </c>
      <c r="F1998" s="2" t="s">
        <v>49</v>
      </c>
      <c r="G1998" s="2" t="s">
        <v>50</v>
      </c>
      <c r="H1998" s="2" t="s">
        <v>56</v>
      </c>
      <c r="I1998" s="13">
        <v>11</v>
      </c>
      <c r="J1998" s="10">
        <v>7685.69</v>
      </c>
      <c r="K1998" s="10">
        <f t="shared" si="63"/>
        <v>84542.59</v>
      </c>
      <c r="L1998" s="2">
        <v>0</v>
      </c>
      <c r="M1998" s="2" t="s">
        <v>29</v>
      </c>
      <c r="N1998" s="2" t="s">
        <v>18</v>
      </c>
    </row>
    <row r="1999" spans="1:14" x14ac:dyDescent="0.2">
      <c r="A1999"/>
      <c r="B1999"/>
      <c r="C1999"/>
      <c r="I1999"/>
      <c r="J1999"/>
      <c r="K1999"/>
    </row>
    <row r="2000" spans="1:14" x14ac:dyDescent="0.2">
      <c r="A2000"/>
      <c r="B2000"/>
      <c r="C2000"/>
      <c r="I2000"/>
      <c r="J2000"/>
      <c r="K2000"/>
    </row>
    <row r="2001" customFormat="1" x14ac:dyDescent="0.2"/>
    <row r="2002" customFormat="1" x14ac:dyDescent="0.2"/>
    <row r="2003" customFormat="1" x14ac:dyDescent="0.2"/>
    <row r="2004" customFormat="1" x14ac:dyDescent="0.2"/>
    <row r="2005" customFormat="1" x14ac:dyDescent="0.2"/>
    <row r="2006" customFormat="1" x14ac:dyDescent="0.2"/>
    <row r="2007" customFormat="1" x14ac:dyDescent="0.2"/>
    <row r="2008" customFormat="1" x14ac:dyDescent="0.2"/>
    <row r="2009" customFormat="1" x14ac:dyDescent="0.2"/>
    <row r="2010" customFormat="1" x14ac:dyDescent="0.2"/>
    <row r="2011" customFormat="1" x14ac:dyDescent="0.2"/>
    <row r="2012" customFormat="1" x14ac:dyDescent="0.2"/>
    <row r="2013" customFormat="1" x14ac:dyDescent="0.2"/>
    <row r="2014" customFormat="1" x14ac:dyDescent="0.2"/>
    <row r="2015" customFormat="1" x14ac:dyDescent="0.2"/>
    <row r="2016" customFormat="1" x14ac:dyDescent="0.2"/>
    <row r="2017" customFormat="1" x14ac:dyDescent="0.2"/>
    <row r="2018" customFormat="1" x14ac:dyDescent="0.2"/>
    <row r="2019" customFormat="1" x14ac:dyDescent="0.2"/>
    <row r="2020" customFormat="1" x14ac:dyDescent="0.2"/>
    <row r="2021" customFormat="1" x14ac:dyDescent="0.2"/>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838C-4DE9-46DD-AD5E-126CFBBFD657}">
  <dimension ref="A1:C13"/>
  <sheetViews>
    <sheetView workbookViewId="0">
      <selection activeCell="H8" sqref="H8"/>
    </sheetView>
  </sheetViews>
  <sheetFormatPr baseColWidth="10" defaultColWidth="8.83203125" defaultRowHeight="15" x14ac:dyDescent="0.2"/>
  <cols>
    <col min="1" max="1" width="10" bestFit="1" customWidth="1"/>
    <col min="2" max="2" width="14.83203125" bestFit="1" customWidth="1"/>
    <col min="3" max="3" width="15" bestFit="1" customWidth="1"/>
    <col min="4" max="4" width="19.83203125" bestFit="1" customWidth="1"/>
    <col min="5" max="5" width="16.5" bestFit="1" customWidth="1"/>
    <col min="6" max="6" width="19.83203125" bestFit="1" customWidth="1"/>
    <col min="7" max="7" width="16.5" bestFit="1" customWidth="1"/>
    <col min="8" max="8" width="19.83203125" bestFit="1" customWidth="1"/>
    <col min="9" max="9" width="16.5" bestFit="1" customWidth="1"/>
    <col min="10" max="10" width="19.83203125" bestFit="1" customWidth="1"/>
    <col min="11" max="11" width="16.5" bestFit="1" customWidth="1"/>
    <col min="12" max="12" width="19.83203125" bestFit="1" customWidth="1"/>
    <col min="13" max="13" width="16.5" bestFit="1" customWidth="1"/>
    <col min="14" max="14" width="19.83203125" bestFit="1" customWidth="1"/>
    <col min="15" max="15" width="16.5" bestFit="1" customWidth="1"/>
    <col min="16" max="16" width="19.83203125" bestFit="1" customWidth="1"/>
    <col min="17" max="17" width="16.5" bestFit="1" customWidth="1"/>
    <col min="18" max="18" width="24.83203125" bestFit="1" customWidth="1"/>
    <col min="19" max="19" width="21.5" bestFit="1" customWidth="1"/>
    <col min="20" max="20" width="12.83203125" bestFit="1" customWidth="1"/>
    <col min="21" max="21" width="10.1640625" bestFit="1" customWidth="1"/>
    <col min="22" max="25" width="11.1640625" bestFit="1" customWidth="1"/>
    <col min="26" max="26" width="10.1640625" bestFit="1" customWidth="1"/>
    <col min="27" max="27" width="11.1640625" bestFit="1" customWidth="1"/>
    <col min="28" max="28" width="16" bestFit="1" customWidth="1"/>
    <col min="29" max="29" width="11.33203125" bestFit="1" customWidth="1"/>
    <col min="30" max="34" width="10.1640625" bestFit="1" customWidth="1"/>
    <col min="35" max="35" width="9" bestFit="1" customWidth="1"/>
    <col min="36" max="36" width="10.1640625" bestFit="1" customWidth="1"/>
    <col min="37" max="37" width="14.5" bestFit="1" customWidth="1"/>
    <col min="38" max="38" width="11.6640625" bestFit="1" customWidth="1"/>
    <col min="39" max="45" width="10.1640625" bestFit="1" customWidth="1"/>
    <col min="46" max="46" width="14.83203125" bestFit="1" customWidth="1"/>
    <col min="47" max="52" width="11.1640625" bestFit="1" customWidth="1"/>
    <col min="53" max="53" width="10.1640625" bestFit="1" customWidth="1"/>
    <col min="54" max="54" width="11.1640625" bestFit="1" customWidth="1"/>
    <col min="55" max="55" width="14.1640625" bestFit="1" customWidth="1"/>
    <col min="56" max="56" width="11.1640625" bestFit="1" customWidth="1"/>
    <col min="57" max="59" width="9" bestFit="1" customWidth="1"/>
    <col min="60" max="61" width="10.1640625" bestFit="1" customWidth="1"/>
    <col min="62" max="62" width="9" bestFit="1" customWidth="1"/>
    <col min="63" max="63" width="10.1640625" bestFit="1" customWidth="1"/>
    <col min="64" max="64" width="14.5" bestFit="1" customWidth="1"/>
    <col min="65" max="65" width="18.1640625" bestFit="1" customWidth="1"/>
    <col min="66" max="66" width="10.1640625" bestFit="1" customWidth="1"/>
    <col min="67" max="67" width="11.1640625" bestFit="1" customWidth="1"/>
    <col min="68" max="68" width="10.1640625" bestFit="1" customWidth="1"/>
    <col min="69" max="70" width="11.1640625" bestFit="1" customWidth="1"/>
    <col min="71" max="71" width="10.1640625" bestFit="1" customWidth="1"/>
    <col min="72" max="72" width="11.1640625" bestFit="1" customWidth="1"/>
    <col min="73" max="73" width="21.5" bestFit="1" customWidth="1"/>
    <col min="74" max="74" width="12" bestFit="1" customWidth="1"/>
    <col min="75" max="77" width="9" bestFit="1" customWidth="1"/>
    <col min="78" max="78" width="10.1640625" bestFit="1" customWidth="1"/>
    <col min="79" max="81" width="9" bestFit="1" customWidth="1"/>
    <col min="82" max="82" width="15.1640625" bestFit="1" customWidth="1"/>
    <col min="83" max="83" width="12.33203125" bestFit="1" customWidth="1"/>
    <col min="84" max="1998" width="7.5" bestFit="1" customWidth="1"/>
    <col min="1999" max="1999" width="11.5" bestFit="1" customWidth="1"/>
  </cols>
  <sheetData>
    <row r="1" spans="1:3" x14ac:dyDescent="0.2">
      <c r="A1" s="15" t="s">
        <v>1067</v>
      </c>
      <c r="B1" t="s">
        <v>1112</v>
      </c>
      <c r="C1" t="s">
        <v>1113</v>
      </c>
    </row>
    <row r="2" spans="1:3" x14ac:dyDescent="0.2">
      <c r="A2" t="s">
        <v>1114</v>
      </c>
      <c r="B2" s="11">
        <v>8501690.2699999996</v>
      </c>
      <c r="C2">
        <v>191</v>
      </c>
    </row>
    <row r="3" spans="1:3" x14ac:dyDescent="0.2">
      <c r="A3" t="s">
        <v>1115</v>
      </c>
      <c r="B3" s="11">
        <v>5073626.5099999979</v>
      </c>
      <c r="C3">
        <v>153</v>
      </c>
    </row>
    <row r="4" spans="1:3" x14ac:dyDescent="0.2">
      <c r="A4" t="s">
        <v>1116</v>
      </c>
      <c r="B4" s="11">
        <v>7460663.8600000003</v>
      </c>
      <c r="C4">
        <v>159</v>
      </c>
    </row>
    <row r="5" spans="1:3" x14ac:dyDescent="0.2">
      <c r="A5" t="s">
        <v>1117</v>
      </c>
      <c r="B5" s="11">
        <v>7023643.5099999979</v>
      </c>
      <c r="C5">
        <v>165</v>
      </c>
    </row>
    <row r="6" spans="1:3" x14ac:dyDescent="0.2">
      <c r="A6" t="s">
        <v>1118</v>
      </c>
      <c r="B6" s="11">
        <v>7771967.100000008</v>
      </c>
      <c r="C6">
        <v>158</v>
      </c>
    </row>
    <row r="7" spans="1:3" x14ac:dyDescent="0.2">
      <c r="A7" t="s">
        <v>1119</v>
      </c>
      <c r="B7" s="11">
        <v>6381752.3899999987</v>
      </c>
      <c r="C7">
        <v>164</v>
      </c>
    </row>
    <row r="8" spans="1:3" x14ac:dyDescent="0.2">
      <c r="A8" t="s">
        <v>1120</v>
      </c>
      <c r="B8" s="11">
        <v>8223835.8799999971</v>
      </c>
      <c r="C8">
        <v>191</v>
      </c>
    </row>
    <row r="9" spans="1:3" x14ac:dyDescent="0.2">
      <c r="A9" t="s">
        <v>1121</v>
      </c>
      <c r="B9" s="11">
        <v>8028783.2800000003</v>
      </c>
      <c r="C9">
        <v>179</v>
      </c>
    </row>
    <row r="10" spans="1:3" x14ac:dyDescent="0.2">
      <c r="A10" t="s">
        <v>1122</v>
      </c>
      <c r="B10" s="11">
        <v>6717949.6100000022</v>
      </c>
      <c r="C10">
        <v>154</v>
      </c>
    </row>
    <row r="11" spans="1:3" x14ac:dyDescent="0.2">
      <c r="A11" t="s">
        <v>1123</v>
      </c>
      <c r="B11" s="11">
        <v>6673598.3200000003</v>
      </c>
      <c r="C11">
        <v>167</v>
      </c>
    </row>
    <row r="12" spans="1:3" x14ac:dyDescent="0.2">
      <c r="A12" t="s">
        <v>1124</v>
      </c>
      <c r="B12" s="11">
        <v>7070844.9699999997</v>
      </c>
      <c r="C12">
        <v>135</v>
      </c>
    </row>
    <row r="13" spans="1:3" x14ac:dyDescent="0.2">
      <c r="A13" t="s">
        <v>1125</v>
      </c>
      <c r="B13" s="11">
        <v>8842014.1299999971</v>
      </c>
      <c r="C13">
        <v>181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49CE-9993-4F16-9BCF-6B6C19CFF0C7}">
  <dimension ref="A1:B7"/>
  <sheetViews>
    <sheetView workbookViewId="0">
      <selection activeCell="B4" sqref="B4"/>
    </sheetView>
  </sheetViews>
  <sheetFormatPr baseColWidth="10" defaultColWidth="8.83203125" defaultRowHeight="15" x14ac:dyDescent="0.2"/>
  <cols>
    <col min="1" max="1" width="11.5" bestFit="1" customWidth="1"/>
    <col min="2" max="2" width="19.83203125" bestFit="1" customWidth="1"/>
  </cols>
  <sheetData>
    <row r="1" spans="1:2" x14ac:dyDescent="0.2">
      <c r="A1" s="15" t="s">
        <v>3</v>
      </c>
      <c r="B1" t="s">
        <v>1126</v>
      </c>
    </row>
    <row r="2" spans="1:2" x14ac:dyDescent="0.2">
      <c r="A2" t="s">
        <v>61</v>
      </c>
      <c r="B2" s="11">
        <v>17430172.349999998</v>
      </c>
    </row>
    <row r="3" spans="1:2" x14ac:dyDescent="0.2">
      <c r="A3" t="s">
        <v>37</v>
      </c>
      <c r="B3" s="11">
        <v>17140423.839999996</v>
      </c>
    </row>
    <row r="4" spans="1:2" x14ac:dyDescent="0.2">
      <c r="A4" t="s">
        <v>140</v>
      </c>
      <c r="B4" s="11">
        <v>19240163.229999993</v>
      </c>
    </row>
    <row r="5" spans="1:2" x14ac:dyDescent="0.2">
      <c r="A5" t="s">
        <v>27</v>
      </c>
      <c r="B5" s="11">
        <v>15724302.179999998</v>
      </c>
    </row>
    <row r="6" spans="1:2" x14ac:dyDescent="0.2">
      <c r="A6" t="s">
        <v>31</v>
      </c>
      <c r="B6" s="11">
        <v>18235308.230000012</v>
      </c>
    </row>
    <row r="7" spans="1:2" x14ac:dyDescent="0.2">
      <c r="A7" t="s">
        <v>1127</v>
      </c>
      <c r="B7" s="11">
        <v>87770369.829999983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E95F-6342-414B-977C-EFD1C3C511E5}">
  <dimension ref="A3:B10"/>
  <sheetViews>
    <sheetView workbookViewId="0">
      <selection activeCell="L18" sqref="L18"/>
    </sheetView>
  </sheetViews>
  <sheetFormatPr baseColWidth="10" defaultColWidth="8.83203125" defaultRowHeight="15" x14ac:dyDescent="0.2"/>
  <cols>
    <col min="1" max="1" width="19.5" bestFit="1" customWidth="1"/>
    <col min="2" max="2" width="19.83203125" bestFit="1" customWidth="1"/>
  </cols>
  <sheetData>
    <row r="3" spans="1:2" x14ac:dyDescent="0.2">
      <c r="A3" s="15" t="s">
        <v>10</v>
      </c>
      <c r="B3" t="s">
        <v>1126</v>
      </c>
    </row>
    <row r="4" spans="1:2" x14ac:dyDescent="0.2">
      <c r="A4" t="s">
        <v>24</v>
      </c>
      <c r="B4" s="11">
        <v>13593754.559999995</v>
      </c>
    </row>
    <row r="5" spans="1:2" x14ac:dyDescent="0.2">
      <c r="A5" t="s">
        <v>41</v>
      </c>
      <c r="B5" s="11">
        <v>14890409.48</v>
      </c>
    </row>
    <row r="6" spans="1:2" x14ac:dyDescent="0.2">
      <c r="A6" t="s">
        <v>17</v>
      </c>
      <c r="B6" s="11">
        <v>14966970.880000005</v>
      </c>
    </row>
    <row r="7" spans="1:2" x14ac:dyDescent="0.2">
      <c r="A7" t="s">
        <v>29</v>
      </c>
      <c r="B7" s="11">
        <v>14039768.549999995</v>
      </c>
    </row>
    <row r="8" spans="1:2" x14ac:dyDescent="0.2">
      <c r="A8" t="s">
        <v>66</v>
      </c>
      <c r="B8" s="11">
        <v>16336190.28999999</v>
      </c>
    </row>
    <row r="9" spans="1:2" x14ac:dyDescent="0.2">
      <c r="A9" t="s">
        <v>83</v>
      </c>
      <c r="B9" s="11">
        <v>13943276.069999995</v>
      </c>
    </row>
    <row r="10" spans="1:2" x14ac:dyDescent="0.2">
      <c r="A10" t="s">
        <v>1127</v>
      </c>
      <c r="B10" s="11">
        <v>87770369.829999983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70C8-787C-4970-8581-E07E3E5E862D}">
  <dimension ref="A3:B9"/>
  <sheetViews>
    <sheetView topLeftCell="B1" workbookViewId="0">
      <selection activeCell="L10" sqref="L10"/>
    </sheetView>
  </sheetViews>
  <sheetFormatPr baseColWidth="10" defaultColWidth="8.83203125" defaultRowHeight="15" x14ac:dyDescent="0.2"/>
  <cols>
    <col min="1" max="1" width="16" bestFit="1" customWidth="1"/>
    <col min="2" max="2" width="19.83203125" bestFit="1" customWidth="1"/>
    <col min="3" max="3" width="16.33203125" bestFit="1" customWidth="1"/>
    <col min="4" max="4" width="12.83203125" bestFit="1" customWidth="1"/>
    <col min="5" max="5" width="13.5" bestFit="1" customWidth="1"/>
    <col min="6" max="6" width="12.5" bestFit="1" customWidth="1"/>
    <col min="7" max="7" width="12.33203125" bestFit="1" customWidth="1"/>
  </cols>
  <sheetData>
    <row r="3" spans="1:2" x14ac:dyDescent="0.2">
      <c r="A3" s="15" t="s">
        <v>4</v>
      </c>
      <c r="B3" t="s">
        <v>1126</v>
      </c>
    </row>
    <row r="4" spans="1:2" x14ac:dyDescent="0.2">
      <c r="A4" t="s">
        <v>21</v>
      </c>
      <c r="B4" s="11">
        <v>8684943.4500000048</v>
      </c>
    </row>
    <row r="5" spans="1:2" x14ac:dyDescent="0.2">
      <c r="A5" t="s">
        <v>49</v>
      </c>
      <c r="B5" s="11">
        <v>10815791.630000001</v>
      </c>
    </row>
    <row r="6" spans="1:2" x14ac:dyDescent="0.2">
      <c r="A6" t="s">
        <v>38</v>
      </c>
      <c r="B6" s="11">
        <v>9007107.8399999961</v>
      </c>
    </row>
    <row r="7" spans="1:2" x14ac:dyDescent="0.2">
      <c r="A7" t="s">
        <v>32</v>
      </c>
      <c r="B7" s="11">
        <v>9828603.479999993</v>
      </c>
    </row>
    <row r="8" spans="1:2" x14ac:dyDescent="0.2">
      <c r="A8" t="s">
        <v>119</v>
      </c>
      <c r="B8" s="11">
        <v>9542887.290000001</v>
      </c>
    </row>
    <row r="9" spans="1:2" x14ac:dyDescent="0.2">
      <c r="A9" t="s">
        <v>1127</v>
      </c>
      <c r="B9" s="11">
        <v>47879333.68999999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74DA-5A00-4922-B532-8E29B6AA7548}">
  <dimension ref="A3:B11"/>
  <sheetViews>
    <sheetView workbookViewId="0">
      <selection activeCell="M10" sqref="M10"/>
    </sheetView>
  </sheetViews>
  <sheetFormatPr baseColWidth="10" defaultColWidth="8.83203125" defaultRowHeight="15" x14ac:dyDescent="0.2"/>
  <cols>
    <col min="1" max="1" width="19.5" bestFit="1" customWidth="1"/>
    <col min="2" max="2" width="15.5" bestFit="1" customWidth="1"/>
  </cols>
  <sheetData>
    <row r="3" spans="1:2" x14ac:dyDescent="0.2">
      <c r="A3" s="15" t="s">
        <v>5</v>
      </c>
      <c r="B3" t="s">
        <v>1128</v>
      </c>
    </row>
    <row r="4" spans="1:2" x14ac:dyDescent="0.2">
      <c r="A4" t="s">
        <v>22</v>
      </c>
      <c r="B4">
        <v>1678</v>
      </c>
    </row>
    <row r="5" spans="1:2" x14ac:dyDescent="0.2">
      <c r="A5" t="s">
        <v>45</v>
      </c>
      <c r="B5">
        <v>1856</v>
      </c>
    </row>
    <row r="6" spans="1:2" x14ac:dyDescent="0.2">
      <c r="A6" t="s">
        <v>106</v>
      </c>
      <c r="B6">
        <v>1622</v>
      </c>
    </row>
    <row r="7" spans="1:2" x14ac:dyDescent="0.2">
      <c r="A7" t="s">
        <v>15</v>
      </c>
      <c r="B7">
        <v>1808</v>
      </c>
    </row>
    <row r="8" spans="1:2" x14ac:dyDescent="0.2">
      <c r="A8" t="s">
        <v>64</v>
      </c>
      <c r="B8">
        <v>1718</v>
      </c>
    </row>
    <row r="9" spans="1:2" x14ac:dyDescent="0.2">
      <c r="A9" t="s">
        <v>50</v>
      </c>
      <c r="B9">
        <v>1870</v>
      </c>
    </row>
    <row r="10" spans="1:2" x14ac:dyDescent="0.2">
      <c r="A10" t="s">
        <v>33</v>
      </c>
      <c r="B10">
        <v>1775</v>
      </c>
    </row>
    <row r="11" spans="1:2" x14ac:dyDescent="0.2">
      <c r="A11" t="s">
        <v>1127</v>
      </c>
      <c r="B11">
        <v>12327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45BA8-54A3-4E36-A14E-BA17961E7DBC}">
  <dimension ref="A1:T34"/>
  <sheetViews>
    <sheetView tabSelected="1" workbookViewId="0">
      <selection activeCell="K18" sqref="K18"/>
    </sheetView>
  </sheetViews>
  <sheetFormatPr baseColWidth="10" defaultColWidth="9.1640625" defaultRowHeight="15" x14ac:dyDescent="0.2"/>
  <cols>
    <col min="1" max="1" width="28.6640625" customWidth="1"/>
    <col min="2" max="20" width="8.83203125" customWidth="1"/>
    <col min="21" max="21" width="9.1640625" customWidth="1"/>
  </cols>
  <sheetData>
    <row r="1" spans="1:20" ht="25.5" customHeight="1" x14ac:dyDescent="0.2">
      <c r="A1" s="24" t="s">
        <v>1129</v>
      </c>
      <c r="B1" s="24"/>
      <c r="C1" s="24"/>
      <c r="D1" s="24"/>
      <c r="E1" s="24"/>
      <c r="F1" s="24"/>
      <c r="G1" s="24"/>
      <c r="H1" s="24"/>
      <c r="I1" s="24"/>
      <c r="J1" s="24"/>
      <c r="K1" s="24"/>
      <c r="L1" s="24"/>
      <c r="M1" s="24"/>
      <c r="N1" s="24"/>
      <c r="O1" s="24"/>
      <c r="P1" s="24"/>
      <c r="Q1" s="24"/>
      <c r="R1" s="24"/>
      <c r="S1" s="24"/>
      <c r="T1" s="24"/>
    </row>
    <row r="2" spans="1:20" x14ac:dyDescent="0.2">
      <c r="A2" s="16"/>
      <c r="B2" s="16"/>
      <c r="C2" s="16"/>
      <c r="D2" s="16"/>
      <c r="E2" s="16"/>
      <c r="F2" s="16"/>
      <c r="G2" s="16"/>
      <c r="H2" s="16"/>
      <c r="I2" s="16"/>
      <c r="J2" s="16"/>
      <c r="K2" s="16"/>
      <c r="L2" s="16"/>
      <c r="M2" s="16"/>
      <c r="N2" s="16"/>
      <c r="O2" s="16"/>
      <c r="P2" s="16"/>
      <c r="Q2" s="16"/>
      <c r="R2" s="16"/>
      <c r="S2" s="16"/>
      <c r="T2" s="16"/>
    </row>
    <row r="3" spans="1:20" x14ac:dyDescent="0.2">
      <c r="A3" s="16"/>
      <c r="B3" s="16"/>
      <c r="C3" s="16"/>
      <c r="D3" s="16"/>
      <c r="E3" s="16"/>
      <c r="F3" s="16"/>
      <c r="G3" s="16"/>
      <c r="H3" s="16"/>
      <c r="I3" s="16"/>
      <c r="J3" s="16"/>
      <c r="K3" s="16"/>
      <c r="L3" s="16"/>
      <c r="M3" s="16"/>
      <c r="N3" s="16"/>
      <c r="O3" s="16"/>
      <c r="P3" s="16"/>
      <c r="Q3" s="16"/>
      <c r="R3" s="16"/>
      <c r="S3" s="16"/>
      <c r="T3" s="16"/>
    </row>
    <row r="4" spans="1:20" x14ac:dyDescent="0.2">
      <c r="A4" s="16"/>
      <c r="B4" s="16"/>
      <c r="C4" s="16"/>
      <c r="D4" s="16"/>
      <c r="E4" s="16"/>
      <c r="F4" s="16"/>
      <c r="G4" s="16"/>
      <c r="H4" s="16"/>
      <c r="I4" s="16"/>
      <c r="J4" s="16"/>
      <c r="K4" s="16"/>
      <c r="L4" s="16"/>
      <c r="M4" s="16"/>
      <c r="N4" s="16"/>
      <c r="O4" s="16"/>
      <c r="P4" s="16"/>
      <c r="Q4" s="16"/>
      <c r="R4" s="16"/>
      <c r="S4" s="16"/>
      <c r="T4" s="16"/>
    </row>
    <row r="5" spans="1:20" x14ac:dyDescent="0.2">
      <c r="A5" s="16"/>
      <c r="B5" s="16"/>
      <c r="C5" s="16"/>
      <c r="D5" s="16"/>
      <c r="E5" s="16"/>
      <c r="F5" s="16"/>
      <c r="G5" s="16"/>
      <c r="H5" s="16"/>
      <c r="I5" s="16"/>
      <c r="J5" s="16"/>
      <c r="K5" s="16"/>
      <c r="L5" s="16"/>
      <c r="M5" s="16"/>
      <c r="N5" s="16"/>
      <c r="O5" s="16"/>
      <c r="P5" s="16"/>
      <c r="Q5" s="16"/>
      <c r="R5" s="16"/>
      <c r="S5" s="16"/>
      <c r="T5" s="16"/>
    </row>
    <row r="6" spans="1:20" x14ac:dyDescent="0.2">
      <c r="A6" s="16"/>
      <c r="B6" s="16"/>
      <c r="C6" s="16"/>
      <c r="D6" s="16"/>
      <c r="E6" s="16"/>
      <c r="F6" s="16"/>
      <c r="G6" s="16"/>
      <c r="H6" s="16"/>
      <c r="I6" s="16"/>
      <c r="J6" s="16"/>
      <c r="K6" s="16"/>
      <c r="L6" s="16"/>
      <c r="M6" s="16"/>
      <c r="N6" s="16"/>
      <c r="O6" s="16"/>
      <c r="P6" s="16"/>
      <c r="Q6" s="16"/>
      <c r="R6" s="16"/>
      <c r="S6" s="16"/>
      <c r="T6" s="16"/>
    </row>
    <row r="7" spans="1:20" x14ac:dyDescent="0.2">
      <c r="A7" s="16"/>
      <c r="B7" s="16"/>
      <c r="C7" s="16"/>
      <c r="D7" s="16"/>
      <c r="E7" s="16"/>
      <c r="F7" s="16"/>
      <c r="G7" s="16"/>
      <c r="H7" s="16"/>
      <c r="I7" s="16"/>
      <c r="J7" s="16"/>
      <c r="K7" s="16"/>
      <c r="L7" s="16"/>
      <c r="M7" s="16"/>
      <c r="N7" s="16"/>
      <c r="O7" s="16"/>
      <c r="P7" s="16"/>
      <c r="Q7" s="16"/>
      <c r="R7" s="16"/>
      <c r="S7" s="16"/>
      <c r="T7" s="16"/>
    </row>
    <row r="8" spans="1:20" x14ac:dyDescent="0.2">
      <c r="A8" s="16"/>
      <c r="B8" s="16"/>
      <c r="C8" s="16"/>
      <c r="D8" s="16"/>
      <c r="E8" s="16"/>
      <c r="F8" s="16"/>
      <c r="G8" s="16"/>
      <c r="H8" s="16"/>
      <c r="I8" s="16"/>
      <c r="J8" s="16"/>
      <c r="K8" s="16"/>
      <c r="L8" s="16"/>
      <c r="M8" s="16"/>
      <c r="N8" s="16"/>
      <c r="O8" s="16"/>
      <c r="P8" s="16"/>
      <c r="Q8" s="16"/>
      <c r="R8" s="16"/>
      <c r="S8" s="16"/>
      <c r="T8" s="16"/>
    </row>
    <row r="9" spans="1:20" x14ac:dyDescent="0.2">
      <c r="A9" s="16"/>
      <c r="B9" s="16"/>
      <c r="C9" s="16"/>
      <c r="D9" s="16"/>
      <c r="E9" s="16"/>
      <c r="F9" s="16"/>
      <c r="G9" s="16"/>
      <c r="H9" s="16"/>
      <c r="I9" s="16"/>
      <c r="J9" s="16"/>
      <c r="K9" s="16"/>
      <c r="L9" s="16"/>
      <c r="M9" s="16"/>
      <c r="N9" s="16"/>
      <c r="O9" s="16"/>
      <c r="P9" s="16"/>
      <c r="Q9" s="16"/>
      <c r="R9" s="16"/>
      <c r="S9" s="16"/>
      <c r="T9" s="16"/>
    </row>
    <row r="10" spans="1:20" x14ac:dyDescent="0.2">
      <c r="A10" s="16"/>
      <c r="B10" s="16"/>
      <c r="C10" s="16"/>
      <c r="D10" s="16"/>
      <c r="E10" s="16"/>
      <c r="F10" s="16"/>
      <c r="G10" s="16"/>
      <c r="H10" s="16"/>
      <c r="I10" s="16"/>
      <c r="J10" s="16"/>
      <c r="K10" s="16"/>
      <c r="L10" s="16"/>
      <c r="M10" s="16"/>
      <c r="N10" s="16"/>
      <c r="O10" s="16"/>
      <c r="P10" s="16"/>
      <c r="Q10" s="16"/>
      <c r="R10" s="16"/>
      <c r="S10" s="16"/>
      <c r="T10" s="16"/>
    </row>
    <row r="11" spans="1:20" x14ac:dyDescent="0.2">
      <c r="A11" s="16"/>
      <c r="B11" s="16"/>
      <c r="C11" s="16"/>
      <c r="D11" s="16"/>
      <c r="E11" s="16"/>
      <c r="F11" s="16"/>
      <c r="G11" s="16"/>
      <c r="H11" s="16"/>
      <c r="I11" s="16"/>
      <c r="J11" s="16"/>
      <c r="K11" s="16"/>
      <c r="L11" s="16"/>
      <c r="M11" s="16"/>
      <c r="N11" s="16"/>
      <c r="O11" s="16"/>
      <c r="P11" s="16"/>
      <c r="Q11" s="16"/>
      <c r="R11" s="16"/>
      <c r="S11" s="16"/>
      <c r="T11" s="16"/>
    </row>
    <row r="12" spans="1:20" x14ac:dyDescent="0.2">
      <c r="A12" s="16"/>
      <c r="B12" s="16"/>
      <c r="C12" s="16"/>
      <c r="D12" s="16"/>
      <c r="E12" s="16"/>
      <c r="F12" s="16"/>
      <c r="G12" s="16"/>
      <c r="H12" s="16"/>
      <c r="I12" s="16"/>
      <c r="J12" s="16"/>
      <c r="K12" s="16"/>
      <c r="L12" s="16"/>
      <c r="M12" s="16"/>
      <c r="N12" s="16"/>
      <c r="O12" s="16"/>
      <c r="P12" s="16"/>
      <c r="Q12" s="16"/>
      <c r="R12" s="16"/>
      <c r="S12" s="16"/>
      <c r="T12" s="16"/>
    </row>
    <row r="13" spans="1:20" x14ac:dyDescent="0.2">
      <c r="A13" s="16"/>
      <c r="B13" s="16"/>
      <c r="C13" s="16"/>
      <c r="D13" s="16"/>
      <c r="E13" s="16"/>
      <c r="F13" s="16"/>
      <c r="G13" s="16"/>
      <c r="H13" s="16"/>
      <c r="I13" s="16"/>
      <c r="J13" s="16"/>
      <c r="K13" s="16"/>
      <c r="L13" s="16"/>
      <c r="M13" s="16"/>
      <c r="N13" s="16"/>
      <c r="O13" s="16"/>
      <c r="P13" s="16"/>
      <c r="Q13" s="16"/>
      <c r="R13" s="16"/>
      <c r="S13" s="16"/>
      <c r="T13" s="16"/>
    </row>
    <row r="14" spans="1:20" x14ac:dyDescent="0.2">
      <c r="A14" s="16"/>
      <c r="B14" s="16"/>
      <c r="C14" s="16"/>
      <c r="D14" s="16"/>
      <c r="E14" s="16"/>
      <c r="F14" s="16"/>
      <c r="G14" s="16"/>
      <c r="H14" s="16"/>
      <c r="I14" s="16"/>
      <c r="J14" s="16"/>
      <c r="K14" s="16"/>
      <c r="L14" s="16"/>
      <c r="M14" s="16"/>
      <c r="N14" s="16"/>
      <c r="O14" s="16"/>
      <c r="P14" s="16"/>
      <c r="Q14" s="16"/>
      <c r="R14" s="16"/>
      <c r="S14" s="16"/>
      <c r="T14" s="16"/>
    </row>
    <row r="15" spans="1:20" x14ac:dyDescent="0.2">
      <c r="A15" s="16"/>
      <c r="B15" s="16"/>
      <c r="C15" s="16"/>
      <c r="D15" s="16"/>
      <c r="E15" s="16"/>
      <c r="F15" s="16"/>
      <c r="G15" s="16"/>
      <c r="H15" s="16"/>
      <c r="I15" s="16"/>
      <c r="J15" s="16"/>
      <c r="K15" s="16"/>
      <c r="L15" s="16"/>
      <c r="M15" s="16"/>
      <c r="N15" s="16"/>
      <c r="O15" s="16"/>
      <c r="P15" s="16"/>
      <c r="Q15" s="16"/>
      <c r="R15" s="16"/>
      <c r="S15" s="16"/>
      <c r="T15" s="16"/>
    </row>
    <row r="16" spans="1:20" x14ac:dyDescent="0.2">
      <c r="A16" s="16"/>
      <c r="B16" s="16"/>
      <c r="C16" s="16"/>
      <c r="D16" s="16"/>
      <c r="E16" s="16"/>
      <c r="F16" s="16"/>
      <c r="G16" s="16"/>
      <c r="H16" s="16"/>
      <c r="I16" s="16"/>
      <c r="J16" s="16"/>
      <c r="K16" s="16"/>
      <c r="L16" s="16"/>
      <c r="M16" s="16"/>
      <c r="N16" s="16"/>
      <c r="O16" s="16"/>
      <c r="P16" s="16"/>
      <c r="Q16" s="16"/>
      <c r="R16" s="16"/>
      <c r="S16" s="16"/>
      <c r="T16" s="16"/>
    </row>
    <row r="17" spans="1:20" x14ac:dyDescent="0.2">
      <c r="A17" s="16"/>
      <c r="B17" s="16"/>
      <c r="C17" s="16"/>
      <c r="D17" s="16"/>
      <c r="E17" s="16"/>
      <c r="F17" s="16"/>
      <c r="G17" s="16"/>
      <c r="H17" s="16"/>
      <c r="I17" s="16"/>
      <c r="J17" s="16"/>
      <c r="K17" s="16"/>
      <c r="L17" s="16"/>
      <c r="M17" s="16"/>
      <c r="N17" s="16"/>
      <c r="O17" s="16"/>
      <c r="P17" s="16"/>
      <c r="Q17" s="16"/>
      <c r="R17" s="16"/>
      <c r="S17" s="16"/>
      <c r="T17" s="16"/>
    </row>
    <row r="18" spans="1:20" x14ac:dyDescent="0.2">
      <c r="A18" s="16"/>
      <c r="B18" s="16"/>
      <c r="C18" s="16"/>
      <c r="D18" s="16"/>
      <c r="E18" s="16"/>
      <c r="F18" s="16"/>
      <c r="G18" s="16"/>
      <c r="H18" s="16"/>
      <c r="I18" s="16"/>
      <c r="J18" s="16"/>
      <c r="K18" s="16"/>
      <c r="L18" s="16"/>
      <c r="M18" s="16"/>
      <c r="N18" s="16"/>
      <c r="O18" s="16"/>
      <c r="P18" s="16"/>
      <c r="Q18" s="16"/>
      <c r="R18" s="16"/>
      <c r="S18" s="16"/>
      <c r="T18" s="16"/>
    </row>
    <row r="19" spans="1:20" x14ac:dyDescent="0.2">
      <c r="A19" s="16"/>
      <c r="B19" s="16"/>
      <c r="C19" s="16"/>
      <c r="D19" s="16"/>
      <c r="E19" s="16"/>
      <c r="F19" s="16"/>
      <c r="G19" s="16"/>
      <c r="H19" s="16"/>
      <c r="I19" s="16"/>
      <c r="J19" s="16"/>
      <c r="K19" s="16"/>
      <c r="L19" s="16"/>
      <c r="M19" s="16"/>
      <c r="N19" s="16"/>
      <c r="O19" s="16"/>
      <c r="P19" s="16"/>
      <c r="Q19" s="16"/>
      <c r="R19" s="16"/>
      <c r="S19" s="16"/>
      <c r="T19" s="16"/>
    </row>
    <row r="20" spans="1:20" x14ac:dyDescent="0.2">
      <c r="A20" s="16"/>
      <c r="B20" s="16"/>
      <c r="C20" s="16"/>
      <c r="D20" s="16"/>
      <c r="E20" s="16"/>
      <c r="F20" s="16"/>
      <c r="G20" s="16"/>
      <c r="H20" s="16"/>
      <c r="I20" s="16"/>
      <c r="J20" s="16"/>
      <c r="K20" s="16"/>
      <c r="L20" s="16"/>
      <c r="M20" s="16"/>
      <c r="N20" s="16"/>
      <c r="O20" s="16"/>
      <c r="P20" s="16"/>
      <c r="Q20" s="16"/>
      <c r="R20" s="16"/>
      <c r="S20" s="16"/>
      <c r="T20" s="16"/>
    </row>
    <row r="21" spans="1:20" x14ac:dyDescent="0.2">
      <c r="A21" s="16"/>
      <c r="B21" s="16"/>
      <c r="C21" s="16"/>
      <c r="D21" s="16"/>
      <c r="E21" s="16"/>
      <c r="F21" s="16"/>
      <c r="G21" s="16"/>
      <c r="H21" s="16"/>
      <c r="I21" s="16"/>
      <c r="J21" s="16"/>
      <c r="K21" s="16"/>
      <c r="L21" s="16"/>
      <c r="M21" s="16"/>
      <c r="N21" s="16"/>
      <c r="O21" s="16"/>
      <c r="P21" s="16"/>
      <c r="Q21" s="16"/>
      <c r="R21" s="16"/>
      <c r="S21" s="16"/>
      <c r="T21" s="16"/>
    </row>
    <row r="22" spans="1:20" x14ac:dyDescent="0.2">
      <c r="A22" s="16"/>
      <c r="B22" s="16"/>
      <c r="C22" s="16"/>
      <c r="D22" s="16"/>
      <c r="E22" s="16"/>
      <c r="F22" s="16"/>
      <c r="G22" s="16"/>
      <c r="H22" s="16"/>
      <c r="I22" s="16"/>
      <c r="J22" s="16"/>
      <c r="K22" s="16"/>
      <c r="L22" s="16"/>
      <c r="M22" s="16"/>
      <c r="N22" s="16"/>
      <c r="O22" s="16"/>
      <c r="P22" s="16"/>
      <c r="Q22" s="16"/>
      <c r="R22" s="16"/>
      <c r="S22" s="16"/>
      <c r="T22" s="16"/>
    </row>
    <row r="23" spans="1:20" x14ac:dyDescent="0.2">
      <c r="A23" s="16"/>
      <c r="B23" s="16"/>
      <c r="C23" s="16"/>
      <c r="D23" s="16"/>
      <c r="E23" s="16"/>
      <c r="F23" s="16"/>
      <c r="G23" s="16"/>
      <c r="H23" s="16"/>
      <c r="I23" s="16"/>
      <c r="J23" s="16"/>
      <c r="K23" s="16"/>
      <c r="L23" s="16"/>
      <c r="M23" s="16"/>
      <c r="N23" s="16"/>
      <c r="O23" s="16"/>
      <c r="P23" s="16"/>
      <c r="Q23" s="16"/>
      <c r="R23" s="16"/>
      <c r="S23" s="16"/>
      <c r="T23" s="16"/>
    </row>
    <row r="24" spans="1:20" x14ac:dyDescent="0.2">
      <c r="A24" s="16"/>
      <c r="B24" s="16"/>
      <c r="C24" s="16"/>
      <c r="D24" s="16"/>
      <c r="E24" s="16"/>
      <c r="F24" s="16"/>
      <c r="G24" s="16"/>
      <c r="H24" s="16"/>
      <c r="I24" s="16"/>
      <c r="J24" s="16"/>
      <c r="K24" s="16"/>
      <c r="L24" s="16"/>
      <c r="M24" s="16"/>
      <c r="N24" s="16"/>
      <c r="O24" s="16"/>
      <c r="P24" s="16"/>
      <c r="Q24" s="16"/>
      <c r="R24" s="16"/>
      <c r="S24" s="16"/>
      <c r="T24" s="16"/>
    </row>
    <row r="25" spans="1:20" x14ac:dyDescent="0.2">
      <c r="A25" s="16"/>
      <c r="B25" s="16"/>
      <c r="C25" s="16"/>
      <c r="D25" s="16"/>
      <c r="E25" s="16"/>
      <c r="F25" s="16"/>
      <c r="G25" s="16"/>
      <c r="H25" s="16"/>
      <c r="I25" s="16"/>
      <c r="J25" s="16"/>
      <c r="K25" s="16"/>
      <c r="L25" s="16"/>
      <c r="M25" s="16"/>
      <c r="N25" s="16"/>
      <c r="O25" s="16"/>
      <c r="P25" s="16"/>
      <c r="Q25" s="16"/>
      <c r="R25" s="16"/>
      <c r="S25" s="16"/>
      <c r="T25" s="16"/>
    </row>
    <row r="26" spans="1:20" x14ac:dyDescent="0.2">
      <c r="A26" s="16"/>
      <c r="B26" s="16"/>
      <c r="C26" s="16"/>
      <c r="D26" s="16"/>
      <c r="E26" s="16"/>
      <c r="F26" s="16"/>
      <c r="G26" s="16"/>
      <c r="H26" s="16"/>
      <c r="I26" s="16"/>
      <c r="J26" s="16"/>
      <c r="K26" s="16"/>
      <c r="L26" s="16"/>
      <c r="M26" s="16"/>
      <c r="N26" s="16"/>
      <c r="O26" s="16"/>
      <c r="P26" s="16"/>
      <c r="Q26" s="16"/>
      <c r="R26" s="16"/>
      <c r="S26" s="16"/>
      <c r="T26" s="16"/>
    </row>
    <row r="27" spans="1:20" x14ac:dyDescent="0.2">
      <c r="A27" s="16"/>
      <c r="B27" s="16"/>
      <c r="C27" s="16"/>
      <c r="D27" s="16"/>
      <c r="E27" s="16"/>
      <c r="F27" s="16"/>
      <c r="G27" s="16"/>
      <c r="H27" s="16"/>
      <c r="I27" s="16"/>
      <c r="J27" s="16"/>
      <c r="K27" s="16"/>
      <c r="L27" s="16"/>
      <c r="M27" s="16"/>
      <c r="N27" s="16"/>
      <c r="O27" s="16"/>
      <c r="P27" s="16"/>
      <c r="Q27" s="16"/>
      <c r="R27" s="16"/>
      <c r="S27" s="16"/>
      <c r="T27" s="16"/>
    </row>
    <row r="28" spans="1:20" x14ac:dyDescent="0.2">
      <c r="A28" s="16"/>
      <c r="B28" s="16"/>
      <c r="C28" s="16"/>
      <c r="D28" s="16"/>
      <c r="E28" s="16"/>
      <c r="F28" s="16"/>
      <c r="G28" s="16"/>
      <c r="H28" s="16"/>
      <c r="I28" s="16"/>
      <c r="J28" s="16"/>
      <c r="K28" s="16"/>
      <c r="L28" s="16"/>
      <c r="M28" s="16"/>
      <c r="N28" s="16"/>
      <c r="O28" s="16"/>
      <c r="P28" s="16"/>
      <c r="Q28" s="16"/>
      <c r="R28" s="16"/>
      <c r="S28" s="16"/>
      <c r="T28" s="16"/>
    </row>
    <row r="29" spans="1:20" x14ac:dyDescent="0.2">
      <c r="A29" s="16"/>
      <c r="B29" s="16"/>
      <c r="C29" s="16"/>
      <c r="D29" s="16"/>
      <c r="E29" s="16"/>
      <c r="F29" s="16"/>
      <c r="G29" s="16"/>
      <c r="H29" s="16"/>
      <c r="I29" s="16"/>
      <c r="J29" s="16"/>
      <c r="K29" s="16"/>
      <c r="L29" s="16"/>
      <c r="M29" s="16"/>
      <c r="N29" s="16"/>
      <c r="O29" s="16"/>
      <c r="P29" s="16"/>
      <c r="Q29" s="16"/>
      <c r="R29" s="16"/>
      <c r="S29" s="16"/>
      <c r="T29" s="16"/>
    </row>
    <row r="30" spans="1:20" x14ac:dyDescent="0.2">
      <c r="A30" s="16"/>
      <c r="B30" s="16"/>
      <c r="C30" s="16"/>
      <c r="D30" s="16"/>
      <c r="E30" s="16"/>
      <c r="F30" s="16"/>
      <c r="G30" s="16"/>
      <c r="H30" s="16"/>
      <c r="I30" s="16"/>
      <c r="J30" s="16"/>
      <c r="K30" s="16"/>
      <c r="L30" s="16"/>
      <c r="M30" s="16"/>
      <c r="N30" s="16"/>
      <c r="O30" s="16"/>
      <c r="P30" s="16"/>
      <c r="Q30" s="16"/>
      <c r="R30" s="16"/>
      <c r="S30" s="16"/>
      <c r="T30" s="16"/>
    </row>
    <row r="31" spans="1:20" x14ac:dyDescent="0.2">
      <c r="A31" s="16"/>
      <c r="B31" s="16"/>
      <c r="C31" s="16"/>
      <c r="D31" s="16"/>
      <c r="E31" s="16"/>
      <c r="F31" s="16"/>
      <c r="G31" s="16"/>
      <c r="H31" s="16"/>
      <c r="I31" s="16"/>
      <c r="J31" s="16"/>
      <c r="K31" s="16"/>
      <c r="L31" s="16"/>
      <c r="M31" s="16"/>
      <c r="N31" s="16"/>
      <c r="O31" s="16"/>
      <c r="P31" s="16"/>
      <c r="Q31" s="16"/>
      <c r="R31" s="16"/>
      <c r="S31" s="16"/>
      <c r="T31" s="16"/>
    </row>
    <row r="32" spans="1:20" x14ac:dyDescent="0.2">
      <c r="A32" s="16"/>
      <c r="B32" s="16"/>
      <c r="C32" s="16"/>
      <c r="D32" s="16"/>
      <c r="E32" s="16"/>
      <c r="F32" s="16"/>
      <c r="G32" s="16"/>
      <c r="H32" s="16"/>
      <c r="I32" s="16"/>
      <c r="J32" s="16"/>
      <c r="K32" s="16"/>
      <c r="L32" s="16"/>
      <c r="M32" s="16"/>
      <c r="N32" s="16"/>
      <c r="O32" s="16"/>
      <c r="P32" s="16"/>
      <c r="Q32" s="16"/>
      <c r="R32" s="16"/>
      <c r="S32" s="16"/>
      <c r="T32" s="16"/>
    </row>
    <row r="33" spans="1:20" x14ac:dyDescent="0.2">
      <c r="A33" s="16"/>
      <c r="B33" s="16"/>
      <c r="C33" s="16"/>
      <c r="D33" s="16"/>
      <c r="E33" s="16"/>
      <c r="F33" s="16"/>
      <c r="G33" s="16"/>
      <c r="H33" s="16"/>
      <c r="I33" s="16"/>
      <c r="J33" s="16"/>
      <c r="K33" s="16"/>
      <c r="L33" s="16"/>
      <c r="M33" s="16"/>
      <c r="N33" s="16"/>
      <c r="O33" s="16"/>
      <c r="P33" s="16"/>
      <c r="Q33" s="16"/>
      <c r="R33" s="16"/>
      <c r="S33" s="16"/>
      <c r="T33" s="16"/>
    </row>
    <row r="34" spans="1:20" x14ac:dyDescent="0.2">
      <c r="A34" s="16"/>
      <c r="B34" s="16"/>
      <c r="C34" s="16"/>
      <c r="D34" s="16"/>
      <c r="E34" s="16"/>
      <c r="F34" s="16"/>
      <c r="G34" s="16"/>
      <c r="H34" s="16"/>
      <c r="I34" s="16"/>
      <c r="J34" s="16"/>
      <c r="K34" s="16"/>
      <c r="L34" s="16"/>
      <c r="M34" s="16"/>
      <c r="N34" s="16"/>
      <c r="O34" s="16"/>
      <c r="P34" s="16"/>
      <c r="Q34" s="16"/>
      <c r="R34" s="16"/>
      <c r="S34" s="16"/>
      <c r="T34" s="16"/>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Raw_Sales_Data</vt:lpstr>
      <vt:lpstr>Data_Dictionary</vt:lpstr>
      <vt:lpstr>Cleaned_Data</vt:lpstr>
      <vt:lpstr>Sales VS Orders</vt:lpstr>
      <vt:lpstr>Sales By Region</vt:lpstr>
      <vt:lpstr>Payment Methods</vt:lpstr>
      <vt:lpstr>Top 5 Stores</vt:lpstr>
      <vt:lpstr>Top 5 Product Categories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Ganesh Shah</cp:lastModifiedBy>
  <cp:revision>0</cp:revision>
  <dcterms:created xsi:type="dcterms:W3CDTF">2026-07-13T09:56:08Z</dcterms:created>
  <dcterms:modified xsi:type="dcterms:W3CDTF">2026-07-17T08:52:00Z</dcterms:modified>
  <cp:category/>
  <cp:contentStatus/>
</cp:coreProperties>
</file>